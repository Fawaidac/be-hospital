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E\LAP KUNJUNGAN REKAM MEDIS\BARBER JOHNSON\DATA 2026\"/>
    </mc:Choice>
  </mc:AlternateContent>
  <xr:revisionPtr revIDLastSave="0" documentId="13_ncr:1_{7BA5E950-7423-468D-B282-131E37EDFB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Print_Area" localSheetId="0">Sheet1!$A$1:$U$18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8" i="1" l="1"/>
  <c r="T18" i="1"/>
  <c r="S18" i="1"/>
  <c r="R18" i="1"/>
  <c r="Q18" i="1"/>
  <c r="O18" i="1"/>
  <c r="N18" i="1"/>
  <c r="L18" i="1"/>
  <c r="K18" i="1"/>
  <c r="I18" i="1"/>
  <c r="H18" i="1"/>
  <c r="F18" i="1"/>
  <c r="E18" i="1"/>
  <c r="V6" i="1" l="1"/>
  <c r="W6" i="1" s="1"/>
  <c r="X6" i="1"/>
  <c r="Y6" i="1"/>
  <c r="Z6" i="1"/>
  <c r="V7" i="1"/>
  <c r="W7" i="1"/>
  <c r="X7" i="1"/>
  <c r="Y7" i="1"/>
  <c r="Z7" i="1"/>
  <c r="V8" i="1"/>
  <c r="Y8" i="1" s="1"/>
  <c r="W8" i="1"/>
  <c r="X8" i="1"/>
  <c r="Z8" i="1"/>
  <c r="V11" i="1"/>
  <c r="W11" i="1"/>
  <c r="X11" i="1"/>
  <c r="Y11" i="1"/>
  <c r="Z11" i="1"/>
  <c r="V12" i="1"/>
  <c r="Y12" i="1" s="1"/>
  <c r="W12" i="1"/>
  <c r="X12" i="1"/>
  <c r="Z12" i="1"/>
  <c r="V13" i="1"/>
  <c r="Y13" i="1" s="1"/>
  <c r="W13" i="1"/>
  <c r="X13" i="1"/>
  <c r="Z13" i="1"/>
  <c r="V14" i="1"/>
  <c r="W14" i="1" s="1"/>
  <c r="X14" i="1"/>
  <c r="Z14" i="1"/>
  <c r="V15" i="1"/>
  <c r="W15" i="1"/>
  <c r="X15" i="1"/>
  <c r="Y15" i="1"/>
  <c r="Z15" i="1"/>
  <c r="V16" i="1"/>
  <c r="Y16" i="1" s="1"/>
  <c r="W16" i="1"/>
  <c r="X16" i="1"/>
  <c r="Z16" i="1"/>
  <c r="M18" i="1" l="1"/>
  <c r="P18" i="1" s="1"/>
  <c r="J18" i="1"/>
  <c r="Y14" i="1"/>
  <c r="U16" i="1" l="1"/>
  <c r="U15" i="1"/>
  <c r="U14" i="1"/>
  <c r="U13" i="1"/>
  <c r="U12" i="1"/>
  <c r="U11" i="1"/>
  <c r="U7" i="1"/>
  <c r="U6" i="1"/>
  <c r="T16" i="1"/>
  <c r="T15" i="1"/>
  <c r="T14" i="1"/>
  <c r="T13" i="1"/>
  <c r="T12" i="1"/>
  <c r="T11" i="1"/>
  <c r="T7" i="1"/>
  <c r="T6" i="1"/>
  <c r="E5" i="1" l="1"/>
  <c r="V18" i="1" l="1"/>
  <c r="W18" i="1" s="1"/>
  <c r="X18" i="1"/>
  <c r="Z18" i="1"/>
  <c r="R5" i="1"/>
  <c r="R17" i="1" s="1"/>
  <c r="Q5" i="1"/>
  <c r="Q17" i="1" s="1"/>
  <c r="O5" i="1"/>
  <c r="O17" i="1" s="1"/>
  <c r="N5" i="1"/>
  <c r="N17" i="1" s="1"/>
  <c r="L5" i="1"/>
  <c r="L17" i="1" s="1"/>
  <c r="I5" i="1"/>
  <c r="I17" i="1" s="1"/>
  <c r="H5" i="1"/>
  <c r="H17" i="1" s="1"/>
  <c r="G5" i="1"/>
  <c r="G17" i="1" s="1"/>
  <c r="F5" i="1"/>
  <c r="AA11" i="1"/>
  <c r="E17" i="1"/>
  <c r="Y18" i="1" l="1"/>
  <c r="M5" i="1"/>
  <c r="U5" i="1" s="1"/>
  <c r="U17" i="1" s="1"/>
  <c r="J5" i="1"/>
  <c r="Z5" i="1"/>
  <c r="J17" i="1"/>
  <c r="M17" i="1"/>
  <c r="Z17" i="1" s="1"/>
  <c r="AA16" i="1" l="1"/>
  <c r="AA15" i="1"/>
  <c r="AA14" i="1"/>
  <c r="AA13" i="1"/>
  <c r="AA12" i="1"/>
  <c r="AA10" i="1"/>
  <c r="AA9" i="1"/>
  <c r="AA8" i="1"/>
  <c r="AA7" i="1"/>
  <c r="AA6" i="1"/>
  <c r="AA5" i="1"/>
  <c r="AA17" i="1" l="1"/>
  <c r="K5" i="1" l="1"/>
  <c r="K17" i="1" s="1"/>
  <c r="P17" i="1" s="1"/>
  <c r="T17" i="1" s="1"/>
  <c r="P5" i="1" l="1"/>
  <c r="T5" i="1" s="1"/>
  <c r="S5" i="1" l="1"/>
  <c r="S17" i="1" s="1"/>
  <c r="X5" i="1" l="1"/>
  <c r="V5" i="1"/>
  <c r="Y5" i="1" l="1"/>
  <c r="W5" i="1"/>
  <c r="V17" i="1"/>
  <c r="X17" i="1"/>
  <c r="W17" i="1" l="1"/>
  <c r="Y17" i="1"/>
</calcChain>
</file>

<file path=xl/sharedStrings.xml><?xml version="1.0" encoding="utf-8"?>
<sst xmlns="http://schemas.openxmlformats.org/spreadsheetml/2006/main" count="45" uniqueCount="41">
  <si>
    <t>NO</t>
  </si>
  <si>
    <t>RAWAT INAP</t>
  </si>
  <si>
    <t>KLAS PERAWATAN</t>
  </si>
  <si>
    <t>PERIODE</t>
  </si>
  <si>
    <t>TT</t>
  </si>
  <si>
    <t>PX AWAL</t>
  </si>
  <si>
    <t>PX MASUK</t>
  </si>
  <si>
    <t>PX PINDAHAN</t>
  </si>
  <si>
    <t>JUMLAH (1+2+3)</t>
  </si>
  <si>
    <t>PX DI PINDAHKAN</t>
  </si>
  <si>
    <t>PX KELUAR HIDUP</t>
  </si>
  <si>
    <t>PX MATI</t>
  </si>
  <si>
    <t>KURANG 48 JAM</t>
  </si>
  <si>
    <t>LEBIH 48 JAM</t>
  </si>
  <si>
    <t>JUMLAH (5+6+7)</t>
  </si>
  <si>
    <t>LAMA DI RAWAT</t>
  </si>
  <si>
    <t>PX KELUAR/MASUK HR SAMA</t>
  </si>
  <si>
    <t>HARI PERAWATAN</t>
  </si>
  <si>
    <t xml:space="preserve">Px AKHIR </t>
  </si>
  <si>
    <t>KUNJUNGN</t>
  </si>
  <si>
    <t xml:space="preserve">O               </t>
  </si>
  <si>
    <t xml:space="preserve">BOR       </t>
  </si>
  <si>
    <t xml:space="preserve">LOS            </t>
  </si>
  <si>
    <t xml:space="preserve">TOI            </t>
  </si>
  <si>
    <t xml:space="preserve">BTO           </t>
  </si>
  <si>
    <t xml:space="preserve">TOTAL RS 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</si>
  <si>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</si>
  <si>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</si>
  <si>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</si>
  <si>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</si>
  <si>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</si>
  <si>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</si>
  <si>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</si>
  <si>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</si>
  <si>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BULAN</t>
  </si>
  <si>
    <t>TOTAL SELURUH RS</t>
  </si>
  <si>
    <t>SEPTEMBER</t>
  </si>
  <si>
    <t>OKTOBER</t>
  </si>
  <si>
    <t>NOVEMBER</t>
  </si>
  <si>
    <t>DESEMBER</t>
  </si>
  <si>
    <t>KUNJUNGAN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</si>
</sst>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charset val="1"/>
      <scheme val="minor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2" fontId="0" fillId="3" borderId="1" xfId="0" applyNumberFormat="1" applyFill="1" applyBorder="1" applyAlignment="1" applyProtection="1">
      <alignment horizontal="center"/>
      <protection hidden="1"/>
    </xf>
    <xf numFmtId="0" fontId="4" fillId="4" borderId="1" xfId="0" applyFont="1" applyFill="1" applyBorder="1" applyAlignment="1" applyProtection="1">
      <alignment horizontal="center"/>
      <protection hidden="1"/>
    </xf>
    <xf numFmtId="0" fontId="3" fillId="5" borderId="1" xfId="0" applyFont="1" applyFill="1" applyBorder="1" applyAlignment="1" applyProtection="1">
      <alignment horizontal="center"/>
      <protection hidden="1"/>
    </xf>
    <xf numFmtId="0" fontId="4" fillId="5" borderId="1" xfId="0" applyFont="1" applyFill="1" applyBorder="1" applyAlignment="1" applyProtection="1">
      <alignment horizontal="center"/>
      <protection hidden="1"/>
    </xf>
    <xf numFmtId="2" fontId="3" fillId="5" borderId="1" xfId="0" applyNumberFormat="1" applyFont="1" applyFill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0" fillId="0" borderId="1" xfId="0" applyBorder="1" applyProtection="1">
      <protection hidden="1"/>
    </xf>
    <xf numFmtId="0" fontId="0" fillId="3" borderId="1" xfId="0" applyFill="1" applyBorder="1" applyAlignment="1" applyProtection="1">
      <alignment horizontal="left"/>
      <protection hidden="1"/>
    </xf>
    <xf numFmtId="2" fontId="0" fillId="6" borderId="1" xfId="0" applyNumberForma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2" fontId="1" fillId="0" borderId="3" xfId="0" applyNumberFormat="1" applyFont="1" applyBorder="1" applyAlignment="1" applyProtection="1">
      <alignment horizontal="center" vertical="center" wrapText="1"/>
      <protection hidden="1"/>
    </xf>
    <xf numFmtId="2" fontId="1" fillId="0" borderId="4" xfId="0" applyNumberFormat="1" applyFont="1" applyBorder="1" applyAlignment="1" applyProtection="1">
      <alignment horizontal="center" vertical="center" wrapText="1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textRotation="90" wrapText="1"/>
      <protection hidden="1"/>
    </xf>
    <xf numFmtId="0" fontId="2" fillId="0" borderId="4" xfId="0" applyFont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textRotation="90" wrapText="1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textRotation="90" wrapText="1"/>
      <protection hidden="1"/>
    </xf>
    <xf numFmtId="0" fontId="1" fillId="0" borderId="4" xfId="0" applyFont="1" applyBorder="1" applyAlignment="1" applyProtection="1">
      <alignment horizontal="center" vertical="center" textRotation="90" wrapText="1"/>
      <protection hidden="1"/>
    </xf>
    <xf numFmtId="0" fontId="1" fillId="0" borderId="2" xfId="0" applyFont="1" applyBorder="1" applyAlignment="1" applyProtection="1">
      <alignment horizontal="center" vertical="center" textRotation="90" wrapText="1"/>
      <protection hidden="1"/>
    </xf>
    <xf numFmtId="2" fontId="0" fillId="5" borderId="1" xfId="0" applyNumberForma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LAP%20KUNJUNGAN%20REKAM%20MEDIS\BARBER%20JOHNSON\DATA%202026\BULANAN\JAN.xlsx" TargetMode="External"/><Relationship Id="rId1" Type="http://schemas.openxmlformats.org/officeDocument/2006/relationships/externalLinkPath" Target="BULANAN/JA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LAP%20KUNJUNGAN%20REKAM%20MEDIS\BARBER%20JOHNSON\DATA%202026\Kunjungan%20Barber%20Jhonson%20tahun%202026.xlsx" TargetMode="External"/><Relationship Id="rId1" Type="http://schemas.openxmlformats.org/officeDocument/2006/relationships/externalLinkPath" Target="Kunjungan%20Barber%20Jhonson%20tahu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P.1a"/>
      <sheetName val="RP.1a2"/>
      <sheetName val="TT Per Ruang"/>
      <sheetName val="TT PER SK"/>
      <sheetName val="TT Per Rawat Inap"/>
      <sheetName val="TT I,II,III,VIP PERISTI, INTENS"/>
    </sheetNames>
    <sheetDataSet>
      <sheetData sheetId="0"/>
      <sheetData sheetId="1"/>
      <sheetData sheetId="2">
        <row r="117">
          <cell r="E117">
            <v>31</v>
          </cell>
          <cell r="F117">
            <v>388</v>
          </cell>
          <cell r="G117">
            <v>292</v>
          </cell>
          <cell r="H117">
            <v>2499</v>
          </cell>
          <cell r="I117">
            <v>1000</v>
          </cell>
          <cell r="K117">
            <v>1025</v>
          </cell>
          <cell r="L117">
            <v>2284</v>
          </cell>
          <cell r="N117">
            <v>107</v>
          </cell>
          <cell r="O117">
            <v>123</v>
          </cell>
          <cell r="Q117">
            <v>8467</v>
          </cell>
          <cell r="R117">
            <v>43</v>
          </cell>
          <cell r="S117">
            <v>9185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RUARI"/>
      <sheetName val="MARET"/>
      <sheetName val="JAN - MAR 2026"/>
      <sheetName val="APRIL"/>
      <sheetName val="FEB"/>
      <sheetName val="MAR"/>
      <sheetName val="APR"/>
      <sheetName val="MEI"/>
      <sheetName val="JUN"/>
      <sheetName val="JUL"/>
      <sheetName val="AGS"/>
      <sheetName val="SEP"/>
      <sheetName val="OKT"/>
      <sheetName val="NOV"/>
      <sheetName val="DES"/>
      <sheetName val="JAN-DES PER KELAS"/>
    </sheetNames>
    <sheetDataSet>
      <sheetData sheetId="0"/>
      <sheetData sheetId="1"/>
      <sheetData sheetId="2"/>
      <sheetData sheetId="3">
        <row r="117">
          <cell r="E117">
            <v>90</v>
          </cell>
          <cell r="H117">
            <v>7558</v>
          </cell>
          <cell r="I117">
            <v>2771</v>
          </cell>
          <cell r="K117">
            <v>3074</v>
          </cell>
          <cell r="L117">
            <v>6497</v>
          </cell>
          <cell r="N117">
            <v>341</v>
          </cell>
          <cell r="O117">
            <v>353</v>
          </cell>
          <cell r="Q117">
            <v>24547</v>
          </cell>
          <cell r="R117">
            <v>114</v>
          </cell>
          <cell r="S117">
            <v>25876</v>
          </cell>
          <cell r="T117">
            <v>356</v>
          </cell>
          <cell r="U117">
            <v>7191</v>
          </cell>
        </row>
      </sheetData>
      <sheetData sheetId="4">
        <row r="117">
          <cell r="E117">
            <v>30</v>
          </cell>
          <cell r="F117">
            <v>388</v>
          </cell>
          <cell r="H117">
            <v>3144</v>
          </cell>
          <cell r="I117">
            <v>840</v>
          </cell>
          <cell r="K117">
            <v>1119</v>
          </cell>
          <cell r="L117">
            <v>2652</v>
          </cell>
          <cell r="N117">
            <v>128</v>
          </cell>
          <cell r="O117">
            <v>123</v>
          </cell>
          <cell r="Q117">
            <v>10568</v>
          </cell>
          <cell r="R117">
            <v>90</v>
          </cell>
          <cell r="S117">
            <v>10056</v>
          </cell>
          <cell r="T117">
            <v>318</v>
          </cell>
          <cell r="U117">
            <v>2903</v>
          </cell>
        </row>
      </sheetData>
      <sheetData sheetId="5"/>
      <sheetData sheetId="6"/>
      <sheetData sheetId="7"/>
      <sheetData sheetId="8">
        <row r="117">
          <cell r="E117">
            <v>31</v>
          </cell>
          <cell r="H117">
            <v>3118</v>
          </cell>
          <cell r="I117">
            <v>806</v>
          </cell>
          <cell r="K117">
            <v>1100</v>
          </cell>
          <cell r="L117">
            <v>2615</v>
          </cell>
          <cell r="N117">
            <v>141</v>
          </cell>
          <cell r="O117">
            <v>130</v>
          </cell>
          <cell r="Q117">
            <v>10519</v>
          </cell>
          <cell r="R117">
            <v>53</v>
          </cell>
          <cell r="S117">
            <v>9915</v>
          </cell>
          <cell r="T117">
            <v>256</v>
          </cell>
          <cell r="U117">
            <v>2886</v>
          </cell>
        </row>
      </sheetData>
      <sheetData sheetId="9">
        <row r="117">
          <cell r="E117">
            <v>30</v>
          </cell>
          <cell r="H117">
            <v>3030</v>
          </cell>
          <cell r="I117">
            <v>742</v>
          </cell>
          <cell r="K117">
            <v>992</v>
          </cell>
          <cell r="L117">
            <v>2443</v>
          </cell>
          <cell r="N117">
            <v>116</v>
          </cell>
          <cell r="O117">
            <v>130</v>
          </cell>
          <cell r="Q117">
            <v>9954</v>
          </cell>
          <cell r="R117">
            <v>33</v>
          </cell>
          <cell r="S117">
            <v>9751</v>
          </cell>
          <cell r="T117">
            <v>347</v>
          </cell>
          <cell r="U117">
            <v>2689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"/>
  <sheetViews>
    <sheetView tabSelected="1" zoomScale="80" zoomScaleNormal="80" workbookViewId="0">
      <selection sqref="A1:Z18"/>
    </sheetView>
  </sheetViews>
  <sheetFormatPr defaultRowHeight="15" x14ac:dyDescent="0.25"/>
  <cols>
    <col min="1" max="1" width="4.7109375" customWidth="1"/>
    <col min="2" max="2" width="11.85546875" customWidth="1"/>
    <col min="3" max="3" width="15.28515625" hidden="1" customWidth="1"/>
    <col min="4" max="4" width="10.140625" hidden="1" customWidth="1"/>
    <col min="5" max="5" width="6.28515625" customWidth="1"/>
    <col min="6" max="6" width="7.85546875" customWidth="1"/>
    <col min="13" max="13" width="0" hidden="1" customWidth="1"/>
  </cols>
  <sheetData>
    <row r="1" spans="1:27" ht="15" customHeight="1" x14ac:dyDescent="0.25">
      <c r="A1" s="29" t="s">
        <v>0</v>
      </c>
      <c r="B1" s="29" t="s">
        <v>34</v>
      </c>
      <c r="C1" s="9" t="s">
        <v>1</v>
      </c>
      <c r="D1" s="9" t="s">
        <v>2</v>
      </c>
      <c r="E1" s="32" t="s">
        <v>3</v>
      </c>
      <c r="F1" s="23" t="s">
        <v>4</v>
      </c>
      <c r="G1" s="23" t="s">
        <v>5</v>
      </c>
      <c r="H1" s="23" t="s">
        <v>6</v>
      </c>
      <c r="I1" s="32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3" t="s">
        <v>18</v>
      </c>
      <c r="U1" s="26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17" t="s">
        <v>40</v>
      </c>
    </row>
    <row r="2" spans="1:27" ht="15" customHeight="1" x14ac:dyDescent="0.25">
      <c r="A2" s="30"/>
      <c r="B2" s="30"/>
      <c r="C2" s="9"/>
      <c r="D2" s="9"/>
      <c r="E2" s="33"/>
      <c r="F2" s="24"/>
      <c r="G2" s="24"/>
      <c r="H2" s="24"/>
      <c r="I2" s="33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7"/>
      <c r="V2" s="21"/>
      <c r="W2" s="21"/>
      <c r="X2" s="21"/>
      <c r="Y2" s="21"/>
      <c r="Z2" s="21"/>
      <c r="AA2" s="18"/>
    </row>
    <row r="3" spans="1:27" x14ac:dyDescent="0.25">
      <c r="A3" s="30"/>
      <c r="B3" s="30"/>
      <c r="C3" s="9"/>
      <c r="D3" s="9"/>
      <c r="E3" s="33"/>
      <c r="F3" s="24"/>
      <c r="G3" s="25"/>
      <c r="H3" s="25"/>
      <c r="I3" s="34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7"/>
      <c r="V3" s="22"/>
      <c r="W3" s="22"/>
      <c r="X3" s="22"/>
      <c r="Y3" s="22"/>
      <c r="Z3" s="22"/>
      <c r="AA3" s="19"/>
    </row>
    <row r="4" spans="1:27" x14ac:dyDescent="0.25">
      <c r="A4" s="31"/>
      <c r="B4" s="31"/>
      <c r="C4" s="9"/>
      <c r="D4" s="9"/>
      <c r="E4" s="34"/>
      <c r="F4" s="25"/>
      <c r="G4" s="10">
        <v>1</v>
      </c>
      <c r="H4" s="10">
        <v>2</v>
      </c>
      <c r="I4" s="10">
        <v>3</v>
      </c>
      <c r="J4" s="10">
        <v>4</v>
      </c>
      <c r="K4" s="10">
        <v>5</v>
      </c>
      <c r="L4" s="10">
        <v>6</v>
      </c>
      <c r="M4" s="10">
        <v>7</v>
      </c>
      <c r="N4" s="10">
        <v>8</v>
      </c>
      <c r="O4" s="10">
        <v>9</v>
      </c>
      <c r="P4" s="10">
        <v>10</v>
      </c>
      <c r="Q4" s="10">
        <v>11</v>
      </c>
      <c r="R4" s="10">
        <v>12</v>
      </c>
      <c r="S4" s="10">
        <v>13</v>
      </c>
      <c r="T4" s="10">
        <v>14</v>
      </c>
      <c r="U4" s="28"/>
      <c r="V4" s="11">
        <v>15</v>
      </c>
      <c r="W4" s="11">
        <v>16</v>
      </c>
      <c r="X4" s="11">
        <v>17</v>
      </c>
      <c r="Y4" s="11">
        <v>18</v>
      </c>
      <c r="Z4" s="11">
        <v>19</v>
      </c>
    </row>
    <row r="5" spans="1:27" ht="15.75" x14ac:dyDescent="0.25">
      <c r="A5" s="12">
        <v>1</v>
      </c>
      <c r="B5" s="13" t="s">
        <v>26</v>
      </c>
      <c r="C5" s="13"/>
      <c r="D5" s="13" t="s">
        <v>25</v>
      </c>
      <c r="E5" s="6">
        <f>'[1]TT Per Ruang'!E117</f>
        <v>31</v>
      </c>
      <c r="F5" s="6">
        <f>'[1]TT Per Ruang'!F117</f>
        <v>388</v>
      </c>
      <c r="G5" s="6">
        <f>'[1]TT Per Ruang'!G117</f>
        <v>292</v>
      </c>
      <c r="H5" s="6">
        <f>'[1]TT Per Ruang'!H117</f>
        <v>2499</v>
      </c>
      <c r="I5" s="6">
        <f>'[1]TT Per Ruang'!I117</f>
        <v>1000</v>
      </c>
      <c r="J5" s="7">
        <f>+G5+H5+I5</f>
        <v>3791</v>
      </c>
      <c r="K5" s="6">
        <f>'[1]TT Per Ruang'!K117</f>
        <v>1025</v>
      </c>
      <c r="L5" s="6">
        <f>'[1]TT Per Ruang'!L117</f>
        <v>2284</v>
      </c>
      <c r="M5" s="7">
        <f>+N5+O5</f>
        <v>230</v>
      </c>
      <c r="N5" s="6">
        <f>'[1]TT Per Ruang'!N117</f>
        <v>107</v>
      </c>
      <c r="O5" s="6">
        <f>'[1]TT Per Ruang'!O117</f>
        <v>123</v>
      </c>
      <c r="P5" s="7">
        <f>+K5+L5+M5</f>
        <v>3539</v>
      </c>
      <c r="Q5" s="6">
        <f>'[1]TT Per Ruang'!Q117</f>
        <v>8467</v>
      </c>
      <c r="R5" s="6">
        <f>'[1]TT Per Ruang'!R117</f>
        <v>43</v>
      </c>
      <c r="S5" s="6">
        <f>'[1]TT Per Ruang'!S117</f>
        <v>9185</v>
      </c>
      <c r="T5" s="7">
        <f t="shared" ref="T5:T16" si="0">J5-P5</f>
        <v>252</v>
      </c>
      <c r="U5" s="7">
        <f t="shared" ref="U5" si="1">L5+M5</f>
        <v>2514</v>
      </c>
      <c r="V5" s="8">
        <f t="shared" ref="V5:V16" si="2">$S5/$E5</f>
        <v>296.29032258064518</v>
      </c>
      <c r="W5" s="8">
        <f t="shared" ref="W5:W16" si="3">$V5/$F5*100</f>
        <v>76.363485201197207</v>
      </c>
      <c r="X5" s="8">
        <f t="shared" ref="X5:X16" si="4">$S5/($L5+$M5)</f>
        <v>3.6535401750198888</v>
      </c>
      <c r="Y5" s="8">
        <f t="shared" ref="Y5:Y16" si="5">(($F5-$V5)*$E5)/($L5+$M5)</f>
        <v>1.1308671439936355</v>
      </c>
      <c r="Z5" s="8">
        <f t="shared" ref="Z5:Z16" si="6">($L5+$M5)/$F5</f>
        <v>6.4793814432989691</v>
      </c>
      <c r="AA5" s="1">
        <f>+L5+M5</f>
        <v>2514</v>
      </c>
    </row>
    <row r="6" spans="1:27" ht="15.75" x14ac:dyDescent="0.25">
      <c r="A6" s="12">
        <v>2</v>
      </c>
      <c r="B6" s="14" t="s">
        <v>27</v>
      </c>
      <c r="C6" s="14"/>
      <c r="D6" s="14"/>
      <c r="E6" s="7">
        <v>28</v>
      </c>
      <c r="F6" s="6">
        <v>388</v>
      </c>
      <c r="G6" s="6">
        <v>252</v>
      </c>
      <c r="H6" s="6">
        <v>2294</v>
      </c>
      <c r="I6" s="6">
        <v>938</v>
      </c>
      <c r="J6" s="7">
        <v>3484</v>
      </c>
      <c r="K6" s="6">
        <v>942</v>
      </c>
      <c r="L6" s="6">
        <v>2070</v>
      </c>
      <c r="M6" s="7">
        <v>205</v>
      </c>
      <c r="N6" s="6">
        <v>121</v>
      </c>
      <c r="O6" s="6">
        <v>84</v>
      </c>
      <c r="P6" s="7">
        <v>3217</v>
      </c>
      <c r="Q6" s="6">
        <v>7538</v>
      </c>
      <c r="R6" s="6">
        <v>49</v>
      </c>
      <c r="S6" s="6">
        <v>8103</v>
      </c>
      <c r="T6" s="7">
        <f t="shared" si="0"/>
        <v>267</v>
      </c>
      <c r="U6" s="7">
        <f t="shared" ref="U6:U16" si="7">L6+M6</f>
        <v>2275</v>
      </c>
      <c r="V6" s="8">
        <f t="shared" si="2"/>
        <v>289.39285714285717</v>
      </c>
      <c r="W6" s="8">
        <f t="shared" si="3"/>
        <v>74.585787923416788</v>
      </c>
      <c r="X6" s="8">
        <f t="shared" si="4"/>
        <v>3.5617582417582416</v>
      </c>
      <c r="Y6" s="8">
        <f t="shared" si="5"/>
        <v>1.2136263736263733</v>
      </c>
      <c r="Z6" s="8">
        <f t="shared" si="6"/>
        <v>5.8634020618556697</v>
      </c>
      <c r="AA6" s="1">
        <f t="shared" ref="AA6:AA17" si="8">+L6+M6</f>
        <v>2275</v>
      </c>
    </row>
    <row r="7" spans="1:27" ht="15.75" x14ac:dyDescent="0.25">
      <c r="A7" s="12">
        <v>3</v>
      </c>
      <c r="B7" s="14" t="s">
        <v>28</v>
      </c>
      <c r="C7" s="14"/>
      <c r="D7" s="14"/>
      <c r="E7" s="7">
        <v>31</v>
      </c>
      <c r="F7" s="6">
        <v>388</v>
      </c>
      <c r="G7" s="6">
        <v>267</v>
      </c>
      <c r="H7" s="6">
        <v>2765</v>
      </c>
      <c r="I7" s="6">
        <v>833</v>
      </c>
      <c r="J7" s="7">
        <v>3865</v>
      </c>
      <c r="K7" s="6">
        <v>1107</v>
      </c>
      <c r="L7" s="6">
        <v>2143</v>
      </c>
      <c r="M7" s="7">
        <v>259</v>
      </c>
      <c r="N7" s="6">
        <v>113</v>
      </c>
      <c r="O7" s="6">
        <v>146</v>
      </c>
      <c r="P7" s="7">
        <v>3509</v>
      </c>
      <c r="Q7" s="6">
        <v>8542</v>
      </c>
      <c r="R7" s="6">
        <v>22</v>
      </c>
      <c r="S7" s="6">
        <v>8588</v>
      </c>
      <c r="T7" s="7">
        <f t="shared" si="0"/>
        <v>356</v>
      </c>
      <c r="U7" s="7">
        <f t="shared" si="7"/>
        <v>2402</v>
      </c>
      <c r="V7" s="8">
        <f t="shared" si="2"/>
        <v>277.03225806451616</v>
      </c>
      <c r="W7" s="8">
        <f t="shared" si="3"/>
        <v>71.400066511473241</v>
      </c>
      <c r="X7" s="8">
        <f t="shared" si="4"/>
        <v>3.575353871773522</v>
      </c>
      <c r="Y7" s="8">
        <f t="shared" si="5"/>
        <v>1.4321398834304742</v>
      </c>
      <c r="Z7" s="8">
        <f t="shared" si="6"/>
        <v>6.1907216494845363</v>
      </c>
      <c r="AA7" s="1">
        <f t="shared" si="8"/>
        <v>2402</v>
      </c>
    </row>
    <row r="8" spans="1:27" ht="15.75" x14ac:dyDescent="0.25">
      <c r="A8" s="12">
        <v>4</v>
      </c>
      <c r="B8" s="14" t="s">
        <v>29</v>
      </c>
      <c r="C8" s="14"/>
      <c r="D8" s="14"/>
      <c r="E8" s="7">
        <v>30</v>
      </c>
      <c r="F8" s="6">
        <v>388</v>
      </c>
      <c r="G8" s="6">
        <v>356</v>
      </c>
      <c r="H8" s="6">
        <v>3144</v>
      </c>
      <c r="I8" s="6">
        <v>840</v>
      </c>
      <c r="J8" s="7">
        <v>4340</v>
      </c>
      <c r="K8" s="6">
        <v>1119</v>
      </c>
      <c r="L8" s="6">
        <v>2652</v>
      </c>
      <c r="M8" s="7">
        <v>251</v>
      </c>
      <c r="N8" s="6">
        <v>128</v>
      </c>
      <c r="O8" s="6">
        <v>123</v>
      </c>
      <c r="P8" s="7">
        <v>4022</v>
      </c>
      <c r="Q8" s="6">
        <v>10568</v>
      </c>
      <c r="R8" s="6">
        <v>90</v>
      </c>
      <c r="S8" s="6">
        <v>10056</v>
      </c>
      <c r="T8" s="6">
        <v>318</v>
      </c>
      <c r="U8" s="7">
        <v>2903</v>
      </c>
      <c r="V8" s="8">
        <f t="shared" si="2"/>
        <v>335.2</v>
      </c>
      <c r="W8" s="8">
        <f t="shared" si="3"/>
        <v>86.391752577319579</v>
      </c>
      <c r="X8" s="8">
        <f t="shared" si="4"/>
        <v>3.4640027557698931</v>
      </c>
      <c r="Y8" s="8">
        <f t="shared" si="5"/>
        <v>0.54564243885635566</v>
      </c>
      <c r="Z8" s="8">
        <f t="shared" si="6"/>
        <v>7.481958762886598</v>
      </c>
      <c r="AA8" s="1">
        <f t="shared" si="8"/>
        <v>2903</v>
      </c>
    </row>
    <row r="9" spans="1:27" ht="15.75" x14ac:dyDescent="0.25">
      <c r="A9" s="12">
        <v>5</v>
      </c>
      <c r="B9" s="14" t="s">
        <v>30</v>
      </c>
      <c r="C9" s="14"/>
      <c r="D9" s="14"/>
      <c r="E9" s="7">
        <v>31</v>
      </c>
      <c r="F9" s="6">
        <v>388</v>
      </c>
      <c r="G9" s="6">
        <v>318</v>
      </c>
      <c r="H9" s="6">
        <v>3118</v>
      </c>
      <c r="I9" s="6">
        <v>806</v>
      </c>
      <c r="J9" s="7">
        <v>4242</v>
      </c>
      <c r="K9" s="6">
        <v>1100</v>
      </c>
      <c r="L9" s="6">
        <v>2615</v>
      </c>
      <c r="M9" s="7">
        <v>271</v>
      </c>
      <c r="N9" s="6">
        <v>141</v>
      </c>
      <c r="O9" s="6">
        <v>130</v>
      </c>
      <c r="P9" s="7">
        <v>3986</v>
      </c>
      <c r="Q9" s="6">
        <v>10519</v>
      </c>
      <c r="R9" s="6">
        <v>53</v>
      </c>
      <c r="S9" s="6">
        <v>9915</v>
      </c>
      <c r="T9" s="6">
        <v>256</v>
      </c>
      <c r="U9" s="7">
        <v>2886</v>
      </c>
      <c r="V9" s="35">
        <v>319.83870967741933</v>
      </c>
      <c r="W9" s="8">
        <v>82.432657133355505</v>
      </c>
      <c r="X9" s="8">
        <v>3.4355509355509355</v>
      </c>
      <c r="Y9" s="8">
        <v>0.73215523215523248</v>
      </c>
      <c r="Z9" s="8">
        <v>7.4381443298969074</v>
      </c>
      <c r="AA9" s="1">
        <f t="shared" si="8"/>
        <v>2886</v>
      </c>
    </row>
    <row r="10" spans="1:27" ht="15.75" x14ac:dyDescent="0.25">
      <c r="A10" s="12">
        <v>6</v>
      </c>
      <c r="B10" s="14" t="s">
        <v>31</v>
      </c>
      <c r="C10" s="14"/>
      <c r="D10" s="14"/>
      <c r="E10" s="7">
        <v>30</v>
      </c>
      <c r="F10" s="6">
        <v>388</v>
      </c>
      <c r="G10" s="6">
        <v>256</v>
      </c>
      <c r="H10" s="6">
        <v>3030</v>
      </c>
      <c r="I10" s="6">
        <v>742</v>
      </c>
      <c r="J10" s="7">
        <v>4028</v>
      </c>
      <c r="K10" s="6">
        <v>992</v>
      </c>
      <c r="L10" s="6">
        <v>2443</v>
      </c>
      <c r="M10" s="7">
        <v>246</v>
      </c>
      <c r="N10" s="6">
        <v>116</v>
      </c>
      <c r="O10" s="6">
        <v>130</v>
      </c>
      <c r="P10" s="7">
        <v>3681</v>
      </c>
      <c r="Q10" s="6">
        <v>9954</v>
      </c>
      <c r="R10" s="6">
        <v>33</v>
      </c>
      <c r="S10" s="6">
        <v>9751</v>
      </c>
      <c r="T10" s="7">
        <v>347</v>
      </c>
      <c r="U10" s="7">
        <v>2689</v>
      </c>
      <c r="V10" s="8">
        <v>325.03333333333336</v>
      </c>
      <c r="W10" s="8">
        <v>83.771477663230243</v>
      </c>
      <c r="X10" s="8">
        <v>3.6262551134250649</v>
      </c>
      <c r="Y10" s="8">
        <v>0.70249163257716585</v>
      </c>
      <c r="Z10" s="8">
        <v>6.9304123711340209</v>
      </c>
      <c r="AA10" s="1">
        <f t="shared" si="8"/>
        <v>2689</v>
      </c>
    </row>
    <row r="11" spans="1:27" ht="15.75" x14ac:dyDescent="0.25">
      <c r="A11" s="12">
        <v>7</v>
      </c>
      <c r="B11" s="14" t="s">
        <v>32</v>
      </c>
      <c r="C11" s="14" t="s">
        <v>32</v>
      </c>
      <c r="D11" s="14" t="s">
        <v>32</v>
      </c>
      <c r="E11" s="2"/>
      <c r="F11" s="6"/>
      <c r="G11" s="6"/>
      <c r="H11" s="6"/>
      <c r="I11" s="6"/>
      <c r="J11" s="7"/>
      <c r="K11" s="6"/>
      <c r="L11" s="6"/>
      <c r="M11" s="7"/>
      <c r="N11" s="6"/>
      <c r="O11" s="6"/>
      <c r="P11" s="7"/>
      <c r="Q11" s="6"/>
      <c r="R11" s="6"/>
      <c r="S11" s="6"/>
      <c r="T11" s="7">
        <f t="shared" si="0"/>
        <v>0</v>
      </c>
      <c r="U11" s="7">
        <f t="shared" si="7"/>
        <v>0</v>
      </c>
      <c r="V11" s="8" t="e">
        <f t="shared" si="2"/>
        <v>#DIV/0!</v>
      </c>
      <c r="W11" s="8" t="e">
        <f t="shared" si="3"/>
        <v>#DIV/0!</v>
      </c>
      <c r="X11" s="8" t="e">
        <f t="shared" si="4"/>
        <v>#DIV/0!</v>
      </c>
      <c r="Y11" s="8" t="e">
        <f t="shared" si="5"/>
        <v>#DIV/0!</v>
      </c>
      <c r="Z11" s="8" t="e">
        <f t="shared" si="6"/>
        <v>#DIV/0!</v>
      </c>
      <c r="AA11" s="1">
        <f t="shared" si="8"/>
        <v>0</v>
      </c>
    </row>
    <row r="12" spans="1:27" ht="15.75" x14ac:dyDescent="0.25">
      <c r="A12" s="12">
        <v>8</v>
      </c>
      <c r="B12" s="14" t="s">
        <v>33</v>
      </c>
      <c r="C12" s="14" t="s">
        <v>33</v>
      </c>
      <c r="D12" s="14" t="s">
        <v>33</v>
      </c>
      <c r="E12" s="2"/>
      <c r="F12" s="6"/>
      <c r="G12" s="6"/>
      <c r="H12" s="6"/>
      <c r="I12" s="6"/>
      <c r="J12" s="7"/>
      <c r="K12" s="6"/>
      <c r="L12" s="6"/>
      <c r="M12" s="7"/>
      <c r="N12" s="6"/>
      <c r="O12" s="6"/>
      <c r="P12" s="7"/>
      <c r="Q12" s="6"/>
      <c r="R12" s="6"/>
      <c r="S12" s="6"/>
      <c r="T12" s="7">
        <f t="shared" si="0"/>
        <v>0</v>
      </c>
      <c r="U12" s="7">
        <f t="shared" si="7"/>
        <v>0</v>
      </c>
      <c r="V12" s="8" t="e">
        <f t="shared" si="2"/>
        <v>#DIV/0!</v>
      </c>
      <c r="W12" s="8" t="e">
        <f t="shared" si="3"/>
        <v>#DIV/0!</v>
      </c>
      <c r="X12" s="8" t="e">
        <f t="shared" si="4"/>
        <v>#DIV/0!</v>
      </c>
      <c r="Y12" s="8" t="e">
        <f t="shared" si="5"/>
        <v>#DIV/0!</v>
      </c>
      <c r="Z12" s="8" t="e">
        <f t="shared" si="6"/>
        <v>#DIV/0!</v>
      </c>
      <c r="AA12" s="1">
        <f t="shared" si="8"/>
        <v>0</v>
      </c>
    </row>
    <row r="13" spans="1:27" ht="15.75" x14ac:dyDescent="0.25">
      <c r="A13" s="12">
        <v>9</v>
      </c>
      <c r="B13" s="14" t="s">
        <v>36</v>
      </c>
      <c r="C13" s="14"/>
      <c r="D13" s="14"/>
      <c r="E13" s="2"/>
      <c r="F13" s="6"/>
      <c r="G13" s="6"/>
      <c r="H13" s="6"/>
      <c r="I13" s="6"/>
      <c r="J13" s="7"/>
      <c r="K13" s="6"/>
      <c r="L13" s="6"/>
      <c r="M13" s="7"/>
      <c r="N13" s="6"/>
      <c r="O13" s="6"/>
      <c r="P13" s="7"/>
      <c r="Q13" s="6"/>
      <c r="R13" s="6"/>
      <c r="S13" s="6"/>
      <c r="T13" s="7">
        <f t="shared" si="0"/>
        <v>0</v>
      </c>
      <c r="U13" s="7">
        <f t="shared" si="7"/>
        <v>0</v>
      </c>
      <c r="V13" s="8" t="e">
        <f t="shared" si="2"/>
        <v>#DIV/0!</v>
      </c>
      <c r="W13" s="8" t="e">
        <f t="shared" si="3"/>
        <v>#DIV/0!</v>
      </c>
      <c r="X13" s="8" t="e">
        <f t="shared" si="4"/>
        <v>#DIV/0!</v>
      </c>
      <c r="Y13" s="8" t="e">
        <f t="shared" si="5"/>
        <v>#DIV/0!</v>
      </c>
      <c r="Z13" s="8" t="e">
        <f t="shared" si="6"/>
        <v>#DIV/0!</v>
      </c>
      <c r="AA13" s="1">
        <f t="shared" si="8"/>
        <v>0</v>
      </c>
    </row>
    <row r="14" spans="1:27" ht="15.75" x14ac:dyDescent="0.25">
      <c r="A14" s="12">
        <v>10</v>
      </c>
      <c r="B14" s="14" t="s">
        <v>37</v>
      </c>
      <c r="C14" s="14"/>
      <c r="D14" s="14"/>
      <c r="E14" s="2"/>
      <c r="F14" s="6"/>
      <c r="G14" s="6"/>
      <c r="H14" s="6"/>
      <c r="I14" s="6"/>
      <c r="J14" s="7"/>
      <c r="K14" s="6"/>
      <c r="L14" s="6"/>
      <c r="M14" s="7"/>
      <c r="N14" s="6"/>
      <c r="O14" s="6"/>
      <c r="P14" s="7"/>
      <c r="Q14" s="6"/>
      <c r="R14" s="6"/>
      <c r="S14" s="6"/>
      <c r="T14" s="7">
        <f t="shared" si="0"/>
        <v>0</v>
      </c>
      <c r="U14" s="7">
        <f t="shared" si="7"/>
        <v>0</v>
      </c>
      <c r="V14" s="8" t="e">
        <f t="shared" si="2"/>
        <v>#DIV/0!</v>
      </c>
      <c r="W14" s="8" t="e">
        <f t="shared" si="3"/>
        <v>#DIV/0!</v>
      </c>
      <c r="X14" s="8" t="e">
        <f t="shared" si="4"/>
        <v>#DIV/0!</v>
      </c>
      <c r="Y14" s="8" t="e">
        <f t="shared" si="5"/>
        <v>#DIV/0!</v>
      </c>
      <c r="Z14" s="8" t="e">
        <f t="shared" si="6"/>
        <v>#DIV/0!</v>
      </c>
      <c r="AA14" s="1">
        <f t="shared" si="8"/>
        <v>0</v>
      </c>
    </row>
    <row r="15" spans="1:27" ht="15.75" x14ac:dyDescent="0.25">
      <c r="A15" s="12">
        <v>11</v>
      </c>
      <c r="B15" s="14" t="s">
        <v>38</v>
      </c>
      <c r="C15" s="14"/>
      <c r="D15" s="14"/>
      <c r="E15" s="5"/>
      <c r="F15" s="6"/>
      <c r="G15" s="6"/>
      <c r="H15" s="6"/>
      <c r="I15" s="6"/>
      <c r="J15" s="7"/>
      <c r="K15" s="6"/>
      <c r="L15" s="6"/>
      <c r="M15" s="7"/>
      <c r="N15" s="6"/>
      <c r="O15" s="6"/>
      <c r="P15" s="7"/>
      <c r="Q15" s="6"/>
      <c r="R15" s="6"/>
      <c r="S15" s="6"/>
      <c r="T15" s="7">
        <f t="shared" si="0"/>
        <v>0</v>
      </c>
      <c r="U15" s="7">
        <f t="shared" si="7"/>
        <v>0</v>
      </c>
      <c r="V15" s="8" t="e">
        <f t="shared" si="2"/>
        <v>#DIV/0!</v>
      </c>
      <c r="W15" s="8" t="e">
        <f t="shared" si="3"/>
        <v>#DIV/0!</v>
      </c>
      <c r="X15" s="8" t="e">
        <f t="shared" si="4"/>
        <v>#DIV/0!</v>
      </c>
      <c r="Y15" s="8" t="e">
        <f t="shared" si="5"/>
        <v>#DIV/0!</v>
      </c>
      <c r="Z15" s="8" t="e">
        <f t="shared" si="6"/>
        <v>#DIV/0!</v>
      </c>
      <c r="AA15" s="1">
        <f t="shared" si="8"/>
        <v>0</v>
      </c>
    </row>
    <row r="16" spans="1:27" ht="15.75" x14ac:dyDescent="0.25">
      <c r="A16" s="12">
        <v>12</v>
      </c>
      <c r="B16" s="14" t="s">
        <v>39</v>
      </c>
      <c r="C16" s="14"/>
      <c r="D16" s="14"/>
      <c r="E16" s="5"/>
      <c r="F16" s="6"/>
      <c r="G16" s="6"/>
      <c r="H16" s="6"/>
      <c r="I16" s="6"/>
      <c r="J16" s="7"/>
      <c r="K16" s="6"/>
      <c r="L16" s="6"/>
      <c r="M16" s="7"/>
      <c r="N16" s="6"/>
      <c r="O16" s="6"/>
      <c r="P16" s="7"/>
      <c r="Q16" s="6"/>
      <c r="R16" s="6"/>
      <c r="S16" s="6"/>
      <c r="T16" s="7">
        <f t="shared" si="0"/>
        <v>0</v>
      </c>
      <c r="U16" s="7">
        <f t="shared" si="7"/>
        <v>0</v>
      </c>
      <c r="V16" s="8" t="e">
        <f t="shared" si="2"/>
        <v>#DIV/0!</v>
      </c>
      <c r="W16" s="8" t="e">
        <f t="shared" si="3"/>
        <v>#DIV/0!</v>
      </c>
      <c r="X16" s="8" t="e">
        <f t="shared" si="4"/>
        <v>#DIV/0!</v>
      </c>
      <c r="Y16" s="8" t="e">
        <f t="shared" si="5"/>
        <v>#DIV/0!</v>
      </c>
      <c r="Z16" s="8" t="e">
        <f t="shared" si="6"/>
        <v>#DIV/0!</v>
      </c>
      <c r="AA16" s="1">
        <f t="shared" si="8"/>
        <v>0</v>
      </c>
    </row>
    <row r="17" spans="1:27" x14ac:dyDescent="0.25">
      <c r="A17" s="15" t="s">
        <v>35</v>
      </c>
      <c r="B17" s="3"/>
      <c r="C17" s="3"/>
      <c r="D17" s="3"/>
      <c r="E17" s="3">
        <f>SUM(E5:E16)</f>
        <v>181</v>
      </c>
      <c r="F17" s="3">
        <v>388</v>
      </c>
      <c r="G17" s="3">
        <f>G5</f>
        <v>292</v>
      </c>
      <c r="H17" s="3">
        <f>SUM(H5:H16)</f>
        <v>16850</v>
      </c>
      <c r="I17" s="3">
        <f>SUM(I5:I16)</f>
        <v>5159</v>
      </c>
      <c r="J17" s="3">
        <f>+G17+H17+I17</f>
        <v>22301</v>
      </c>
      <c r="K17" s="3">
        <f>SUM(K5:K16)</f>
        <v>6285</v>
      </c>
      <c r="L17" s="3">
        <f>SUM(L5:L16)</f>
        <v>14207</v>
      </c>
      <c r="M17" s="3">
        <f>+N17+O17</f>
        <v>1462</v>
      </c>
      <c r="N17" s="3">
        <f>SUM(N5:N16)</f>
        <v>726</v>
      </c>
      <c r="O17" s="3">
        <f>SUM(O5:O16)</f>
        <v>736</v>
      </c>
      <c r="P17" s="3">
        <f>+K17+L17+M17</f>
        <v>21954</v>
      </c>
      <c r="Q17" s="3">
        <f>SUM(Q5:Q16)</f>
        <v>55588</v>
      </c>
      <c r="R17" s="3">
        <f>SUM(R5:R16)</f>
        <v>290</v>
      </c>
      <c r="S17" s="3">
        <f>SUM(S5:S16)</f>
        <v>55598</v>
      </c>
      <c r="T17" s="3">
        <f>J17-P17</f>
        <v>347</v>
      </c>
      <c r="U17" s="3">
        <f>SUM(U5:U16)</f>
        <v>15669</v>
      </c>
      <c r="V17" s="4">
        <f t="shared" ref="V17:V18" si="9">$S17/$E17</f>
        <v>307.17127071823205</v>
      </c>
      <c r="W17" s="4">
        <f t="shared" ref="W17:W18" si="10">$V17/$F17*100</f>
        <v>79.167853277894864</v>
      </c>
      <c r="X17" s="4">
        <f t="shared" ref="X17:X18" si="11">$S17/($L17+$M17)</f>
        <v>3.5482800433977917</v>
      </c>
      <c r="Y17" s="4">
        <f t="shared" ref="Y17:Y18" si="12">(($F17-$V17)*$E17)/($L17+$M17)</f>
        <v>0.9336907269130128</v>
      </c>
      <c r="Z17" s="4">
        <f t="shared" ref="Z17:Z18" si="13">($L17+$M17)/$F17</f>
        <v>40.384020618556704</v>
      </c>
      <c r="AA17" s="1">
        <f t="shared" si="8"/>
        <v>15669</v>
      </c>
    </row>
    <row r="18" spans="1:27" ht="15.75" x14ac:dyDescent="0.25">
      <c r="A18" s="1"/>
      <c r="B18" s="1"/>
      <c r="C18" s="1"/>
      <c r="D18" s="1"/>
      <c r="E18" s="5">
        <f>'[2]JAN - MAR 2026'!E117+[2]APRIL!E117+[2]MEI!E117+[2]JUN!E117</f>
        <v>181</v>
      </c>
      <c r="F18" s="5">
        <f>[2]APRIL!F117</f>
        <v>388</v>
      </c>
      <c r="G18" s="5">
        <v>292</v>
      </c>
      <c r="H18" s="5">
        <f>'[2]JAN - MAR 2026'!H117+[2]APRIL!H117+[2]MEI!H117+[2]JUN!H117</f>
        <v>16850</v>
      </c>
      <c r="I18" s="5">
        <f>'[2]JAN - MAR 2026'!I117+[2]APRIL!I117+[2]MEI!I117+[2]JUN!I117</f>
        <v>5159</v>
      </c>
      <c r="J18" s="5">
        <f>+G18+H18+I18</f>
        <v>22301</v>
      </c>
      <c r="K18" s="5">
        <f>'[2]JAN - MAR 2026'!K117+[2]APRIL!K117+[2]MEI!K117+[2]JUN!K117</f>
        <v>6285</v>
      </c>
      <c r="L18" s="5">
        <f>'[2]JAN - MAR 2026'!L117+[2]APRIL!L117+[2]MEI!L117+[2]JUN!L117</f>
        <v>14207</v>
      </c>
      <c r="M18" s="5">
        <f>+N18+O18</f>
        <v>1462</v>
      </c>
      <c r="N18" s="5">
        <f>'[2]JAN - MAR 2026'!N117+[2]APRIL!N117+[2]MEI!N117+[2]JUN!N117</f>
        <v>726</v>
      </c>
      <c r="O18" s="5">
        <f>'[2]JAN - MAR 2026'!O117+[2]APRIL!O117+[2]MEI!O117+[2]JUN!O117</f>
        <v>736</v>
      </c>
      <c r="P18" s="5">
        <f>+K18+L18+M18</f>
        <v>21954</v>
      </c>
      <c r="Q18" s="5">
        <f>'[2]JAN - MAR 2026'!Q117+[2]APRIL!Q117+[2]MEI!Q117+[2]JUN!Q117</f>
        <v>55588</v>
      </c>
      <c r="R18" s="5">
        <f>'[2]JAN - MAR 2026'!R117+[2]APRIL!R117+[2]MEI!R117+[2]JUN!R117</f>
        <v>290</v>
      </c>
      <c r="S18" s="5">
        <f>'[2]JAN - MAR 2026'!S117+[2]APRIL!S117+[2]MEI!S117+[2]JUN!S117</f>
        <v>55598</v>
      </c>
      <c r="T18" s="5">
        <f>'[2]JAN - MAR 2026'!T117+[2]APRIL!T117+[2]MEI!T117+[2]JUN!T117</f>
        <v>1277</v>
      </c>
      <c r="U18" s="5">
        <f>'[2]JAN - MAR 2026'!U117+[2]APRIL!U117+[2]MEI!U117+[2]JUN!U117</f>
        <v>15669</v>
      </c>
      <c r="V18" s="16">
        <f t="shared" si="9"/>
        <v>307.17127071823205</v>
      </c>
      <c r="W18" s="16">
        <f t="shared" si="10"/>
        <v>79.167853277894864</v>
      </c>
      <c r="X18" s="16">
        <f t="shared" si="11"/>
        <v>3.5482800433977917</v>
      </c>
      <c r="Y18" s="16">
        <f t="shared" si="12"/>
        <v>0.9336907269130128</v>
      </c>
      <c r="Z18" s="16">
        <f t="shared" si="13"/>
        <v>40.384020618556704</v>
      </c>
    </row>
  </sheetData>
  <sheetProtection algorithmName="SHA-512" hashValue="eEHbRMPHTSOHXzDMAp3Vfj5B+0rm/riqnDZBaQaVMqxiG/tw+uaKKMnYTlIMKsuXCIAPg45NNQRUh/giwQpZDQ==" saltValue="+rxKst5qb+BYovKiCd56gw==" spinCount="100000" sheet="1" objects="1" scenarios="1"/>
  <mergeCells count="25">
    <mergeCell ref="L1:L3"/>
    <mergeCell ref="F1:F4"/>
    <mergeCell ref="A1:A4"/>
    <mergeCell ref="B1:B4"/>
    <mergeCell ref="E1:E4"/>
    <mergeCell ref="G1:G3"/>
    <mergeCell ref="H1:H3"/>
    <mergeCell ref="I1:I3"/>
    <mergeCell ref="J1:J3"/>
    <mergeCell ref="K1:K3"/>
    <mergeCell ref="V1:V3"/>
    <mergeCell ref="S1:S3"/>
    <mergeCell ref="T1:T3"/>
    <mergeCell ref="U1:U4"/>
    <mergeCell ref="M1:M3"/>
    <mergeCell ref="N1:N3"/>
    <mergeCell ref="O1:O3"/>
    <mergeCell ref="P1:P3"/>
    <mergeCell ref="Q1:Q3"/>
    <mergeCell ref="R1:R3"/>
    <mergeCell ref="AA1:AA3"/>
    <mergeCell ref="Z1:Z3"/>
    <mergeCell ref="Y1:Y3"/>
    <mergeCell ref="X1:X3"/>
    <mergeCell ref="W1:W3"/>
  </mergeCells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Rekam Medis</cp:lastModifiedBy>
  <cp:lastPrinted>2026-01-09T03:16:38Z</cp:lastPrinted>
  <dcterms:created xsi:type="dcterms:W3CDTF">2023-11-17T05:19:24Z</dcterms:created>
  <dcterms:modified xsi:type="dcterms:W3CDTF">2026-07-07T07:24:56Z</dcterms:modified>
</cp:coreProperties>
</file>