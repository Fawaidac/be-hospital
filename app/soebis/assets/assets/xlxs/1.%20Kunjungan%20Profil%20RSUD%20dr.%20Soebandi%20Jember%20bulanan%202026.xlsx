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 E\LAP KUNJUNGAN REKAM MEDIS\BARBER JOHNSON\DATA 2026\"/>
    </mc:Choice>
  </mc:AlternateContent>
  <xr:revisionPtr revIDLastSave="0" documentId="13_ncr:1_{A67318A7-D8F8-49DF-B787-DA6240AC7ABF}" xr6:coauthVersionLast="47" xr6:coauthVersionMax="47" xr10:uidLastSave="{00000000-0000-0000-0000-000000000000}"/>
  <bookViews>
    <workbookView xWindow="-120" yWindow="-120" windowWidth="20730" windowHeight="11160" tabRatio="859" activeTab="2" xr2:uid="{00000000-000D-0000-FFFF-FFFF00000000}"/>
  </bookViews>
  <sheets>
    <sheet name="INDIKATOR KINERJA DINKES " sheetId="2" r:id="rId1"/>
    <sheet name="INDIKATOR KINERJA BBJ" sheetId="8" r:id="rId2"/>
    <sheet name="NDR GDR" sheetId="7" r:id="rId3"/>
    <sheet name="KUNJ.RJ&amp;RI" sheetId="3" r:id="rId4"/>
  </sheets>
  <externalReferences>
    <externalReference r:id="rId5"/>
  </externalReferences>
  <definedNames>
    <definedName name="_xlnm.Print_Area" localSheetId="1">'INDIKATOR KINERJA BBJ'!$A$1:$L$20</definedName>
    <definedName name="_xlnm.Print_Area" localSheetId="0">'INDIKATOR KINERJA DINKES '!$A$5:$L$20</definedName>
    <definedName name="_xlnm.Print_Area" localSheetId="3">'KUNJ.RJ&amp;RI'!$A$2:$K$23</definedName>
    <definedName name="_xlnm.Print_Area" localSheetId="2">'NDR GDR'!$A$5:$O$20</definedName>
  </definedNames>
  <calcPr calcId="181029"/>
</workbook>
</file>

<file path=xl/calcChain.xml><?xml version="1.0" encoding="utf-8"?>
<calcChain xmlns="http://schemas.openxmlformats.org/spreadsheetml/2006/main">
  <c r="G12" i="7" l="1"/>
  <c r="H12" i="7"/>
  <c r="M19" i="2" l="1"/>
  <c r="M18" i="2"/>
  <c r="M17" i="2"/>
  <c r="M16" i="2"/>
  <c r="M15" i="2"/>
  <c r="M14" i="2"/>
  <c r="M13" i="2"/>
  <c r="M12" i="2"/>
  <c r="M11" i="2"/>
  <c r="M10" i="2"/>
  <c r="M9" i="2"/>
  <c r="M8" i="2"/>
  <c r="H19" i="2"/>
  <c r="G19" i="2"/>
  <c r="F19" i="2"/>
  <c r="E19" i="2"/>
  <c r="H18" i="2"/>
  <c r="G18" i="2"/>
  <c r="F18" i="2"/>
  <c r="E18" i="2"/>
  <c r="H17" i="2"/>
  <c r="G17" i="2"/>
  <c r="F17" i="2"/>
  <c r="E17" i="2"/>
  <c r="H16" i="2"/>
  <c r="G16" i="2"/>
  <c r="F16" i="2"/>
  <c r="E16" i="2"/>
  <c r="H15" i="2"/>
  <c r="G15" i="2"/>
  <c r="F15" i="2"/>
  <c r="E15" i="2"/>
  <c r="H14" i="2"/>
  <c r="G14" i="2"/>
  <c r="F14" i="2"/>
  <c r="E14" i="2"/>
  <c r="H13" i="2"/>
  <c r="G13" i="2"/>
  <c r="F13" i="2"/>
  <c r="E13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D19" i="2"/>
  <c r="D18" i="2"/>
  <c r="D17" i="2"/>
  <c r="D16" i="2"/>
  <c r="D15" i="2"/>
  <c r="D14" i="2"/>
  <c r="D13" i="2"/>
  <c r="D12" i="2"/>
  <c r="D11" i="2"/>
  <c r="D10" i="2"/>
  <c r="D9" i="2"/>
  <c r="C19" i="2"/>
  <c r="C18" i="2"/>
  <c r="C17" i="2"/>
  <c r="C16" i="2"/>
  <c r="C15" i="2"/>
  <c r="C14" i="2"/>
  <c r="C13" i="2"/>
  <c r="C12" i="2"/>
  <c r="C11" i="2"/>
  <c r="C10" i="2"/>
  <c r="C9" i="2"/>
  <c r="H8" i="2"/>
  <c r="G8" i="2"/>
  <c r="F8" i="2"/>
  <c r="E8" i="2"/>
  <c r="D8" i="2"/>
  <c r="C8" i="2"/>
  <c r="G8" i="7"/>
  <c r="H8" i="7"/>
  <c r="G9" i="7"/>
  <c r="H9" i="7"/>
  <c r="G10" i="7"/>
  <c r="H10" i="7"/>
  <c r="G11" i="7"/>
  <c r="H11" i="7"/>
  <c r="G13" i="7"/>
  <c r="H13" i="7"/>
  <c r="G14" i="7"/>
  <c r="H14" i="7"/>
  <c r="G15" i="7"/>
  <c r="H15" i="7"/>
  <c r="G16" i="7"/>
  <c r="H16" i="7"/>
  <c r="G17" i="7"/>
  <c r="H17" i="7"/>
  <c r="G18" i="7"/>
  <c r="H18" i="7"/>
  <c r="I18" i="2" l="1"/>
  <c r="I19" i="2"/>
  <c r="I17" i="2" l="1"/>
  <c r="L16" i="7" l="1"/>
  <c r="L13" i="7" l="1"/>
  <c r="I16" i="2" l="1"/>
  <c r="I15" i="2"/>
  <c r="I14" i="2"/>
  <c r="H8" i="8" l="1"/>
  <c r="G9" i="8"/>
  <c r="I11" i="2"/>
  <c r="I12" i="2"/>
  <c r="I10" i="2"/>
  <c r="I9" i="2"/>
  <c r="M9" i="8"/>
  <c r="M10" i="8"/>
  <c r="M11" i="8"/>
  <c r="M12" i="8"/>
  <c r="M13" i="8"/>
  <c r="M14" i="8"/>
  <c r="M15" i="8"/>
  <c r="M16" i="8"/>
  <c r="M17" i="8"/>
  <c r="M18" i="8"/>
  <c r="M19" i="8"/>
  <c r="O9" i="7" l="1"/>
  <c r="O10" i="7"/>
  <c r="O11" i="7"/>
  <c r="O12" i="7"/>
  <c r="O13" i="7"/>
  <c r="O14" i="7"/>
  <c r="O15" i="7"/>
  <c r="O16" i="7"/>
  <c r="O17" i="7"/>
  <c r="O18" i="7"/>
  <c r="O19" i="7"/>
  <c r="G12" i="3"/>
  <c r="F13" i="3"/>
  <c r="G13" i="3"/>
  <c r="F14" i="3"/>
  <c r="F15" i="3"/>
  <c r="G15" i="3"/>
  <c r="F17" i="3"/>
  <c r="G17" i="3"/>
  <c r="F18" i="3"/>
  <c r="G19" i="7"/>
  <c r="F21" i="3" s="1"/>
  <c r="H19" i="7"/>
  <c r="G21" i="3" s="1"/>
  <c r="L9" i="7"/>
  <c r="L10" i="7"/>
  <c r="L11" i="7"/>
  <c r="L12" i="7"/>
  <c r="L14" i="7"/>
  <c r="L15" i="7"/>
  <c r="L17" i="7"/>
  <c r="L18" i="7"/>
  <c r="L19" i="7"/>
  <c r="F9" i="7"/>
  <c r="F10" i="7"/>
  <c r="F11" i="7"/>
  <c r="F12" i="7"/>
  <c r="F13" i="7"/>
  <c r="F14" i="7"/>
  <c r="F15" i="7"/>
  <c r="F16" i="7"/>
  <c r="F17" i="7"/>
  <c r="F18" i="7"/>
  <c r="F19" i="7"/>
  <c r="C19" i="7"/>
  <c r="C18" i="7"/>
  <c r="C17" i="7"/>
  <c r="C16" i="7"/>
  <c r="C15" i="7"/>
  <c r="C14" i="7"/>
  <c r="C13" i="7"/>
  <c r="C12" i="7"/>
  <c r="C11" i="7"/>
  <c r="C10" i="7"/>
  <c r="C9" i="7"/>
  <c r="C8" i="7"/>
  <c r="A3" i="7"/>
  <c r="A1" i="7"/>
  <c r="D8" i="8"/>
  <c r="E8" i="8"/>
  <c r="F8" i="8"/>
  <c r="G8" i="8"/>
  <c r="D9" i="8"/>
  <c r="E9" i="8"/>
  <c r="F9" i="8"/>
  <c r="H9" i="8"/>
  <c r="D10" i="8"/>
  <c r="E10" i="8"/>
  <c r="F10" i="8"/>
  <c r="G10" i="8"/>
  <c r="H10" i="8"/>
  <c r="D11" i="8"/>
  <c r="E11" i="8"/>
  <c r="F11" i="8"/>
  <c r="G11" i="8"/>
  <c r="H11" i="8"/>
  <c r="D12" i="8"/>
  <c r="E12" i="8"/>
  <c r="F12" i="8"/>
  <c r="G12" i="8"/>
  <c r="H12" i="8"/>
  <c r="D13" i="8"/>
  <c r="E13" i="8"/>
  <c r="H13" i="8"/>
  <c r="D14" i="8"/>
  <c r="E14" i="8"/>
  <c r="F14" i="8"/>
  <c r="G14" i="8"/>
  <c r="H14" i="8"/>
  <c r="D15" i="8"/>
  <c r="E15" i="8"/>
  <c r="F15" i="8"/>
  <c r="G15" i="8"/>
  <c r="H15" i="8"/>
  <c r="E16" i="8"/>
  <c r="F16" i="8"/>
  <c r="G16" i="8"/>
  <c r="H16" i="8"/>
  <c r="E17" i="8"/>
  <c r="F17" i="8"/>
  <c r="G17" i="8"/>
  <c r="H17" i="8"/>
  <c r="E18" i="8"/>
  <c r="F18" i="8"/>
  <c r="G18" i="8"/>
  <c r="H18" i="8"/>
  <c r="E19" i="8"/>
  <c r="F19" i="8"/>
  <c r="G19" i="8"/>
  <c r="H19" i="8"/>
  <c r="C9" i="8"/>
  <c r="C10" i="8"/>
  <c r="C11" i="8"/>
  <c r="C12" i="8"/>
  <c r="C13" i="8"/>
  <c r="C14" i="8"/>
  <c r="C15" i="8"/>
  <c r="C16" i="8"/>
  <c r="C17" i="8"/>
  <c r="C18" i="8"/>
  <c r="C19" i="8"/>
  <c r="C8" i="8"/>
  <c r="A2" i="8"/>
  <c r="A1" i="8"/>
  <c r="F20" i="3" l="1"/>
  <c r="F19" i="3"/>
  <c r="G19" i="3"/>
  <c r="I18" i="7"/>
  <c r="I16" i="7"/>
  <c r="G16" i="3"/>
  <c r="F16" i="3"/>
  <c r="I12" i="7"/>
  <c r="F12" i="3"/>
  <c r="I13" i="7"/>
  <c r="I10" i="7"/>
  <c r="I15" i="7"/>
  <c r="G11" i="3"/>
  <c r="F11" i="3"/>
  <c r="I19" i="7"/>
  <c r="I14" i="7"/>
  <c r="I9" i="7"/>
  <c r="G20" i="3"/>
  <c r="G18" i="3"/>
  <c r="G14" i="3"/>
  <c r="I17" i="7"/>
  <c r="I11" i="7"/>
  <c r="M8" i="8"/>
  <c r="J15" i="8" l="1"/>
  <c r="L14" i="2" l="1"/>
  <c r="K11" i="8" l="1"/>
  <c r="K9" i="8"/>
  <c r="I11" i="8"/>
  <c r="I9" i="8"/>
  <c r="I8" i="8"/>
  <c r="I18" i="8"/>
  <c r="K14" i="8"/>
  <c r="I12" i="8"/>
  <c r="K10" i="8"/>
  <c r="K8" i="8"/>
  <c r="K12" i="2"/>
  <c r="K11" i="2"/>
  <c r="K10" i="2"/>
  <c r="K9" i="2"/>
  <c r="K8" i="2"/>
  <c r="I8" i="2"/>
  <c r="I19" i="8" l="1"/>
  <c r="I10" i="8"/>
  <c r="K12" i="8"/>
  <c r="I17" i="8"/>
  <c r="I16" i="8"/>
  <c r="L15" i="8"/>
  <c r="K15" i="8"/>
  <c r="I15" i="8"/>
  <c r="I14" i="8"/>
  <c r="K14" i="3"/>
  <c r="E14" i="3"/>
  <c r="K13" i="3" l="1"/>
  <c r="H13" i="3"/>
  <c r="E13" i="3"/>
  <c r="K12" i="3"/>
  <c r="E12" i="3"/>
  <c r="K11" i="3"/>
  <c r="E11" i="3"/>
  <c r="K10" i="3"/>
  <c r="E10" i="3"/>
  <c r="H20" i="8" l="1"/>
  <c r="AB20" i="7" l="1"/>
  <c r="AA20" i="7"/>
  <c r="Z20" i="7"/>
  <c r="Y20" i="7"/>
  <c r="G10" i="3"/>
  <c r="F10" i="3"/>
  <c r="P21" i="2" l="1"/>
  <c r="P19" i="2"/>
  <c r="P18" i="2"/>
  <c r="P17" i="2"/>
  <c r="P16" i="2"/>
  <c r="P15" i="2"/>
  <c r="P14" i="2"/>
  <c r="P12" i="2"/>
  <c r="P11" i="2"/>
  <c r="P10" i="2"/>
  <c r="P9" i="2"/>
  <c r="P8" i="2"/>
  <c r="L15" i="2"/>
  <c r="K15" i="2"/>
  <c r="K14" i="2"/>
  <c r="L13" i="2"/>
  <c r="L10" i="2"/>
  <c r="L8" i="2"/>
  <c r="J14" i="8"/>
  <c r="J10" i="8"/>
  <c r="J8" i="8"/>
  <c r="L14" i="8" l="1"/>
  <c r="L13" i="8"/>
  <c r="L10" i="8"/>
  <c r="L8" i="8"/>
  <c r="J12" i="8" l="1"/>
  <c r="L9" i="8"/>
  <c r="J9" i="8"/>
  <c r="L12" i="8"/>
  <c r="O11" i="2" l="1"/>
  <c r="N8" i="2"/>
  <c r="L12" i="2" l="1"/>
  <c r="W19" i="7" l="1"/>
  <c r="V19" i="7"/>
  <c r="S19" i="7" s="1"/>
  <c r="W18" i="7"/>
  <c r="T18" i="7" s="1"/>
  <c r="V18" i="7"/>
  <c r="W17" i="7"/>
  <c r="V17" i="7"/>
  <c r="S17" i="7" s="1"/>
  <c r="W16" i="7"/>
  <c r="T16" i="7" s="1"/>
  <c r="V16" i="7"/>
  <c r="P16" i="7" s="1"/>
  <c r="W15" i="7"/>
  <c r="V15" i="7"/>
  <c r="S15" i="7" s="1"/>
  <c r="W14" i="7"/>
  <c r="T14" i="7" s="1"/>
  <c r="V14" i="7"/>
  <c r="W13" i="7"/>
  <c r="V13" i="7"/>
  <c r="W12" i="7"/>
  <c r="T12" i="7" s="1"/>
  <c r="V12" i="7"/>
  <c r="W11" i="7"/>
  <c r="V11" i="7"/>
  <c r="S11" i="7" s="1"/>
  <c r="W10" i="7"/>
  <c r="T10" i="7" s="1"/>
  <c r="V10" i="7"/>
  <c r="W9" i="7"/>
  <c r="V9" i="7"/>
  <c r="S9" i="7" s="1"/>
  <c r="W8" i="7"/>
  <c r="T8" i="7" s="1"/>
  <c r="V8" i="7"/>
  <c r="P8" i="7" s="1"/>
  <c r="S13" i="7" l="1"/>
  <c r="P13" i="7"/>
  <c r="P18" i="7"/>
  <c r="P17" i="7"/>
  <c r="S18" i="7"/>
  <c r="P9" i="7"/>
  <c r="P19" i="7"/>
  <c r="Q16" i="7"/>
  <c r="Q17" i="7"/>
  <c r="Q8" i="7"/>
  <c r="P15" i="7"/>
  <c r="P10" i="7"/>
  <c r="P14" i="7"/>
  <c r="Q13" i="7"/>
  <c r="Q19" i="7"/>
  <c r="T13" i="7"/>
  <c r="Q14" i="7"/>
  <c r="Q15" i="7"/>
  <c r="T19" i="7"/>
  <c r="P11" i="7"/>
  <c r="Q9" i="7"/>
  <c r="S10" i="7"/>
  <c r="Q11" i="7"/>
  <c r="Q12" i="7"/>
  <c r="T11" i="7"/>
  <c r="S12" i="7"/>
  <c r="P12" i="7"/>
  <c r="S8" i="7"/>
  <c r="T9" i="7"/>
  <c r="S16" i="7"/>
  <c r="T17" i="7"/>
  <c r="Q10" i="7"/>
  <c r="S14" i="7"/>
  <c r="T15" i="7"/>
  <c r="Q18" i="7"/>
  <c r="N20" i="7"/>
  <c r="M20" i="7"/>
  <c r="K20" i="7"/>
  <c r="J20" i="7"/>
  <c r="H20" i="7"/>
  <c r="G20" i="7"/>
  <c r="E20" i="7"/>
  <c r="D20" i="7"/>
  <c r="E20" i="8"/>
  <c r="O8" i="7"/>
  <c r="O20" i="7" s="1"/>
  <c r="L8" i="7"/>
  <c r="I8" i="7"/>
  <c r="F8" i="7"/>
  <c r="L20" i="7" l="1"/>
  <c r="X13" i="7"/>
  <c r="U13" i="7" s="1"/>
  <c r="X14" i="7"/>
  <c r="R14" i="7" s="1"/>
  <c r="X15" i="7"/>
  <c r="R15" i="7" s="1"/>
  <c r="X16" i="7"/>
  <c r="R16" i="7" s="1"/>
  <c r="X17" i="7"/>
  <c r="U17" i="7" s="1"/>
  <c r="X18" i="7"/>
  <c r="R18" i="7" s="1"/>
  <c r="X19" i="7"/>
  <c r="U19" i="7" s="1"/>
  <c r="X9" i="7"/>
  <c r="U9" i="7" s="1"/>
  <c r="X10" i="7"/>
  <c r="R10" i="7" s="1"/>
  <c r="X11" i="7"/>
  <c r="X12" i="7"/>
  <c r="U12" i="7" s="1"/>
  <c r="X8" i="7"/>
  <c r="U8" i="7" s="1"/>
  <c r="W20" i="7"/>
  <c r="Q20" i="7" s="1"/>
  <c r="V20" i="7"/>
  <c r="P20" i="7" s="1"/>
  <c r="I20" i="7"/>
  <c r="F20" i="7"/>
  <c r="U11" i="7" l="1"/>
  <c r="R13" i="7"/>
  <c r="U18" i="7"/>
  <c r="R17" i="7"/>
  <c r="R19" i="7"/>
  <c r="U14" i="7"/>
  <c r="U15" i="7"/>
  <c r="U16" i="7"/>
  <c r="R9" i="7"/>
  <c r="U10" i="7"/>
  <c r="R8" i="7"/>
  <c r="T20" i="7"/>
  <c r="R12" i="7"/>
  <c r="S20" i="7"/>
  <c r="R11" i="7"/>
  <c r="X20" i="7"/>
  <c r="U20" i="7" s="1"/>
  <c r="L11" i="2" l="1"/>
  <c r="R20" i="7"/>
  <c r="J11" i="8" l="1"/>
  <c r="L11" i="8"/>
  <c r="L9" i="2"/>
  <c r="K21" i="3"/>
  <c r="H21" i="3"/>
  <c r="E21" i="3"/>
  <c r="K20" i="3"/>
  <c r="H20" i="3"/>
  <c r="E20" i="3"/>
  <c r="K19" i="3"/>
  <c r="H19" i="3"/>
  <c r="E19" i="3"/>
  <c r="K18" i="3"/>
  <c r="H18" i="3"/>
  <c r="E18" i="3"/>
  <c r="K17" i="3"/>
  <c r="H17" i="3"/>
  <c r="E17" i="3"/>
  <c r="K16" i="3"/>
  <c r="H16" i="3"/>
  <c r="E16" i="3"/>
  <c r="K15" i="3"/>
  <c r="H15" i="3"/>
  <c r="E15" i="3"/>
  <c r="J14" i="2"/>
  <c r="J22" i="3" l="1"/>
  <c r="I22" i="3"/>
  <c r="D22" i="3"/>
  <c r="C22" i="3"/>
  <c r="K22" i="3"/>
  <c r="E22" i="3"/>
  <c r="H20" i="2"/>
  <c r="E20" i="2"/>
  <c r="J15" i="2"/>
  <c r="J13" i="2"/>
  <c r="J12" i="2"/>
  <c r="J11" i="2"/>
  <c r="J10" i="2"/>
  <c r="J9" i="2"/>
  <c r="J8" i="2"/>
  <c r="H12" i="3" l="1"/>
  <c r="H11" i="3"/>
  <c r="H14" i="3"/>
  <c r="G22" i="3"/>
  <c r="H10" i="3"/>
  <c r="F22" i="3"/>
  <c r="H22" i="3" l="1"/>
  <c r="F13" i="8" l="1"/>
  <c r="F20" i="8" s="1"/>
  <c r="F20" i="2"/>
  <c r="I13" i="2" l="1"/>
  <c r="G13" i="8"/>
  <c r="K13" i="2"/>
  <c r="P13" i="2"/>
  <c r="G20" i="2"/>
  <c r="I13" i="8" l="1"/>
  <c r="K13" i="8"/>
  <c r="G20" i="8"/>
  <c r="J13" i="8"/>
  <c r="P20" i="2"/>
  <c r="D16" i="8" l="1"/>
  <c r="K16" i="2"/>
  <c r="L16" i="2"/>
  <c r="D20" i="2"/>
  <c r="J16" i="2"/>
  <c r="D17" i="8"/>
  <c r="L17" i="2"/>
  <c r="K17" i="2"/>
  <c r="J17" i="2"/>
  <c r="D18" i="8"/>
  <c r="K18" i="2"/>
  <c r="L18" i="2"/>
  <c r="J18" i="2"/>
  <c r="D19" i="8"/>
  <c r="L19" i="2"/>
  <c r="K19" i="2"/>
  <c r="J19" i="2"/>
  <c r="L20" i="2" l="1"/>
  <c r="J20" i="2"/>
  <c r="K18" i="8"/>
  <c r="J18" i="8"/>
  <c r="L18" i="8"/>
  <c r="K19" i="8"/>
  <c r="J19" i="8"/>
  <c r="L19" i="8"/>
  <c r="K17" i="8"/>
  <c r="J17" i="8"/>
  <c r="L17" i="8"/>
  <c r="K16" i="8"/>
  <c r="J16" i="8"/>
  <c r="L16" i="8"/>
  <c r="D20" i="8"/>
  <c r="L20" i="8" l="1"/>
  <c r="J20" i="8"/>
  <c r="M20" i="2"/>
  <c r="M20" i="8" l="1"/>
  <c r="I20" i="2"/>
  <c r="K20" i="2"/>
  <c r="I20" i="8" l="1"/>
  <c r="K20" i="8"/>
</calcChain>
</file>

<file path=xl/sharedStrings.xml><?xml version="1.0" encoding="utf-8"?>
<sst xmlns="http://schemas.openxmlformats.org/spreadsheetml/2006/main" count="140" uniqueCount="63">
  <si>
    <t>NO</t>
  </si>
  <si>
    <t>BULAN</t>
  </si>
  <si>
    <t>JUMLAH TEMPAT TIDUR</t>
  </si>
  <si>
    <t>JUMLAH PASIEN</t>
  </si>
  <si>
    <t>JUMLAH HARI PERAWATAN</t>
  </si>
  <si>
    <t>LAMA DIRAWAT</t>
  </si>
  <si>
    <t>BOR</t>
  </si>
  <si>
    <t>LOS</t>
  </si>
  <si>
    <t>TOI</t>
  </si>
  <si>
    <t>BTO</t>
  </si>
  <si>
    <t>PASIEN KELUAR (HIDUP+MATI)</t>
  </si>
  <si>
    <t>PASIEN KELUAR MATI</t>
  </si>
  <si>
    <r>
      <rPr>
        <b/>
        <sz val="11"/>
        <color theme="1"/>
        <rFont val="Calibri"/>
        <family val="2"/>
      </rPr>
      <t xml:space="preserve">PASIEN KELUAR MATI </t>
    </r>
    <r>
      <rPr>
        <b/>
        <u/>
        <sz val="11"/>
        <color theme="1"/>
        <rFont val="Calibri"/>
        <family val="2"/>
      </rPr>
      <t>&gt;</t>
    </r>
    <r>
      <rPr>
        <b/>
        <sz val="11"/>
        <color theme="1"/>
        <rFont val="Calibri"/>
        <family val="2"/>
      </rPr>
      <t xml:space="preserve"> 48 JAM DIRAWAT</t>
    </r>
  </si>
  <si>
    <t>Januari</t>
  </si>
  <si>
    <t>Februari</t>
  </si>
  <si>
    <t>Maret</t>
  </si>
  <si>
    <t>April</t>
  </si>
  <si>
    <t>Mei</t>
  </si>
  <si>
    <t>Juni</t>
  </si>
  <si>
    <t>Juli</t>
  </si>
  <si>
    <t xml:space="preserve">Agustus </t>
  </si>
  <si>
    <t>September</t>
  </si>
  <si>
    <t>Oktober</t>
  </si>
  <si>
    <t>November</t>
  </si>
  <si>
    <t>Desember</t>
  </si>
  <si>
    <t>TOTAL</t>
  </si>
  <si>
    <t xml:space="preserve">JUMLAH KUNJUNGAN RAWAT JALAN, RAWAT INAP, DAN KUNJUNGAN GANGGUAN JIWA DI SARANA PELAYANAN KESEHATAN </t>
  </si>
  <si>
    <t>JUMLAH KUNJUNGAN</t>
  </si>
  <si>
    <t>KUNJUNGAN GANGGUAN JIWA</t>
  </si>
  <si>
    <t>RAWAT JALAN</t>
  </si>
  <si>
    <t>RAWAT INAP</t>
  </si>
  <si>
    <t>JUMLAH</t>
  </si>
  <si>
    <t>L</t>
  </si>
  <si>
    <t>P</t>
  </si>
  <si>
    <t>L+P</t>
  </si>
  <si>
    <t>5=3+4</t>
  </si>
  <si>
    <t>8=6+7</t>
  </si>
  <si>
    <t>11=9+10</t>
  </si>
  <si>
    <t>Bulan</t>
  </si>
  <si>
    <t>Kematian Ibu</t>
  </si>
  <si>
    <t>Kematian Bayi</t>
  </si>
  <si>
    <t>Ibu Hamil</t>
  </si>
  <si>
    <t>Ibu Melahirkan</t>
  </si>
  <si>
    <t>Nifas</t>
  </si>
  <si>
    <t>KABUPATEN JEMBER</t>
  </si>
  <si>
    <t>RSD dr. SOEBANDI JEMBER</t>
  </si>
  <si>
    <t>Jenis RS</t>
  </si>
  <si>
    <t>TT</t>
  </si>
  <si>
    <t>Pasien Keluar (Hidup)</t>
  </si>
  <si>
    <t>Pasien Keluar Mati</t>
  </si>
  <si>
    <r>
      <t>Pasien Keluar Mati &lt;</t>
    </r>
    <r>
      <rPr>
        <b/>
        <sz val="11"/>
        <color theme="1"/>
        <rFont val="Calibri"/>
        <family val="2"/>
      </rPr>
      <t xml:space="preserve"> 48 jam</t>
    </r>
  </si>
  <si>
    <r>
      <t xml:space="preserve">Pasien Keluar Mati </t>
    </r>
    <r>
      <rPr>
        <b/>
        <sz val="11"/>
        <color theme="1"/>
        <rFont val="Calibri"/>
        <family val="2"/>
      </rPr>
      <t>≥ 48 jam</t>
    </r>
  </si>
  <si>
    <t xml:space="preserve">Januari </t>
  </si>
  <si>
    <t>Pebruari</t>
  </si>
  <si>
    <t>maret</t>
  </si>
  <si>
    <t>Agustus</t>
  </si>
  <si>
    <t>Nopember</t>
  </si>
  <si>
    <t>TOTAL KUNJUNGAN</t>
  </si>
  <si>
    <r>
      <t>GDR/</t>
    </r>
    <r>
      <rPr>
        <b/>
        <sz val="11"/>
        <color theme="1"/>
        <rFont val="Calibri"/>
        <family val="2"/>
      </rPr>
      <t>‰</t>
    </r>
  </si>
  <si>
    <t>NDR/‰</t>
  </si>
  <si>
    <t>4+(5*6)</t>
  </si>
  <si>
    <t>INDIKATOR KINERJA PELAYANAN DI RUMAH SAKIT DEPKES</t>
  </si>
  <si>
    <t>TAHUN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</si>
</sst>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[$-421]dd\ mmmm\ yyyy"/>
    <numFmt numFmtId="166" formatCode="_(* #.##0.00_);_(* \(#.##0.00\);_(* &quot;-&quot;??_);_(@_)"/>
  </numFmts>
  <fonts count="18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Arial"/>
      <family val="2"/>
    </font>
    <font>
      <sz val="12"/>
      <color theme="1"/>
      <name val="Arial"/>
      <family val="2"/>
    </font>
    <font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sz val="1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rgb="FFCCCCCC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8" fillId="0" borderId="0"/>
  </cellStyleXfs>
  <cellXfs count="89">
    <xf numFmtId="0" fontId="0" fillId="0" borderId="0" xfId="0"/>
    <xf numFmtId="166" fontId="0" fillId="0" borderId="0" xfId="0" applyNumberFormat="1"/>
    <xf numFmtId="10" fontId="2" fillId="7" borderId="1" xfId="0" applyNumberFormat="1" applyFont="1" applyFill="1" applyBorder="1" applyAlignment="1" applyProtection="1">
      <alignment horizontal="center"/>
      <protection hidden="1"/>
    </xf>
    <xf numFmtId="2" fontId="2" fillId="7" borderId="1" xfId="0" applyNumberFormat="1" applyFont="1" applyFill="1" applyBorder="1" applyAlignment="1" applyProtection="1">
      <alignment horizontal="center"/>
      <protection hidden="1"/>
    </xf>
    <xf numFmtId="2" fontId="1" fillId="7" borderId="3" xfId="0" applyNumberFormat="1" applyFont="1" applyFill="1" applyBorder="1" applyProtection="1">
      <protection hidden="1"/>
    </xf>
    <xf numFmtId="2" fontId="2" fillId="2" borderId="6" xfId="0" applyNumberFormat="1" applyFont="1" applyFill="1" applyBorder="1" applyAlignment="1" applyProtection="1">
      <alignment horizontal="center" vertical="center"/>
      <protection hidden="1"/>
    </xf>
    <xf numFmtId="2" fontId="2" fillId="2" borderId="9" xfId="0" applyNumberFormat="1" applyFont="1" applyFill="1" applyBorder="1" applyAlignment="1" applyProtection="1">
      <alignment horizontal="center" vertical="center"/>
      <protection hidden="1"/>
    </xf>
    <xf numFmtId="2" fontId="2" fillId="2" borderId="1" xfId="0" applyNumberFormat="1" applyFont="1" applyFill="1" applyBorder="1" applyAlignment="1" applyProtection="1">
      <alignment horizontal="center" vertical="center"/>
      <protection hidden="1"/>
    </xf>
    <xf numFmtId="2" fontId="2" fillId="2" borderId="3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4" fillId="0" borderId="0" xfId="0" applyFont="1" applyProtection="1"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165" fontId="5" fillId="0" borderId="1" xfId="0" applyNumberFormat="1" applyFont="1" applyBorder="1" applyAlignment="1" applyProtection="1">
      <alignment horizontal="left" vertical="center"/>
      <protection hidden="1"/>
    </xf>
    <xf numFmtId="0" fontId="9" fillId="0" borderId="10" xfId="1" applyFont="1" applyBorder="1" applyAlignment="1" applyProtection="1">
      <alignment horizontal="center"/>
      <protection hidden="1"/>
    </xf>
    <xf numFmtId="0" fontId="10" fillId="4" borderId="10" xfId="1" applyFont="1" applyFill="1" applyBorder="1" applyAlignment="1" applyProtection="1">
      <alignment horizontal="center"/>
      <protection hidden="1"/>
    </xf>
    <xf numFmtId="0" fontId="1" fillId="0" borderId="10" xfId="0" applyFont="1" applyBorder="1" applyProtection="1"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2" fillId="2" borderId="1" xfId="0" applyFont="1" applyFill="1" applyBorder="1" applyAlignment="1" applyProtection="1">
      <alignment horizontal="center"/>
      <protection hidden="1"/>
    </xf>
    <xf numFmtId="164" fontId="2" fillId="2" borderId="1" xfId="0" applyNumberFormat="1" applyFont="1" applyFill="1" applyBorder="1" applyAlignment="1" applyProtection="1">
      <alignment horizont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0" fontId="13" fillId="0" borderId="10" xfId="0" applyFont="1" applyBorder="1" applyAlignment="1" applyProtection="1">
      <alignment horizontal="center"/>
      <protection hidden="1"/>
    </xf>
    <xf numFmtId="0" fontId="15" fillId="0" borderId="10" xfId="0" applyFont="1" applyBorder="1" applyAlignment="1" applyProtection="1">
      <alignment vertical="center" wrapText="1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13" fillId="0" borderId="13" xfId="0" applyFont="1" applyBorder="1" applyProtection="1">
      <protection hidden="1"/>
    </xf>
    <xf numFmtId="0" fontId="16" fillId="0" borderId="13" xfId="0" applyFont="1" applyBorder="1" applyAlignment="1" applyProtection="1">
      <alignment horizontal="center"/>
      <protection hidden="1"/>
    </xf>
    <xf numFmtId="0" fontId="11" fillId="6" borderId="13" xfId="0" applyFont="1" applyFill="1" applyBorder="1" applyProtection="1">
      <protection hidden="1"/>
    </xf>
    <xf numFmtId="164" fontId="1" fillId="2" borderId="6" xfId="0" applyNumberFormat="1" applyFont="1" applyFill="1" applyBorder="1" applyAlignment="1" applyProtection="1">
      <alignment horizontal="center" vertical="center"/>
      <protection hidden="1"/>
    </xf>
    <xf numFmtId="164" fontId="1" fillId="2" borderId="6" xfId="0" applyNumberFormat="1" applyFont="1" applyFill="1" applyBorder="1" applyAlignment="1" applyProtection="1">
      <alignment horizontal="center"/>
      <protection hidden="1"/>
    </xf>
    <xf numFmtId="164" fontId="0" fillId="0" borderId="13" xfId="0" applyNumberFormat="1" applyBorder="1" applyAlignment="1" applyProtection="1">
      <alignment horizontal="center"/>
      <protection hidden="1"/>
    </xf>
    <xf numFmtId="2" fontId="2" fillId="2" borderId="13" xfId="0" applyNumberFormat="1" applyFont="1" applyFill="1" applyBorder="1" applyAlignment="1" applyProtection="1">
      <alignment horizontal="center" vertical="center"/>
      <protection hidden="1"/>
    </xf>
    <xf numFmtId="164" fontId="14" fillId="0" borderId="13" xfId="0" applyNumberFormat="1" applyFont="1" applyBorder="1" applyProtection="1">
      <protection hidden="1"/>
    </xf>
    <xf numFmtId="0" fontId="1" fillId="0" borderId="6" xfId="0" applyFont="1" applyBorder="1" applyAlignment="1" applyProtection="1">
      <alignment horizontal="center"/>
      <protection hidden="1"/>
    </xf>
    <xf numFmtId="0" fontId="13" fillId="0" borderId="10" xfId="0" applyFont="1" applyBorder="1" applyProtection="1">
      <protection hidden="1"/>
    </xf>
    <xf numFmtId="0" fontId="11" fillId="6" borderId="10" xfId="0" applyFont="1" applyFill="1" applyBorder="1" applyProtection="1">
      <protection hidden="1"/>
    </xf>
    <xf numFmtId="164" fontId="0" fillId="0" borderId="10" xfId="0" applyNumberFormat="1" applyBorder="1" applyAlignment="1" applyProtection="1">
      <alignment horizontal="center"/>
      <protection hidden="1"/>
    </xf>
    <xf numFmtId="2" fontId="2" fillId="2" borderId="10" xfId="0" applyNumberFormat="1" applyFont="1" applyFill="1" applyBorder="1" applyAlignment="1" applyProtection="1">
      <alignment horizontal="center" vertical="center"/>
      <protection hidden="1"/>
    </xf>
    <xf numFmtId="164" fontId="14" fillId="0" borderId="10" xfId="0" applyNumberFormat="1" applyFont="1" applyBorder="1" applyProtection="1">
      <protection hidden="1"/>
    </xf>
    <xf numFmtId="164" fontId="1" fillId="0" borderId="1" xfId="0" applyNumberFormat="1" applyFont="1" applyBorder="1" applyAlignment="1" applyProtection="1">
      <alignment horizontal="center" vertical="center"/>
      <protection hidden="1"/>
    </xf>
    <xf numFmtId="164" fontId="0" fillId="0" borderId="10" xfId="0" applyNumberFormat="1" applyBorder="1" applyProtection="1">
      <protection hidden="1"/>
    </xf>
    <xf numFmtId="0" fontId="0" fillId="5" borderId="10" xfId="0" applyFill="1" applyBorder="1" applyAlignment="1" applyProtection="1">
      <alignment horizontal="center"/>
      <protection hidden="1"/>
    </xf>
    <xf numFmtId="0" fontId="11" fillId="6" borderId="11" xfId="0" applyFont="1" applyFill="1" applyBorder="1" applyProtection="1">
      <protection hidden="1"/>
    </xf>
    <xf numFmtId="0" fontId="11" fillId="6" borderId="14" xfId="0" applyFont="1" applyFill="1" applyBorder="1" applyProtection="1">
      <protection hidden="1"/>
    </xf>
    <xf numFmtId="0" fontId="0" fillId="5" borderId="10" xfId="0" applyFill="1" applyBorder="1" applyProtection="1">
      <protection hidden="1"/>
    </xf>
    <xf numFmtId="0" fontId="0" fillId="0" borderId="10" xfId="0" applyBorder="1" applyProtection="1">
      <protection hidden="1"/>
    </xf>
    <xf numFmtId="164" fontId="2" fillId="2" borderId="1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0" xfId="0" applyFont="1" applyProtection="1">
      <protection hidden="1"/>
    </xf>
    <xf numFmtId="0" fontId="2" fillId="3" borderId="1" xfId="0" applyFont="1" applyFill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164" fontId="1" fillId="0" borderId="1" xfId="0" applyNumberFormat="1" applyFont="1" applyBorder="1" applyAlignment="1" applyProtection="1">
      <alignment horizontal="center"/>
      <protection hidden="1"/>
    </xf>
    <xf numFmtId="164" fontId="1" fillId="2" borderId="1" xfId="0" applyNumberFormat="1" applyFont="1" applyFill="1" applyBorder="1" applyAlignment="1" applyProtection="1">
      <alignment horizontal="center" vertical="center"/>
      <protection hidden="1"/>
    </xf>
    <xf numFmtId="164" fontId="2" fillId="2" borderId="1" xfId="0" applyNumberFormat="1" applyFont="1" applyFill="1" applyBorder="1" applyAlignment="1" applyProtection="1">
      <alignment vertical="center"/>
      <protection hidden="1"/>
    </xf>
    <xf numFmtId="0" fontId="6" fillId="0" borderId="0" xfId="0" applyFont="1" applyAlignment="1" applyProtection="1">
      <alignment horizontal="center"/>
      <protection hidden="1"/>
    </xf>
    <xf numFmtId="0" fontId="13" fillId="6" borderId="10" xfId="0" applyFont="1" applyFill="1" applyBorder="1"/>
    <xf numFmtId="0" fontId="17" fillId="6" borderId="10" xfId="0" applyFont="1" applyFill="1" applyBorder="1"/>
    <xf numFmtId="0" fontId="17" fillId="6" borderId="15" xfId="0" applyFont="1" applyFill="1" applyBorder="1"/>
    <xf numFmtId="0" fontId="11" fillId="6" borderId="10" xfId="0" applyFont="1" applyFill="1" applyBorder="1"/>
    <xf numFmtId="0" fontId="2" fillId="0" borderId="3" xfId="0" applyFont="1" applyBorder="1" applyAlignment="1" applyProtection="1">
      <alignment horizontal="center"/>
      <protection hidden="1"/>
    </xf>
    <xf numFmtId="0" fontId="4" fillId="0" borderId="4" xfId="0" applyFont="1" applyBorder="1" applyProtection="1"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4" fillId="0" borderId="6" xfId="0" applyFont="1" applyBorder="1" applyProtection="1">
      <protection hidden="1"/>
    </xf>
    <xf numFmtId="0" fontId="1" fillId="0" borderId="8" xfId="0" applyFont="1" applyBorder="1" applyAlignment="1" applyProtection="1">
      <alignment horizontal="center" vertical="center"/>
      <protection hidden="1"/>
    </xf>
    <xf numFmtId="0" fontId="4" fillId="0" borderId="9" xfId="0" applyFont="1" applyBorder="1" applyProtection="1">
      <protection hidden="1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5" xfId="0" applyFont="1" applyBorder="1" applyProtection="1"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0" fontId="4" fillId="0" borderId="10" xfId="0" applyFont="1" applyBorder="1" applyProtection="1"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/>
      <protection hidden="1"/>
    </xf>
    <xf numFmtId="0" fontId="13" fillId="0" borderId="1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0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13" fillId="0" borderId="0" xfId="0" applyFont="1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4" fillId="0" borderId="7" xfId="0" applyFont="1" applyBorder="1" applyProtection="1">
      <protection hidden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E\LAP%20KUNJUNGAN%20REKAM%20MEDIS\BARBER%20JOHNSON\DATA%202026\Kunj%20Total%20RS%202026.xlsx" TargetMode="External"/><Relationship Id="rId1" Type="http://schemas.openxmlformats.org/officeDocument/2006/relationships/externalLinkPath" Target="Kunj%20Total%20R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5">
          <cell r="E5">
            <v>31</v>
          </cell>
          <cell r="F5">
            <v>388</v>
          </cell>
          <cell r="M5">
            <v>230</v>
          </cell>
          <cell r="O5">
            <v>123</v>
          </cell>
          <cell r="Q5">
            <v>8467</v>
          </cell>
          <cell r="S5">
            <v>9185</v>
          </cell>
          <cell r="AA5">
            <v>2514</v>
          </cell>
        </row>
        <row r="6">
          <cell r="E6">
            <v>28</v>
          </cell>
          <cell r="F6">
            <v>388</v>
          </cell>
          <cell r="M6">
            <v>205</v>
          </cell>
          <cell r="O6">
            <v>84</v>
          </cell>
          <cell r="Q6">
            <v>7538</v>
          </cell>
          <cell r="S6">
            <v>8103</v>
          </cell>
          <cell r="AA6">
            <v>2275</v>
          </cell>
        </row>
        <row r="7">
          <cell r="E7">
            <v>31</v>
          </cell>
          <cell r="F7">
            <v>388</v>
          </cell>
          <cell r="M7">
            <v>259</v>
          </cell>
          <cell r="O7">
            <v>146</v>
          </cell>
          <cell r="Q7">
            <v>8542</v>
          </cell>
          <cell r="S7">
            <v>8588</v>
          </cell>
          <cell r="AA7">
            <v>2402</v>
          </cell>
        </row>
        <row r="8">
          <cell r="E8">
            <v>30</v>
          </cell>
          <cell r="F8">
            <v>388</v>
          </cell>
          <cell r="M8">
            <v>251</v>
          </cell>
          <cell r="O8">
            <v>123</v>
          </cell>
          <cell r="Q8">
            <v>10568</v>
          </cell>
          <cell r="S8">
            <v>10056</v>
          </cell>
          <cell r="AA8">
            <v>2903</v>
          </cell>
        </row>
        <row r="9">
          <cell r="E9">
            <v>31</v>
          </cell>
          <cell r="F9">
            <v>388</v>
          </cell>
          <cell r="M9">
            <v>271</v>
          </cell>
          <cell r="O9">
            <v>130</v>
          </cell>
          <cell r="Q9">
            <v>10519</v>
          </cell>
          <cell r="S9">
            <v>9915</v>
          </cell>
          <cell r="AA9">
            <v>2886</v>
          </cell>
        </row>
        <row r="10">
          <cell r="E10">
            <v>30</v>
          </cell>
          <cell r="F10">
            <v>388</v>
          </cell>
          <cell r="M10">
            <v>246</v>
          </cell>
          <cell r="O10">
            <v>130</v>
          </cell>
          <cell r="Q10">
            <v>9954</v>
          </cell>
          <cell r="S10">
            <v>9751</v>
          </cell>
          <cell r="AA10">
            <v>2689</v>
          </cell>
        </row>
        <row r="11">
          <cell r="E11"/>
          <cell r="F11"/>
          <cell r="M11"/>
          <cell r="O11"/>
          <cell r="Q11"/>
          <cell r="S11"/>
          <cell r="AA11">
            <v>0</v>
          </cell>
        </row>
        <row r="12">
          <cell r="E12"/>
          <cell r="F12"/>
          <cell r="M12"/>
          <cell r="O12"/>
          <cell r="Q12"/>
          <cell r="S12"/>
          <cell r="AA12">
            <v>0</v>
          </cell>
        </row>
        <row r="13">
          <cell r="E13"/>
          <cell r="F13"/>
          <cell r="M13"/>
          <cell r="O13"/>
          <cell r="Q13"/>
          <cell r="S13"/>
          <cell r="AA13">
            <v>0</v>
          </cell>
        </row>
        <row r="14">
          <cell r="E14"/>
          <cell r="F14"/>
          <cell r="M14"/>
          <cell r="O14"/>
          <cell r="Q14"/>
          <cell r="S14"/>
          <cell r="AA14">
            <v>0</v>
          </cell>
        </row>
        <row r="15">
          <cell r="E15"/>
          <cell r="F15"/>
          <cell r="M15"/>
          <cell r="O15"/>
          <cell r="Q15"/>
          <cell r="S15"/>
          <cell r="AA15">
            <v>0</v>
          </cell>
        </row>
        <row r="16">
          <cell r="E16"/>
          <cell r="F16"/>
          <cell r="M16"/>
          <cell r="O16"/>
          <cell r="Q16"/>
          <cell r="S16"/>
          <cell r="AA16">
            <v>0</v>
          </cell>
        </row>
        <row r="17">
          <cell r="E17">
            <v>181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zoomScale="85" zoomScaleNormal="85" workbookViewId="0">
      <selection activeCell="B8" sqref="A8:L20"/>
    </sheetView>
  </sheetViews>
  <sheetFormatPr defaultColWidth="12.625" defaultRowHeight="15" customHeight="1" x14ac:dyDescent="0.2"/>
  <cols>
    <col min="1" max="1" width="3.375" customWidth="1"/>
    <col min="2" max="2" width="12.5" customWidth="1"/>
    <col min="3" max="3" width="8.875" customWidth="1"/>
    <col min="4" max="4" width="13" customWidth="1"/>
    <col min="5" max="5" width="8.875" customWidth="1"/>
    <col min="6" max="6" width="13.375" customWidth="1"/>
    <col min="7" max="7" width="10.375" customWidth="1"/>
    <col min="8" max="8" width="7.875" customWidth="1"/>
    <col min="9" max="9" width="7.625" customWidth="1"/>
    <col min="10" max="10" width="11.875" customWidth="1"/>
    <col min="11" max="12" width="7.625" customWidth="1"/>
    <col min="13" max="13" width="8.25" bestFit="1" customWidth="1"/>
    <col min="14" max="25" width="7.625" customWidth="1"/>
  </cols>
  <sheetData>
    <row r="1" spans="1:17" ht="15.75" x14ac:dyDescent="0.25">
      <c r="A1" s="70" t="s">
        <v>61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7" ht="15.75" x14ac:dyDescent="0.25">
      <c r="A2" s="70" t="s">
        <v>62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7" ht="15" customHeight="1" x14ac:dyDescent="0.25">
      <c r="A3" s="70"/>
      <c r="B3" s="71"/>
      <c r="C3" s="71"/>
      <c r="D3" s="71"/>
      <c r="E3" s="71"/>
      <c r="F3" s="71"/>
      <c r="G3" s="71"/>
      <c r="H3" s="71"/>
      <c r="I3" s="71"/>
      <c r="J3" s="71"/>
      <c r="K3" s="71"/>
    </row>
    <row r="4" spans="1:17" ht="19.5" customHeight="1" x14ac:dyDescent="0.2"/>
    <row r="5" spans="1:17" ht="15.75" customHeight="1" x14ac:dyDescent="0.25">
      <c r="A5" s="66" t="s">
        <v>0</v>
      </c>
      <c r="B5" s="66" t="s">
        <v>1</v>
      </c>
      <c r="C5" s="66" t="s">
        <v>2</v>
      </c>
      <c r="D5" s="64" t="s">
        <v>3</v>
      </c>
      <c r="E5" s="65"/>
      <c r="F5" s="72"/>
      <c r="G5" s="66" t="s">
        <v>4</v>
      </c>
      <c r="H5" s="66" t="s">
        <v>5</v>
      </c>
      <c r="I5" s="66" t="s">
        <v>6</v>
      </c>
      <c r="J5" s="66" t="s">
        <v>7</v>
      </c>
      <c r="K5" s="66" t="s">
        <v>8</v>
      </c>
      <c r="L5" s="68" t="s">
        <v>9</v>
      </c>
      <c r="M5" s="9"/>
      <c r="N5" s="10"/>
      <c r="O5" s="10"/>
      <c r="P5" s="10"/>
      <c r="Q5" s="10"/>
    </row>
    <row r="6" spans="1:17" ht="45" x14ac:dyDescent="0.2">
      <c r="A6" s="67"/>
      <c r="B6" s="67"/>
      <c r="C6" s="67"/>
      <c r="D6" s="11" t="s">
        <v>10</v>
      </c>
      <c r="E6" s="11" t="s">
        <v>11</v>
      </c>
      <c r="F6" s="11" t="s">
        <v>12</v>
      </c>
      <c r="G6" s="67"/>
      <c r="H6" s="67"/>
      <c r="I6" s="67"/>
      <c r="J6" s="67"/>
      <c r="K6" s="67"/>
      <c r="L6" s="69"/>
      <c r="M6" s="12"/>
      <c r="N6" s="10"/>
      <c r="O6" s="10"/>
      <c r="P6" s="10"/>
      <c r="Q6" s="10"/>
    </row>
    <row r="7" spans="1:17" x14ac:dyDescent="0.2">
      <c r="A7" s="13">
        <v>1</v>
      </c>
      <c r="B7" s="13">
        <v>2</v>
      </c>
      <c r="C7" s="13">
        <v>3</v>
      </c>
      <c r="D7" s="13">
        <v>4</v>
      </c>
      <c r="E7" s="13">
        <v>5</v>
      </c>
      <c r="F7" s="13">
        <v>6</v>
      </c>
      <c r="G7" s="13">
        <v>7</v>
      </c>
      <c r="H7" s="13">
        <v>8</v>
      </c>
      <c r="I7" s="13">
        <v>9</v>
      </c>
      <c r="J7" s="13">
        <v>10</v>
      </c>
      <c r="K7" s="13">
        <v>11</v>
      </c>
      <c r="L7" s="14">
        <v>12</v>
      </c>
      <c r="M7" s="15"/>
      <c r="N7" s="10"/>
      <c r="O7" s="10"/>
      <c r="P7" s="10"/>
      <c r="Q7" s="10"/>
    </row>
    <row r="8" spans="1:17" x14ac:dyDescent="0.25">
      <c r="A8" s="16">
        <v>1</v>
      </c>
      <c r="B8" s="17" t="s">
        <v>13</v>
      </c>
      <c r="C8" s="18">
        <f>[1]Sheet1!F5</f>
        <v>388</v>
      </c>
      <c r="D8" s="19">
        <f>[1]Sheet1!AA5</f>
        <v>2514</v>
      </c>
      <c r="E8" s="34">
        <f>[1]Sheet1!M5</f>
        <v>230</v>
      </c>
      <c r="F8" s="18">
        <f>[1]Sheet1!O5</f>
        <v>123</v>
      </c>
      <c r="G8" s="18">
        <f>[1]Sheet1!S5</f>
        <v>9185</v>
      </c>
      <c r="H8" s="18">
        <f>[1]Sheet1!Q5</f>
        <v>8467</v>
      </c>
      <c r="I8" s="2">
        <f t="shared" ref="I8:I20" si="0">(G8/(M8*C8))</f>
        <v>0.76363485201197212</v>
      </c>
      <c r="J8" s="3">
        <f t="shared" ref="J8:J20" si="1">H8/D8</f>
        <v>3.3679395385839301</v>
      </c>
      <c r="K8" s="3">
        <f t="shared" ref="K8:K13" si="2">((C8*M8)-G8)/D8</f>
        <v>1.1308671439936357</v>
      </c>
      <c r="L8" s="4">
        <f t="shared" ref="L8:L20" si="3">D8/C8</f>
        <v>6.4793814432989691</v>
      </c>
      <c r="M8" s="20">
        <f>[1]Sheet1!E5</f>
        <v>31</v>
      </c>
      <c r="N8" s="10">
        <f>(G8/(31*C8))*100</f>
        <v>76.363485201197207</v>
      </c>
      <c r="O8" s="10"/>
      <c r="P8" s="10">
        <f>G8/(C8*31)*100</f>
        <v>76.363485201197207</v>
      </c>
      <c r="Q8" s="10"/>
    </row>
    <row r="9" spans="1:17" x14ac:dyDescent="0.25">
      <c r="A9" s="16">
        <v>2</v>
      </c>
      <c r="B9" s="17" t="s">
        <v>14</v>
      </c>
      <c r="C9" s="18">
        <f>[1]Sheet1!F6</f>
        <v>388</v>
      </c>
      <c r="D9" s="19">
        <f>[1]Sheet1!AA6</f>
        <v>2275</v>
      </c>
      <c r="E9" s="34">
        <f>[1]Sheet1!M6</f>
        <v>205</v>
      </c>
      <c r="F9" s="18">
        <f>[1]Sheet1!O6</f>
        <v>84</v>
      </c>
      <c r="G9" s="18">
        <f>[1]Sheet1!S6</f>
        <v>8103</v>
      </c>
      <c r="H9" s="18">
        <f>[1]Sheet1!Q6</f>
        <v>7538</v>
      </c>
      <c r="I9" s="2">
        <f t="shared" si="0"/>
        <v>0.74585787923416791</v>
      </c>
      <c r="J9" s="3">
        <f t="shared" si="1"/>
        <v>3.3134065934065933</v>
      </c>
      <c r="K9" s="3">
        <f t="shared" si="2"/>
        <v>1.2136263736263737</v>
      </c>
      <c r="L9" s="4">
        <f t="shared" si="3"/>
        <v>5.8634020618556697</v>
      </c>
      <c r="M9" s="20">
        <f>[1]Sheet1!E6</f>
        <v>28</v>
      </c>
      <c r="N9" s="10"/>
      <c r="O9" s="10"/>
      <c r="P9" s="10">
        <f t="shared" ref="P9:P21" si="4">G9/(C9*31)*100</f>
        <v>67.367808446957099</v>
      </c>
      <c r="Q9" s="10"/>
    </row>
    <row r="10" spans="1:17" x14ac:dyDescent="0.25">
      <c r="A10" s="16">
        <v>3</v>
      </c>
      <c r="B10" s="17" t="s">
        <v>15</v>
      </c>
      <c r="C10" s="18">
        <f>[1]Sheet1!F7</f>
        <v>388</v>
      </c>
      <c r="D10" s="19">
        <f>[1]Sheet1!AA7</f>
        <v>2402</v>
      </c>
      <c r="E10" s="34">
        <f>[1]Sheet1!M7</f>
        <v>259</v>
      </c>
      <c r="F10" s="18">
        <f>[1]Sheet1!O7</f>
        <v>146</v>
      </c>
      <c r="G10" s="18">
        <f>[1]Sheet1!S7</f>
        <v>8588</v>
      </c>
      <c r="H10" s="18">
        <f>[1]Sheet1!Q7</f>
        <v>8542</v>
      </c>
      <c r="I10" s="2">
        <f t="shared" si="0"/>
        <v>0.71400066511473226</v>
      </c>
      <c r="J10" s="3">
        <f t="shared" si="1"/>
        <v>3.5562031640299749</v>
      </c>
      <c r="K10" s="3">
        <f t="shared" si="2"/>
        <v>1.4321398834304746</v>
      </c>
      <c r="L10" s="4">
        <f t="shared" si="3"/>
        <v>6.1907216494845363</v>
      </c>
      <c r="M10" s="20">
        <f>[1]Sheet1!E7</f>
        <v>31</v>
      </c>
      <c r="N10" s="10"/>
      <c r="O10" s="10"/>
      <c r="P10" s="10">
        <f t="shared" si="4"/>
        <v>71.400066511473227</v>
      </c>
      <c r="Q10" s="10"/>
    </row>
    <row r="11" spans="1:17" x14ac:dyDescent="0.25">
      <c r="A11" s="16">
        <v>4</v>
      </c>
      <c r="B11" s="17" t="s">
        <v>16</v>
      </c>
      <c r="C11" s="18">
        <f>[1]Sheet1!F8</f>
        <v>388</v>
      </c>
      <c r="D11" s="19">
        <f>[1]Sheet1!AA8</f>
        <v>2903</v>
      </c>
      <c r="E11" s="34">
        <f>[1]Sheet1!M8</f>
        <v>251</v>
      </c>
      <c r="F11" s="18">
        <f>[1]Sheet1!O8</f>
        <v>123</v>
      </c>
      <c r="G11" s="18">
        <f>[1]Sheet1!S8</f>
        <v>10056</v>
      </c>
      <c r="H11" s="18">
        <f>[1]Sheet1!Q8</f>
        <v>10568</v>
      </c>
      <c r="I11" s="2">
        <f t="shared" si="0"/>
        <v>0.86391752577319592</v>
      </c>
      <c r="J11" s="3">
        <f t="shared" si="1"/>
        <v>3.6403720289355839</v>
      </c>
      <c r="K11" s="3">
        <f t="shared" si="2"/>
        <v>0.54564243885635555</v>
      </c>
      <c r="L11" s="4">
        <f t="shared" si="3"/>
        <v>7.481958762886598</v>
      </c>
      <c r="M11" s="20">
        <f>[1]Sheet1!E8</f>
        <v>30</v>
      </c>
      <c r="N11" s="10"/>
      <c r="O11" s="10">
        <f>31*305</f>
        <v>9455</v>
      </c>
      <c r="P11" s="10">
        <f t="shared" si="4"/>
        <v>83.60492184901895</v>
      </c>
      <c r="Q11" s="10"/>
    </row>
    <row r="12" spans="1:17" x14ac:dyDescent="0.25">
      <c r="A12" s="16">
        <v>5</v>
      </c>
      <c r="B12" s="17" t="s">
        <v>17</v>
      </c>
      <c r="C12" s="18">
        <f>[1]Sheet1!F9</f>
        <v>388</v>
      </c>
      <c r="D12" s="19">
        <f>[1]Sheet1!AA9</f>
        <v>2886</v>
      </c>
      <c r="E12" s="34">
        <f>[1]Sheet1!M9</f>
        <v>271</v>
      </c>
      <c r="F12" s="18">
        <f>[1]Sheet1!O9</f>
        <v>130</v>
      </c>
      <c r="G12" s="18">
        <f>[1]Sheet1!S9</f>
        <v>9915</v>
      </c>
      <c r="H12" s="18">
        <f>[1]Sheet1!Q9</f>
        <v>10519</v>
      </c>
      <c r="I12" s="2">
        <f t="shared" si="0"/>
        <v>0.82432657133355502</v>
      </c>
      <c r="J12" s="3">
        <f t="shared" si="1"/>
        <v>3.6448371448371448</v>
      </c>
      <c r="K12" s="3">
        <f t="shared" si="2"/>
        <v>0.73215523215523215</v>
      </c>
      <c r="L12" s="4">
        <f t="shared" si="3"/>
        <v>7.4381443298969074</v>
      </c>
      <c r="M12" s="20">
        <f>[1]Sheet1!E9</f>
        <v>31</v>
      </c>
      <c r="N12" s="10"/>
      <c r="O12" s="10"/>
      <c r="P12" s="10">
        <f t="shared" si="4"/>
        <v>82.432657133355505</v>
      </c>
      <c r="Q12" s="10"/>
    </row>
    <row r="13" spans="1:17" x14ac:dyDescent="0.25">
      <c r="A13" s="16">
        <v>6</v>
      </c>
      <c r="B13" s="17" t="s">
        <v>18</v>
      </c>
      <c r="C13" s="18">
        <f>[1]Sheet1!F10</f>
        <v>388</v>
      </c>
      <c r="D13" s="19">
        <f>[1]Sheet1!AA10</f>
        <v>2689</v>
      </c>
      <c r="E13" s="34">
        <f>[1]Sheet1!M10</f>
        <v>246</v>
      </c>
      <c r="F13" s="18">
        <f>[1]Sheet1!O10</f>
        <v>130</v>
      </c>
      <c r="G13" s="18">
        <f>[1]Sheet1!S10</f>
        <v>9751</v>
      </c>
      <c r="H13" s="18">
        <f>[1]Sheet1!Q10</f>
        <v>9954</v>
      </c>
      <c r="I13" s="2">
        <f t="shared" si="0"/>
        <v>0.83771477663230243</v>
      </c>
      <c r="J13" s="3">
        <f t="shared" si="1"/>
        <v>3.701747861658609</v>
      </c>
      <c r="K13" s="3">
        <f t="shared" si="2"/>
        <v>0.70249163257716618</v>
      </c>
      <c r="L13" s="4">
        <f t="shared" si="3"/>
        <v>6.9304123711340209</v>
      </c>
      <c r="M13" s="20">
        <f>[1]Sheet1!E10</f>
        <v>30</v>
      </c>
      <c r="N13" s="10"/>
      <c r="O13" s="10"/>
      <c r="P13" s="10">
        <f t="shared" si="4"/>
        <v>81.069171932158298</v>
      </c>
      <c r="Q13" s="10"/>
    </row>
    <row r="14" spans="1:17" x14ac:dyDescent="0.25">
      <c r="A14" s="16">
        <v>7</v>
      </c>
      <c r="B14" s="17" t="s">
        <v>19</v>
      </c>
      <c r="C14" s="18">
        <f>[1]Sheet1!F11</f>
        <v>0</v>
      </c>
      <c r="D14" s="19">
        <f>[1]Sheet1!AA11</f>
        <v>0</v>
      </c>
      <c r="E14" s="34">
        <f>[1]Sheet1!M11</f>
        <v>0</v>
      </c>
      <c r="F14" s="18">
        <f>[1]Sheet1!O11</f>
        <v>0</v>
      </c>
      <c r="G14" s="18">
        <f>[1]Sheet1!S11</f>
        <v>0</v>
      </c>
      <c r="H14" s="18">
        <f>[1]Sheet1!Q11</f>
        <v>0</v>
      </c>
      <c r="I14" s="2" t="e">
        <f t="shared" si="0"/>
        <v>#DIV/0!</v>
      </c>
      <c r="J14" s="3" t="e">
        <f>H14/D14</f>
        <v>#DIV/0!</v>
      </c>
      <c r="K14" s="3" t="e">
        <f t="shared" ref="K14:K19" si="5">((C14*31)-G14)/D14</f>
        <v>#DIV/0!</v>
      </c>
      <c r="L14" s="4" t="e">
        <f t="shared" si="3"/>
        <v>#DIV/0!</v>
      </c>
      <c r="M14" s="20">
        <f>[1]Sheet1!E11</f>
        <v>0</v>
      </c>
      <c r="N14" s="10"/>
      <c r="O14" s="10"/>
      <c r="P14" s="10" t="e">
        <f t="shared" si="4"/>
        <v>#DIV/0!</v>
      </c>
      <c r="Q14" s="10"/>
    </row>
    <row r="15" spans="1:17" x14ac:dyDescent="0.25">
      <c r="A15" s="16">
        <v>8</v>
      </c>
      <c r="B15" s="17" t="s">
        <v>20</v>
      </c>
      <c r="C15" s="18">
        <f>[1]Sheet1!F12</f>
        <v>0</v>
      </c>
      <c r="D15" s="19">
        <f>[1]Sheet1!AA12</f>
        <v>0</v>
      </c>
      <c r="E15" s="34">
        <f>[1]Sheet1!M12</f>
        <v>0</v>
      </c>
      <c r="F15" s="18">
        <f>[1]Sheet1!O12</f>
        <v>0</v>
      </c>
      <c r="G15" s="18">
        <f>[1]Sheet1!S12</f>
        <v>0</v>
      </c>
      <c r="H15" s="18">
        <f>[1]Sheet1!Q12</f>
        <v>0</v>
      </c>
      <c r="I15" s="2" t="e">
        <f t="shared" si="0"/>
        <v>#DIV/0!</v>
      </c>
      <c r="J15" s="3" t="e">
        <f t="shared" si="1"/>
        <v>#DIV/0!</v>
      </c>
      <c r="K15" s="3" t="e">
        <f t="shared" si="5"/>
        <v>#DIV/0!</v>
      </c>
      <c r="L15" s="4" t="e">
        <f t="shared" si="3"/>
        <v>#DIV/0!</v>
      </c>
      <c r="M15" s="20">
        <f>[1]Sheet1!E12</f>
        <v>0</v>
      </c>
      <c r="N15" s="10"/>
      <c r="O15" s="10"/>
      <c r="P15" s="10" t="e">
        <f t="shared" si="4"/>
        <v>#DIV/0!</v>
      </c>
      <c r="Q15" s="10"/>
    </row>
    <row r="16" spans="1:17" x14ac:dyDescent="0.25">
      <c r="A16" s="16">
        <v>9</v>
      </c>
      <c r="B16" s="17" t="s">
        <v>21</v>
      </c>
      <c r="C16" s="18">
        <f>[1]Sheet1!F13</f>
        <v>0</v>
      </c>
      <c r="D16" s="19">
        <f>[1]Sheet1!AA13</f>
        <v>0</v>
      </c>
      <c r="E16" s="34">
        <f>[1]Sheet1!M13</f>
        <v>0</v>
      </c>
      <c r="F16" s="18">
        <f>[1]Sheet1!O13</f>
        <v>0</v>
      </c>
      <c r="G16" s="18">
        <f>[1]Sheet1!S13</f>
        <v>0</v>
      </c>
      <c r="H16" s="18">
        <f>[1]Sheet1!Q13</f>
        <v>0</v>
      </c>
      <c r="I16" s="2" t="e">
        <f t="shared" si="0"/>
        <v>#DIV/0!</v>
      </c>
      <c r="J16" s="3" t="e">
        <f t="shared" si="1"/>
        <v>#DIV/0!</v>
      </c>
      <c r="K16" s="3" t="e">
        <f t="shared" si="5"/>
        <v>#DIV/0!</v>
      </c>
      <c r="L16" s="4" t="e">
        <f t="shared" si="3"/>
        <v>#DIV/0!</v>
      </c>
      <c r="M16" s="20">
        <f>[1]Sheet1!E13</f>
        <v>0</v>
      </c>
      <c r="N16" s="10"/>
      <c r="O16" s="10"/>
      <c r="P16" s="10" t="e">
        <f t="shared" si="4"/>
        <v>#DIV/0!</v>
      </c>
      <c r="Q16" s="10"/>
    </row>
    <row r="17" spans="1:17" x14ac:dyDescent="0.25">
      <c r="A17" s="16">
        <v>10</v>
      </c>
      <c r="B17" s="17" t="s">
        <v>22</v>
      </c>
      <c r="C17" s="18">
        <f>[1]Sheet1!F14</f>
        <v>0</v>
      </c>
      <c r="D17" s="19">
        <f>[1]Sheet1!AA14</f>
        <v>0</v>
      </c>
      <c r="E17" s="34">
        <f>[1]Sheet1!M14</f>
        <v>0</v>
      </c>
      <c r="F17" s="18">
        <f>[1]Sheet1!O14</f>
        <v>0</v>
      </c>
      <c r="G17" s="18">
        <f>[1]Sheet1!S14</f>
        <v>0</v>
      </c>
      <c r="H17" s="18">
        <f>[1]Sheet1!Q14</f>
        <v>0</v>
      </c>
      <c r="I17" s="2" t="e">
        <f t="shared" si="0"/>
        <v>#DIV/0!</v>
      </c>
      <c r="J17" s="3" t="e">
        <f t="shared" si="1"/>
        <v>#DIV/0!</v>
      </c>
      <c r="K17" s="3" t="e">
        <f t="shared" si="5"/>
        <v>#DIV/0!</v>
      </c>
      <c r="L17" s="4" t="e">
        <f t="shared" si="3"/>
        <v>#DIV/0!</v>
      </c>
      <c r="M17" s="20">
        <f>[1]Sheet1!E14</f>
        <v>0</v>
      </c>
      <c r="N17" s="10"/>
      <c r="O17" s="10"/>
      <c r="P17" s="10" t="e">
        <f t="shared" si="4"/>
        <v>#DIV/0!</v>
      </c>
      <c r="Q17" s="10" t="s">
        <v>60</v>
      </c>
    </row>
    <row r="18" spans="1:17" x14ac:dyDescent="0.25">
      <c r="A18" s="16">
        <v>11</v>
      </c>
      <c r="B18" s="17" t="s">
        <v>23</v>
      </c>
      <c r="C18" s="18">
        <f>[1]Sheet1!F15</f>
        <v>0</v>
      </c>
      <c r="D18" s="19">
        <f>[1]Sheet1!AA15</f>
        <v>0</v>
      </c>
      <c r="E18" s="34">
        <f>[1]Sheet1!M15</f>
        <v>0</v>
      </c>
      <c r="F18" s="18">
        <f>[1]Sheet1!O15</f>
        <v>0</v>
      </c>
      <c r="G18" s="18">
        <f>[1]Sheet1!S15</f>
        <v>0</v>
      </c>
      <c r="H18" s="18">
        <f>[1]Sheet1!Q15</f>
        <v>0</v>
      </c>
      <c r="I18" s="2" t="e">
        <f t="shared" si="0"/>
        <v>#DIV/0!</v>
      </c>
      <c r="J18" s="3" t="e">
        <f t="shared" si="1"/>
        <v>#DIV/0!</v>
      </c>
      <c r="K18" s="3" t="e">
        <f t="shared" si="5"/>
        <v>#DIV/0!</v>
      </c>
      <c r="L18" s="4" t="e">
        <f t="shared" si="3"/>
        <v>#DIV/0!</v>
      </c>
      <c r="M18" s="20">
        <f>[1]Sheet1!E15</f>
        <v>0</v>
      </c>
      <c r="N18" s="10"/>
      <c r="O18" s="10"/>
      <c r="P18" s="10" t="e">
        <f t="shared" si="4"/>
        <v>#DIV/0!</v>
      </c>
      <c r="Q18" s="10"/>
    </row>
    <row r="19" spans="1:17" x14ac:dyDescent="0.25">
      <c r="A19" s="16">
        <v>12</v>
      </c>
      <c r="B19" s="17" t="s">
        <v>24</v>
      </c>
      <c r="C19" s="18">
        <f>[1]Sheet1!F16</f>
        <v>0</v>
      </c>
      <c r="D19" s="19">
        <f>[1]Sheet1!AA16</f>
        <v>0</v>
      </c>
      <c r="E19" s="34">
        <f>[1]Sheet1!M16</f>
        <v>0</v>
      </c>
      <c r="F19" s="18">
        <f>[1]Sheet1!O16</f>
        <v>0</v>
      </c>
      <c r="G19" s="18">
        <f>[1]Sheet1!S16</f>
        <v>0</v>
      </c>
      <c r="H19" s="18">
        <f>[1]Sheet1!Q16</f>
        <v>0</v>
      </c>
      <c r="I19" s="2" t="e">
        <f t="shared" si="0"/>
        <v>#DIV/0!</v>
      </c>
      <c r="J19" s="3" t="e">
        <f t="shared" si="1"/>
        <v>#DIV/0!</v>
      </c>
      <c r="K19" s="3" t="e">
        <f t="shared" si="5"/>
        <v>#DIV/0!</v>
      </c>
      <c r="L19" s="4" t="e">
        <f t="shared" si="3"/>
        <v>#DIV/0!</v>
      </c>
      <c r="M19" s="20">
        <f>[1]Sheet1!E16</f>
        <v>0</v>
      </c>
      <c r="N19" s="10"/>
      <c r="O19" s="10"/>
      <c r="P19" s="10" t="e">
        <f t="shared" si="4"/>
        <v>#DIV/0!</v>
      </c>
      <c r="Q19" s="10"/>
    </row>
    <row r="20" spans="1:17" x14ac:dyDescent="0.25">
      <c r="A20" s="64" t="s">
        <v>25</v>
      </c>
      <c r="B20" s="65"/>
      <c r="C20" s="22">
        <v>388</v>
      </c>
      <c r="D20" s="23">
        <f t="shared" ref="D20:H20" si="6">SUM(D8:D19)</f>
        <v>15669</v>
      </c>
      <c r="E20" s="23">
        <f t="shared" si="6"/>
        <v>1462</v>
      </c>
      <c r="F20" s="23">
        <f t="shared" si="6"/>
        <v>736</v>
      </c>
      <c r="G20" s="23">
        <f t="shared" si="6"/>
        <v>55598</v>
      </c>
      <c r="H20" s="23">
        <f t="shared" si="6"/>
        <v>55588</v>
      </c>
      <c r="I20" s="2">
        <f t="shared" si="0"/>
        <v>0.79167853277894862</v>
      </c>
      <c r="J20" s="3">
        <f t="shared" si="1"/>
        <v>3.5476418405769352</v>
      </c>
      <c r="K20" s="3">
        <f>((C20*M20)-G20)/D20</f>
        <v>0.93369072691301291</v>
      </c>
      <c r="L20" s="4">
        <f t="shared" si="3"/>
        <v>40.384020618556704</v>
      </c>
      <c r="M20" s="20">
        <f>[1]Sheet1!E17</f>
        <v>181</v>
      </c>
      <c r="N20" s="10"/>
      <c r="O20" s="10"/>
      <c r="P20" s="10">
        <f t="shared" si="4"/>
        <v>462.23811107416032</v>
      </c>
      <c r="Q20" s="10"/>
    </row>
    <row r="21" spans="1:17" ht="15.75" customHeight="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 t="e">
        <f t="shared" si="4"/>
        <v>#DIV/0!</v>
      </c>
      <c r="Q21" s="10"/>
    </row>
    <row r="22" spans="1:17" ht="15.75" customHeight="1" x14ac:dyDescent="0.2"/>
    <row r="23" spans="1:17" ht="15.75" customHeight="1" x14ac:dyDescent="0.2"/>
    <row r="24" spans="1:17" ht="15.75" customHeight="1" x14ac:dyDescent="0.2">
      <c r="H24" s="1"/>
    </row>
    <row r="25" spans="1:17" ht="15.75" customHeight="1" x14ac:dyDescent="0.2"/>
    <row r="26" spans="1:17" ht="15.75" customHeight="1" x14ac:dyDescent="0.2">
      <c r="H26" s="1"/>
    </row>
    <row r="27" spans="1:17" ht="15.75" customHeight="1" x14ac:dyDescent="0.2"/>
    <row r="28" spans="1:17" ht="15.75" customHeight="1" x14ac:dyDescent="0.2"/>
    <row r="29" spans="1:17" ht="15.75" customHeight="1" x14ac:dyDescent="0.2"/>
    <row r="30" spans="1:17" ht="15.75" customHeight="1" x14ac:dyDescent="0.2"/>
    <row r="31" spans="1:17" ht="15.75" customHeight="1" x14ac:dyDescent="0.2"/>
    <row r="32" spans="1:17" ht="15.75" customHeight="1" x14ac:dyDescent="0.2"/>
    <row r="33" customFormat="1" ht="15.75" customHeight="1" x14ac:dyDescent="0.2"/>
    <row r="34" customFormat="1" ht="15.75" customHeight="1" x14ac:dyDescent="0.2"/>
    <row r="35" customFormat="1" ht="15.75" customHeight="1" x14ac:dyDescent="0.2"/>
    <row r="36" customFormat="1" ht="15.75" customHeight="1" x14ac:dyDescent="0.2"/>
    <row r="37" customFormat="1" ht="15.75" customHeight="1" x14ac:dyDescent="0.2"/>
    <row r="38" customFormat="1" ht="15.75" customHeight="1" x14ac:dyDescent="0.2"/>
    <row r="39" customFormat="1" ht="15.75" customHeight="1" x14ac:dyDescent="0.2"/>
    <row r="40" customFormat="1" ht="15.75" customHeight="1" x14ac:dyDescent="0.2"/>
    <row r="41" customFormat="1" ht="15.75" customHeight="1" x14ac:dyDescent="0.2"/>
    <row r="42" customFormat="1" ht="15.75" customHeight="1" x14ac:dyDescent="0.2"/>
    <row r="43" customFormat="1" ht="15.75" customHeight="1" x14ac:dyDescent="0.2"/>
    <row r="44" customFormat="1" ht="15.75" customHeight="1" x14ac:dyDescent="0.2"/>
    <row r="45" customFormat="1" ht="15.75" customHeight="1" x14ac:dyDescent="0.2"/>
    <row r="46" customFormat="1" ht="15.75" customHeight="1" x14ac:dyDescent="0.2"/>
    <row r="47" customFormat="1" ht="15.75" customHeight="1" x14ac:dyDescent="0.2"/>
    <row r="48" customFormat="1" ht="15.75" customHeight="1" x14ac:dyDescent="0.2"/>
    <row r="49" customFormat="1" ht="15.75" customHeight="1" x14ac:dyDescent="0.2"/>
    <row r="50" customFormat="1" ht="15.75" customHeight="1" x14ac:dyDescent="0.2"/>
    <row r="51" customFormat="1" ht="15.75" customHeight="1" x14ac:dyDescent="0.2"/>
    <row r="52" customFormat="1" ht="15.75" customHeight="1" x14ac:dyDescent="0.2"/>
    <row r="53" customFormat="1" ht="15.75" customHeight="1" x14ac:dyDescent="0.2"/>
    <row r="54" customFormat="1" ht="15.75" customHeight="1" x14ac:dyDescent="0.2"/>
    <row r="55" customFormat="1" ht="15.75" customHeight="1" x14ac:dyDescent="0.2"/>
    <row r="56" customFormat="1" ht="15.75" customHeight="1" x14ac:dyDescent="0.2"/>
    <row r="57" customFormat="1" ht="15.75" customHeight="1" x14ac:dyDescent="0.2"/>
    <row r="58" customFormat="1" ht="15.75" customHeight="1" x14ac:dyDescent="0.2"/>
    <row r="59" customFormat="1" ht="15.75" customHeight="1" x14ac:dyDescent="0.2"/>
    <row r="60" customFormat="1" ht="15.75" customHeight="1" x14ac:dyDescent="0.2"/>
    <row r="61" customFormat="1" ht="15.75" customHeight="1" x14ac:dyDescent="0.2"/>
    <row r="62" customFormat="1" ht="15.75" customHeight="1" x14ac:dyDescent="0.2"/>
    <row r="63" customFormat="1" ht="15.75" customHeight="1" x14ac:dyDescent="0.2"/>
    <row r="64" customFormat="1" ht="15.75" customHeight="1" x14ac:dyDescent="0.2"/>
    <row r="65" customFormat="1" ht="15.75" customHeight="1" x14ac:dyDescent="0.2"/>
    <row r="66" customFormat="1" ht="15.75" customHeight="1" x14ac:dyDescent="0.2"/>
    <row r="67" customFormat="1" ht="15.75" customHeight="1" x14ac:dyDescent="0.2"/>
    <row r="68" customFormat="1" ht="15.75" customHeight="1" x14ac:dyDescent="0.2"/>
    <row r="69" customFormat="1" ht="15.75" customHeight="1" x14ac:dyDescent="0.2"/>
    <row r="70" customFormat="1" ht="15.75" customHeight="1" x14ac:dyDescent="0.2"/>
    <row r="71" customFormat="1" ht="15.75" customHeight="1" x14ac:dyDescent="0.2"/>
    <row r="72" customFormat="1" ht="15.75" customHeight="1" x14ac:dyDescent="0.2"/>
    <row r="73" customFormat="1" ht="15.75" customHeight="1" x14ac:dyDescent="0.2"/>
    <row r="74" customFormat="1" ht="15.75" customHeight="1" x14ac:dyDescent="0.2"/>
    <row r="75" customFormat="1" ht="15.75" customHeight="1" x14ac:dyDescent="0.2"/>
    <row r="76" customFormat="1" ht="15.75" customHeight="1" x14ac:dyDescent="0.2"/>
    <row r="77" customFormat="1" ht="15.75" customHeight="1" x14ac:dyDescent="0.2"/>
    <row r="78" customFormat="1" ht="15.75" customHeight="1" x14ac:dyDescent="0.2"/>
    <row r="79" customFormat="1" ht="15.75" customHeight="1" x14ac:dyDescent="0.2"/>
    <row r="80" customFormat="1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sheetProtection algorithmName="SHA-512" hashValue="c3sPV3w9yX0yOfXHmAjR4GH5lenORy7yms7E9eMPTsxKc8KawaJW02M3H0U7FN5eHZjsr+z6t4B+beH3Vv0Rhw==" saltValue="AcxeXInSk9AqCzmTJLervg==" spinCount="100000" sheet="1" objects="1" scenarios="1"/>
  <mergeCells count="14">
    <mergeCell ref="A20:B20"/>
    <mergeCell ref="I5:I6"/>
    <mergeCell ref="J5:J6"/>
    <mergeCell ref="L5:L6"/>
    <mergeCell ref="A1:K1"/>
    <mergeCell ref="A2:K2"/>
    <mergeCell ref="A3:K3"/>
    <mergeCell ref="A5:A6"/>
    <mergeCell ref="B5:B6"/>
    <mergeCell ref="C5:C6"/>
    <mergeCell ref="D5:F5"/>
    <mergeCell ref="K5:K6"/>
    <mergeCell ref="G5:G6"/>
    <mergeCell ref="H5:H6"/>
  </mergeCells>
  <printOptions horizontalCentered="1"/>
  <pageMargins left="0.23622047244094491" right="0.23622047244094491" top="0.74803149606299213" bottom="0.74803149606299213" header="0" footer="0"/>
  <pageSetup paperSize="5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zoomScale="80" zoomScaleNormal="80" workbookViewId="0">
      <selection activeCell="J10" sqref="J10"/>
    </sheetView>
  </sheetViews>
  <sheetFormatPr defaultRowHeight="14.25" x14ac:dyDescent="0.2"/>
  <cols>
    <col min="6" max="13" width="9" customWidth="1"/>
  </cols>
  <sheetData>
    <row r="1" spans="1:13" ht="15.75" x14ac:dyDescent="0.25">
      <c r="A1" s="70" t="str">
        <f>'INDIKATOR KINERJA DINKES '!A1:K1</f>
        <v>INDIKATOR KINERJA PELAYANAN DI RUMAH SAKIT DEPKES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3" ht="15.75" x14ac:dyDescent="0.25">
      <c r="A2" s="70" t="str">
        <f>'INDIKATOR KINERJA DINKES '!A2:K2</f>
        <v>TAHUN 2026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3" ht="15.75" x14ac:dyDescent="0.25">
      <c r="A3" s="70"/>
      <c r="B3" s="71"/>
      <c r="C3" s="71"/>
      <c r="D3" s="71"/>
      <c r="E3" s="71"/>
      <c r="F3" s="71"/>
      <c r="G3" s="71"/>
      <c r="H3" s="71"/>
      <c r="I3" s="71"/>
      <c r="J3" s="71"/>
      <c r="K3" s="71"/>
    </row>
    <row r="5" spans="1:13" ht="15" x14ac:dyDescent="0.25">
      <c r="A5" s="66" t="s">
        <v>0</v>
      </c>
      <c r="B5" s="66" t="s">
        <v>1</v>
      </c>
      <c r="C5" s="66" t="s">
        <v>2</v>
      </c>
      <c r="D5" s="64" t="s">
        <v>3</v>
      </c>
      <c r="E5" s="65"/>
      <c r="F5" s="72"/>
      <c r="G5" s="66" t="s">
        <v>4</v>
      </c>
      <c r="H5" s="66" t="s">
        <v>5</v>
      </c>
      <c r="I5" s="66" t="s">
        <v>6</v>
      </c>
      <c r="J5" s="66" t="s">
        <v>7</v>
      </c>
      <c r="K5" s="66" t="s">
        <v>8</v>
      </c>
      <c r="L5" s="68" t="s">
        <v>9</v>
      </c>
      <c r="M5" s="9"/>
    </row>
    <row r="6" spans="1:13" ht="75" x14ac:dyDescent="0.2">
      <c r="A6" s="67"/>
      <c r="B6" s="67"/>
      <c r="C6" s="67"/>
      <c r="D6" s="11" t="s">
        <v>10</v>
      </c>
      <c r="E6" s="11" t="s">
        <v>11</v>
      </c>
      <c r="F6" s="11" t="s">
        <v>12</v>
      </c>
      <c r="G6" s="67"/>
      <c r="H6" s="67"/>
      <c r="I6" s="67"/>
      <c r="J6" s="67"/>
      <c r="K6" s="67"/>
      <c r="L6" s="69"/>
      <c r="M6" s="12"/>
    </row>
    <row r="7" spans="1:13" ht="15" x14ac:dyDescent="0.2">
      <c r="A7" s="13">
        <v>1</v>
      </c>
      <c r="B7" s="13">
        <v>2</v>
      </c>
      <c r="C7" s="13">
        <v>3</v>
      </c>
      <c r="D7" s="13">
        <v>4</v>
      </c>
      <c r="E7" s="13">
        <v>5</v>
      </c>
      <c r="F7" s="13">
        <v>6</v>
      </c>
      <c r="G7" s="13">
        <v>7</v>
      </c>
      <c r="H7" s="13">
        <v>8</v>
      </c>
      <c r="I7" s="13">
        <v>9</v>
      </c>
      <c r="J7" s="13">
        <v>10</v>
      </c>
      <c r="K7" s="13">
        <v>11</v>
      </c>
      <c r="L7" s="14">
        <v>12</v>
      </c>
      <c r="M7" s="15"/>
    </row>
    <row r="8" spans="1:13" ht="15" x14ac:dyDescent="0.25">
      <c r="A8" s="16">
        <v>1</v>
      </c>
      <c r="B8" s="17" t="s">
        <v>13</v>
      </c>
      <c r="C8" s="18">
        <f>'INDIKATOR KINERJA DINKES '!C8</f>
        <v>388</v>
      </c>
      <c r="D8" s="18">
        <f>'INDIKATOR KINERJA DINKES '!D8</f>
        <v>2514</v>
      </c>
      <c r="E8" s="18">
        <f>'INDIKATOR KINERJA DINKES '!E8</f>
        <v>230</v>
      </c>
      <c r="F8" s="18">
        <f>'INDIKATOR KINERJA DINKES '!F8</f>
        <v>123</v>
      </c>
      <c r="G8" s="18">
        <f>'INDIKATOR KINERJA DINKES '!G8</f>
        <v>9185</v>
      </c>
      <c r="H8" s="18">
        <f>'INDIKATOR KINERJA DINKES '!H8</f>
        <v>8467</v>
      </c>
      <c r="I8" s="2">
        <f>(G8/(M8*C8))</f>
        <v>0.76363485201197212</v>
      </c>
      <c r="J8" s="3">
        <f>G8/D8</f>
        <v>3.6535401750198888</v>
      </c>
      <c r="K8" s="3">
        <f t="shared" ref="K8:K13" si="0">((C8*M8)-G8)/D8</f>
        <v>1.1308671439936357</v>
      </c>
      <c r="L8" s="4">
        <f t="shared" ref="L8:L20" si="1">D8/C8</f>
        <v>6.4793814432989691</v>
      </c>
      <c r="M8" s="20">
        <f>'INDIKATOR KINERJA DINKES '!M8</f>
        <v>31</v>
      </c>
    </row>
    <row r="9" spans="1:13" ht="15" x14ac:dyDescent="0.25">
      <c r="A9" s="16">
        <v>2</v>
      </c>
      <c r="B9" s="17" t="s">
        <v>14</v>
      </c>
      <c r="C9" s="18">
        <f>'INDIKATOR KINERJA DINKES '!C9</f>
        <v>388</v>
      </c>
      <c r="D9" s="18">
        <f>'INDIKATOR KINERJA DINKES '!D9</f>
        <v>2275</v>
      </c>
      <c r="E9" s="18">
        <f>'INDIKATOR KINERJA DINKES '!E9</f>
        <v>205</v>
      </c>
      <c r="F9" s="18">
        <f>'INDIKATOR KINERJA DINKES '!F9</f>
        <v>84</v>
      </c>
      <c r="G9" s="18">
        <f>'INDIKATOR KINERJA DINKES '!G9</f>
        <v>8103</v>
      </c>
      <c r="H9" s="18">
        <f>'INDIKATOR KINERJA DINKES '!H9</f>
        <v>7538</v>
      </c>
      <c r="I9" s="2">
        <f t="shared" ref="I9:I19" si="2">(G9/(M9*C9))</f>
        <v>0.74585787923416791</v>
      </c>
      <c r="J9" s="3">
        <f t="shared" ref="J9:J19" si="3">G9/D9</f>
        <v>3.5617582417582416</v>
      </c>
      <c r="K9" s="3">
        <f t="shared" si="0"/>
        <v>1.2136263736263737</v>
      </c>
      <c r="L9" s="4">
        <f t="shared" si="1"/>
        <v>5.8634020618556697</v>
      </c>
      <c r="M9" s="20">
        <f>'INDIKATOR KINERJA DINKES '!M9</f>
        <v>28</v>
      </c>
    </row>
    <row r="10" spans="1:13" ht="15" x14ac:dyDescent="0.25">
      <c r="A10" s="16">
        <v>3</v>
      </c>
      <c r="B10" s="17" t="s">
        <v>15</v>
      </c>
      <c r="C10" s="18">
        <f>'INDIKATOR KINERJA DINKES '!C10</f>
        <v>388</v>
      </c>
      <c r="D10" s="18">
        <f>'INDIKATOR KINERJA DINKES '!D10</f>
        <v>2402</v>
      </c>
      <c r="E10" s="18">
        <f>'INDIKATOR KINERJA DINKES '!E10</f>
        <v>259</v>
      </c>
      <c r="F10" s="18">
        <f>'INDIKATOR KINERJA DINKES '!F10</f>
        <v>146</v>
      </c>
      <c r="G10" s="18">
        <f>'INDIKATOR KINERJA DINKES '!G10</f>
        <v>8588</v>
      </c>
      <c r="H10" s="18">
        <f>'INDIKATOR KINERJA DINKES '!H10</f>
        <v>8542</v>
      </c>
      <c r="I10" s="2">
        <f t="shared" si="2"/>
        <v>0.71400066511473226</v>
      </c>
      <c r="J10" s="3">
        <f t="shared" si="3"/>
        <v>3.575353871773522</v>
      </c>
      <c r="K10" s="3">
        <f t="shared" si="0"/>
        <v>1.4321398834304746</v>
      </c>
      <c r="L10" s="4">
        <f t="shared" si="1"/>
        <v>6.1907216494845363</v>
      </c>
      <c r="M10" s="20">
        <f>'INDIKATOR KINERJA DINKES '!M10</f>
        <v>31</v>
      </c>
    </row>
    <row r="11" spans="1:13" ht="15" x14ac:dyDescent="0.25">
      <c r="A11" s="16">
        <v>4</v>
      </c>
      <c r="B11" s="17" t="s">
        <v>16</v>
      </c>
      <c r="C11" s="18">
        <f>'INDIKATOR KINERJA DINKES '!C11</f>
        <v>388</v>
      </c>
      <c r="D11" s="18">
        <f>'INDIKATOR KINERJA DINKES '!D11</f>
        <v>2903</v>
      </c>
      <c r="E11" s="18">
        <f>'INDIKATOR KINERJA DINKES '!E11</f>
        <v>251</v>
      </c>
      <c r="F11" s="18">
        <f>'INDIKATOR KINERJA DINKES '!F11</f>
        <v>123</v>
      </c>
      <c r="G11" s="18">
        <f>'INDIKATOR KINERJA DINKES '!G11</f>
        <v>10056</v>
      </c>
      <c r="H11" s="18">
        <f>'INDIKATOR KINERJA DINKES '!H11</f>
        <v>10568</v>
      </c>
      <c r="I11" s="2">
        <f t="shared" si="2"/>
        <v>0.86391752577319592</v>
      </c>
      <c r="J11" s="3">
        <f t="shared" si="3"/>
        <v>3.4640027557698931</v>
      </c>
      <c r="K11" s="3">
        <f t="shared" si="0"/>
        <v>0.54564243885635555</v>
      </c>
      <c r="L11" s="4">
        <f t="shared" si="1"/>
        <v>7.481958762886598</v>
      </c>
      <c r="M11" s="20">
        <f>'INDIKATOR KINERJA DINKES '!M11</f>
        <v>30</v>
      </c>
    </row>
    <row r="12" spans="1:13" ht="15" x14ac:dyDescent="0.25">
      <c r="A12" s="16">
        <v>5</v>
      </c>
      <c r="B12" s="17" t="s">
        <v>17</v>
      </c>
      <c r="C12" s="18">
        <f>'INDIKATOR KINERJA DINKES '!C12</f>
        <v>388</v>
      </c>
      <c r="D12" s="18">
        <f>'INDIKATOR KINERJA DINKES '!D12</f>
        <v>2886</v>
      </c>
      <c r="E12" s="18">
        <f>'INDIKATOR KINERJA DINKES '!E12</f>
        <v>271</v>
      </c>
      <c r="F12" s="18">
        <f>'INDIKATOR KINERJA DINKES '!F12</f>
        <v>130</v>
      </c>
      <c r="G12" s="18">
        <f>'INDIKATOR KINERJA DINKES '!G12</f>
        <v>9915</v>
      </c>
      <c r="H12" s="18">
        <f>'INDIKATOR KINERJA DINKES '!H12</f>
        <v>10519</v>
      </c>
      <c r="I12" s="2">
        <f t="shared" si="2"/>
        <v>0.82432657133355502</v>
      </c>
      <c r="J12" s="3">
        <f t="shared" si="3"/>
        <v>3.4355509355509355</v>
      </c>
      <c r="K12" s="3">
        <f t="shared" si="0"/>
        <v>0.73215523215523215</v>
      </c>
      <c r="L12" s="4">
        <f t="shared" si="1"/>
        <v>7.4381443298969074</v>
      </c>
      <c r="M12" s="20">
        <f>'INDIKATOR KINERJA DINKES '!M12</f>
        <v>31</v>
      </c>
    </row>
    <row r="13" spans="1:13" ht="15" x14ac:dyDescent="0.25">
      <c r="A13" s="16">
        <v>6</v>
      </c>
      <c r="B13" s="17" t="s">
        <v>18</v>
      </c>
      <c r="C13" s="18">
        <f>'INDIKATOR KINERJA DINKES '!C13</f>
        <v>388</v>
      </c>
      <c r="D13" s="18">
        <f>'INDIKATOR KINERJA DINKES '!D13</f>
        <v>2689</v>
      </c>
      <c r="E13" s="18">
        <f>'INDIKATOR KINERJA DINKES '!E13</f>
        <v>246</v>
      </c>
      <c r="F13" s="18">
        <f>'INDIKATOR KINERJA DINKES '!F13</f>
        <v>130</v>
      </c>
      <c r="G13" s="18">
        <f>'INDIKATOR KINERJA DINKES '!G13</f>
        <v>9751</v>
      </c>
      <c r="H13" s="18">
        <f>'INDIKATOR KINERJA DINKES '!H13</f>
        <v>9954</v>
      </c>
      <c r="I13" s="2">
        <f t="shared" si="2"/>
        <v>0.83771477663230243</v>
      </c>
      <c r="J13" s="3">
        <f t="shared" si="3"/>
        <v>3.6262551134250649</v>
      </c>
      <c r="K13" s="3">
        <f t="shared" si="0"/>
        <v>0.70249163257716618</v>
      </c>
      <c r="L13" s="4">
        <f t="shared" si="1"/>
        <v>6.9304123711340209</v>
      </c>
      <c r="M13" s="20">
        <f>'INDIKATOR KINERJA DINKES '!M13</f>
        <v>30</v>
      </c>
    </row>
    <row r="14" spans="1:13" ht="15" x14ac:dyDescent="0.25">
      <c r="A14" s="16">
        <v>7</v>
      </c>
      <c r="B14" s="17" t="s">
        <v>19</v>
      </c>
      <c r="C14" s="18">
        <f>'INDIKATOR KINERJA DINKES '!C14</f>
        <v>0</v>
      </c>
      <c r="D14" s="18">
        <f>'INDIKATOR KINERJA DINKES '!D14</f>
        <v>0</v>
      </c>
      <c r="E14" s="18">
        <f>'INDIKATOR KINERJA DINKES '!E14</f>
        <v>0</v>
      </c>
      <c r="F14" s="18">
        <f>'INDIKATOR KINERJA DINKES '!F14</f>
        <v>0</v>
      </c>
      <c r="G14" s="18">
        <f>'INDIKATOR KINERJA DINKES '!G14</f>
        <v>0</v>
      </c>
      <c r="H14" s="18">
        <f>'INDIKATOR KINERJA DINKES '!H14</f>
        <v>0</v>
      </c>
      <c r="I14" s="2" t="e">
        <f t="shared" si="2"/>
        <v>#DIV/0!</v>
      </c>
      <c r="J14" s="3" t="e">
        <f t="shared" si="3"/>
        <v>#DIV/0!</v>
      </c>
      <c r="K14" s="3" t="e">
        <f t="shared" ref="K14:K19" si="4">((C14*31)-G14)/D14</f>
        <v>#DIV/0!</v>
      </c>
      <c r="L14" s="4" t="e">
        <f t="shared" si="1"/>
        <v>#DIV/0!</v>
      </c>
      <c r="M14" s="20">
        <f>'INDIKATOR KINERJA DINKES '!M14</f>
        <v>0</v>
      </c>
    </row>
    <row r="15" spans="1:13" ht="15" x14ac:dyDescent="0.25">
      <c r="A15" s="16">
        <v>8</v>
      </c>
      <c r="B15" s="17" t="s">
        <v>20</v>
      </c>
      <c r="C15" s="18">
        <f>'INDIKATOR KINERJA DINKES '!C15</f>
        <v>0</v>
      </c>
      <c r="D15" s="18">
        <f>'INDIKATOR KINERJA DINKES '!D15</f>
        <v>0</v>
      </c>
      <c r="E15" s="18">
        <f>'INDIKATOR KINERJA DINKES '!E15</f>
        <v>0</v>
      </c>
      <c r="F15" s="18">
        <f>'INDIKATOR KINERJA DINKES '!F15</f>
        <v>0</v>
      </c>
      <c r="G15" s="18">
        <f>'INDIKATOR KINERJA DINKES '!G15</f>
        <v>0</v>
      </c>
      <c r="H15" s="18">
        <f>'INDIKATOR KINERJA DINKES '!H15</f>
        <v>0</v>
      </c>
      <c r="I15" s="2" t="e">
        <f t="shared" ref="I15" si="5">(G15/(M15*C15))</f>
        <v>#DIV/0!</v>
      </c>
      <c r="J15" s="3" t="e">
        <f t="shared" ref="J15" si="6">G15/D15</f>
        <v>#DIV/0!</v>
      </c>
      <c r="K15" s="3" t="e">
        <f t="shared" ref="K15" si="7">((C15*31)-G15)/D15</f>
        <v>#DIV/0!</v>
      </c>
      <c r="L15" s="4" t="e">
        <f t="shared" ref="L15" si="8">D15/C15</f>
        <v>#DIV/0!</v>
      </c>
      <c r="M15" s="20">
        <f>'INDIKATOR KINERJA DINKES '!M15</f>
        <v>0</v>
      </c>
    </row>
    <row r="16" spans="1:13" ht="15" x14ac:dyDescent="0.25">
      <c r="A16" s="16">
        <v>9</v>
      </c>
      <c r="B16" s="17" t="s">
        <v>21</v>
      </c>
      <c r="C16" s="18">
        <f>'INDIKATOR KINERJA DINKES '!C16</f>
        <v>0</v>
      </c>
      <c r="D16" s="18">
        <f>'INDIKATOR KINERJA DINKES '!D16</f>
        <v>0</v>
      </c>
      <c r="E16" s="18">
        <f>'INDIKATOR KINERJA DINKES '!E16</f>
        <v>0</v>
      </c>
      <c r="F16" s="18">
        <f>'INDIKATOR KINERJA DINKES '!F16</f>
        <v>0</v>
      </c>
      <c r="G16" s="18">
        <f>'INDIKATOR KINERJA DINKES '!G16</f>
        <v>0</v>
      </c>
      <c r="H16" s="18">
        <f>'INDIKATOR KINERJA DINKES '!H16</f>
        <v>0</v>
      </c>
      <c r="I16" s="2" t="e">
        <f t="shared" si="2"/>
        <v>#DIV/0!</v>
      </c>
      <c r="J16" s="3" t="e">
        <f t="shared" si="3"/>
        <v>#DIV/0!</v>
      </c>
      <c r="K16" s="3" t="e">
        <f t="shared" si="4"/>
        <v>#DIV/0!</v>
      </c>
      <c r="L16" s="4" t="e">
        <f t="shared" si="1"/>
        <v>#DIV/0!</v>
      </c>
      <c r="M16" s="20">
        <f>'INDIKATOR KINERJA DINKES '!M16</f>
        <v>0</v>
      </c>
    </row>
    <row r="17" spans="1:13" ht="15" x14ac:dyDescent="0.25">
      <c r="A17" s="16">
        <v>10</v>
      </c>
      <c r="B17" s="17" t="s">
        <v>22</v>
      </c>
      <c r="C17" s="18">
        <f>'INDIKATOR KINERJA DINKES '!C17</f>
        <v>0</v>
      </c>
      <c r="D17" s="18">
        <f>'INDIKATOR KINERJA DINKES '!D17</f>
        <v>0</v>
      </c>
      <c r="E17" s="18">
        <f>'INDIKATOR KINERJA DINKES '!E17</f>
        <v>0</v>
      </c>
      <c r="F17" s="18">
        <f>'INDIKATOR KINERJA DINKES '!F17</f>
        <v>0</v>
      </c>
      <c r="G17" s="18">
        <f>'INDIKATOR KINERJA DINKES '!G17</f>
        <v>0</v>
      </c>
      <c r="H17" s="18">
        <f>'INDIKATOR KINERJA DINKES '!H17</f>
        <v>0</v>
      </c>
      <c r="I17" s="2" t="e">
        <f t="shared" si="2"/>
        <v>#DIV/0!</v>
      </c>
      <c r="J17" s="3" t="e">
        <f t="shared" si="3"/>
        <v>#DIV/0!</v>
      </c>
      <c r="K17" s="3" t="e">
        <f t="shared" si="4"/>
        <v>#DIV/0!</v>
      </c>
      <c r="L17" s="4" t="e">
        <f t="shared" si="1"/>
        <v>#DIV/0!</v>
      </c>
      <c r="M17" s="20">
        <f>'INDIKATOR KINERJA DINKES '!M17</f>
        <v>0</v>
      </c>
    </row>
    <row r="18" spans="1:13" ht="15" x14ac:dyDescent="0.25">
      <c r="A18" s="16">
        <v>11</v>
      </c>
      <c r="B18" s="17" t="s">
        <v>23</v>
      </c>
      <c r="C18" s="18">
        <f>'INDIKATOR KINERJA DINKES '!C18</f>
        <v>0</v>
      </c>
      <c r="D18" s="18">
        <f>'INDIKATOR KINERJA DINKES '!D18</f>
        <v>0</v>
      </c>
      <c r="E18" s="18">
        <f>'INDIKATOR KINERJA DINKES '!E18</f>
        <v>0</v>
      </c>
      <c r="F18" s="18">
        <f>'INDIKATOR KINERJA DINKES '!F18</f>
        <v>0</v>
      </c>
      <c r="G18" s="18">
        <f>'INDIKATOR KINERJA DINKES '!G18</f>
        <v>0</v>
      </c>
      <c r="H18" s="18">
        <f>'INDIKATOR KINERJA DINKES '!H18</f>
        <v>0</v>
      </c>
      <c r="I18" s="2" t="e">
        <f t="shared" si="2"/>
        <v>#DIV/0!</v>
      </c>
      <c r="J18" s="3" t="e">
        <f t="shared" si="3"/>
        <v>#DIV/0!</v>
      </c>
      <c r="K18" s="3" t="e">
        <f t="shared" si="4"/>
        <v>#DIV/0!</v>
      </c>
      <c r="L18" s="4" t="e">
        <f t="shared" si="1"/>
        <v>#DIV/0!</v>
      </c>
      <c r="M18" s="20">
        <f>'INDIKATOR KINERJA DINKES '!M18</f>
        <v>0</v>
      </c>
    </row>
    <row r="19" spans="1:13" ht="15" x14ac:dyDescent="0.25">
      <c r="A19" s="16">
        <v>12</v>
      </c>
      <c r="B19" s="17" t="s">
        <v>24</v>
      </c>
      <c r="C19" s="18">
        <f>'INDIKATOR KINERJA DINKES '!C19</f>
        <v>0</v>
      </c>
      <c r="D19" s="18">
        <f>'INDIKATOR KINERJA DINKES '!D19</f>
        <v>0</v>
      </c>
      <c r="E19" s="18">
        <f>'INDIKATOR KINERJA DINKES '!E19</f>
        <v>0</v>
      </c>
      <c r="F19" s="18">
        <f>'INDIKATOR KINERJA DINKES '!F19</f>
        <v>0</v>
      </c>
      <c r="G19" s="18">
        <f>'INDIKATOR KINERJA DINKES '!G19</f>
        <v>0</v>
      </c>
      <c r="H19" s="18">
        <f>'INDIKATOR KINERJA DINKES '!H19</f>
        <v>0</v>
      </c>
      <c r="I19" s="2" t="e">
        <f t="shared" si="2"/>
        <v>#DIV/0!</v>
      </c>
      <c r="J19" s="3" t="e">
        <f t="shared" si="3"/>
        <v>#DIV/0!</v>
      </c>
      <c r="K19" s="3" t="e">
        <f t="shared" si="4"/>
        <v>#DIV/0!</v>
      </c>
      <c r="L19" s="4" t="e">
        <f t="shared" si="1"/>
        <v>#DIV/0!</v>
      </c>
      <c r="M19" s="20">
        <f>'INDIKATOR KINERJA DINKES '!M19</f>
        <v>0</v>
      </c>
    </row>
    <row r="20" spans="1:13" ht="15" x14ac:dyDescent="0.25">
      <c r="A20" s="64" t="s">
        <v>25</v>
      </c>
      <c r="B20" s="65"/>
      <c r="C20" s="22">
        <v>390</v>
      </c>
      <c r="D20" s="23">
        <f t="shared" ref="D20:H20" si="9">SUM(D8:D19)</f>
        <v>15669</v>
      </c>
      <c r="E20" s="23">
        <f t="shared" si="9"/>
        <v>1462</v>
      </c>
      <c r="F20" s="23">
        <f t="shared" si="9"/>
        <v>736</v>
      </c>
      <c r="G20" s="23">
        <f t="shared" si="9"/>
        <v>55598</v>
      </c>
      <c r="H20" s="23">
        <f t="shared" si="9"/>
        <v>55588</v>
      </c>
      <c r="I20" s="2">
        <f>(G20/(M20*C20))</f>
        <v>0.78761864286726169</v>
      </c>
      <c r="J20" s="3">
        <f>G20/D20</f>
        <v>3.5482800433977917</v>
      </c>
      <c r="K20" s="3">
        <f>((C20*M20)-G20)/D20</f>
        <v>0.9567936690280171</v>
      </c>
      <c r="L20" s="4">
        <f t="shared" si="1"/>
        <v>40.176923076923075</v>
      </c>
      <c r="M20" s="20">
        <f>'INDIKATOR KINERJA DINKES '!M20</f>
        <v>181</v>
      </c>
    </row>
  </sheetData>
  <sheetProtection algorithmName="SHA-512" hashValue="iMwEFqz9OGLQ9LZajmTxLFkPpFeC7wPZ3/jAe8SWPQmjt4G/JVtuUohMdtEgt/tZepEDnl7IJCqkgHNEdp2X2g==" saltValue="Gv0Hi7FeTZP+Gmo4do/ngw==" spinCount="100000" sheet="1" objects="1" scenarios="1"/>
  <mergeCells count="14">
    <mergeCell ref="J5:J6"/>
    <mergeCell ref="K5:K6"/>
    <mergeCell ref="L5:L6"/>
    <mergeCell ref="A20:B20"/>
    <mergeCell ref="A1:K1"/>
    <mergeCell ref="A2:K2"/>
    <mergeCell ref="A3:K3"/>
    <mergeCell ref="A5:A6"/>
    <mergeCell ref="B5:B6"/>
    <mergeCell ref="C5:C6"/>
    <mergeCell ref="D5:F5"/>
    <mergeCell ref="G5:G6"/>
    <mergeCell ref="H5:H6"/>
    <mergeCell ref="I5:I6"/>
  </mergeCells>
  <printOptions horizontalCentered="1"/>
  <pageMargins left="0.70866141732283472" right="0.70866141732283472" top="0.74803149606299213" bottom="0.74803149606299213" header="0.31496062992125984" footer="0.31496062992125984"/>
  <pageSetup paperSize="5" scale="9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0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M13" sqref="M13:N13"/>
    </sheetView>
  </sheetViews>
  <sheetFormatPr defaultRowHeight="14.25" x14ac:dyDescent="0.2"/>
  <cols>
    <col min="1" max="1" width="5.25" style="10" hidden="1" customWidth="1"/>
    <col min="2" max="2" width="9" style="10"/>
    <col min="3" max="3" width="5.75" style="10" customWidth="1"/>
    <col min="4" max="4" width="7.875" style="10" bestFit="1" customWidth="1"/>
    <col min="5" max="5" width="6.875" style="10" customWidth="1"/>
    <col min="6" max="6" width="6.75" style="10" customWidth="1"/>
    <col min="7" max="15" width="5.625" style="10" customWidth="1"/>
    <col min="16" max="21" width="7.625" style="10" customWidth="1"/>
    <col min="22" max="23" width="8.375" style="10" customWidth="1"/>
    <col min="24" max="24" width="7.625" style="10" customWidth="1"/>
    <col min="25" max="25" width="5.625" style="10" customWidth="1"/>
    <col min="26" max="26" width="9.5" style="10" customWidth="1"/>
    <col min="27" max="27" width="5.625" style="10" customWidth="1"/>
    <col min="28" max="28" width="8.875" style="10" customWidth="1"/>
    <col min="29" max="16384" width="9" style="10"/>
  </cols>
  <sheetData>
    <row r="1" spans="1:28" ht="18.75" x14ac:dyDescent="0.3">
      <c r="A1" s="80" t="str">
        <f>'INDIKATOR KINERJA DINKES '!A1:K1</f>
        <v>INDIKATOR KINERJA PELAYANAN DI RUMAH SAKIT DEPKES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28" ht="18.75" x14ac:dyDescent="0.3">
      <c r="A2" s="80" t="s">
        <v>44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3" spans="1:28" ht="18.75" x14ac:dyDescent="0.3">
      <c r="A3" s="80" t="str">
        <f>'INDIKATOR KINERJA DINKES '!A2:K2</f>
        <v>TAHUN 2026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</row>
    <row r="4" spans="1:28" ht="18.75" x14ac:dyDescent="0.3">
      <c r="A4" s="81" t="s">
        <v>45</v>
      </c>
      <c r="B4" s="82"/>
      <c r="C4" s="82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28" ht="15" customHeight="1" x14ac:dyDescent="0.2">
      <c r="A5" s="78" t="s">
        <v>46</v>
      </c>
      <c r="B5" s="79" t="s">
        <v>38</v>
      </c>
      <c r="C5" s="79" t="s">
        <v>47</v>
      </c>
      <c r="D5" s="78" t="s">
        <v>48</v>
      </c>
      <c r="E5" s="78"/>
      <c r="F5" s="78"/>
      <c r="G5" s="78" t="s">
        <v>49</v>
      </c>
      <c r="H5" s="78"/>
      <c r="I5" s="78"/>
      <c r="J5" s="78" t="s">
        <v>50</v>
      </c>
      <c r="K5" s="78"/>
      <c r="L5" s="78"/>
      <c r="M5" s="78" t="s">
        <v>51</v>
      </c>
      <c r="N5" s="78"/>
      <c r="O5" s="78"/>
      <c r="P5" s="78" t="s">
        <v>58</v>
      </c>
      <c r="Q5" s="78"/>
      <c r="R5" s="78"/>
      <c r="S5" s="78" t="s">
        <v>59</v>
      </c>
      <c r="T5" s="78"/>
      <c r="U5" s="78"/>
      <c r="V5" s="78" t="s">
        <v>57</v>
      </c>
      <c r="W5" s="78"/>
      <c r="X5" s="78"/>
      <c r="Y5" s="73" t="s">
        <v>39</v>
      </c>
      <c r="Z5" s="74"/>
      <c r="AA5" s="74"/>
      <c r="AB5" s="75" t="s">
        <v>40</v>
      </c>
    </row>
    <row r="6" spans="1:28" ht="29.25" customHeight="1" x14ac:dyDescent="0.2">
      <c r="A6" s="78"/>
      <c r="B6" s="79"/>
      <c r="C6" s="79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25" t="s">
        <v>41</v>
      </c>
      <c r="Z6" s="25" t="s">
        <v>42</v>
      </c>
      <c r="AA6" s="26" t="s">
        <v>43</v>
      </c>
      <c r="AB6" s="74"/>
    </row>
    <row r="7" spans="1:28" ht="15" x14ac:dyDescent="0.25">
      <c r="A7" s="78"/>
      <c r="B7" s="79"/>
      <c r="C7" s="79"/>
      <c r="D7" s="27" t="s">
        <v>32</v>
      </c>
      <c r="E7" s="27" t="s">
        <v>33</v>
      </c>
      <c r="F7" s="27" t="s">
        <v>34</v>
      </c>
      <c r="G7" s="27" t="s">
        <v>32</v>
      </c>
      <c r="H7" s="27" t="s">
        <v>33</v>
      </c>
      <c r="I7" s="27" t="s">
        <v>34</v>
      </c>
      <c r="J7" s="27" t="s">
        <v>32</v>
      </c>
      <c r="K7" s="27" t="s">
        <v>33</v>
      </c>
      <c r="L7" s="27" t="s">
        <v>34</v>
      </c>
      <c r="M7" s="27" t="s">
        <v>32</v>
      </c>
      <c r="N7" s="27" t="s">
        <v>33</v>
      </c>
      <c r="O7" s="27" t="s">
        <v>34</v>
      </c>
      <c r="P7" s="27" t="s">
        <v>32</v>
      </c>
      <c r="Q7" s="27" t="s">
        <v>33</v>
      </c>
      <c r="R7" s="27" t="s">
        <v>34</v>
      </c>
      <c r="S7" s="27" t="s">
        <v>32</v>
      </c>
      <c r="T7" s="27" t="s">
        <v>33</v>
      </c>
      <c r="U7" s="27" t="s">
        <v>34</v>
      </c>
      <c r="V7" s="27" t="s">
        <v>32</v>
      </c>
      <c r="W7" s="27" t="s">
        <v>33</v>
      </c>
      <c r="X7" s="28" t="s">
        <v>34</v>
      </c>
      <c r="Y7" s="29">
        <v>19</v>
      </c>
      <c r="Z7" s="29">
        <v>20</v>
      </c>
      <c r="AA7" s="29">
        <v>21</v>
      </c>
      <c r="AB7" s="29">
        <v>22</v>
      </c>
    </row>
    <row r="8" spans="1:28" ht="15" x14ac:dyDescent="0.25">
      <c r="A8" s="30"/>
      <c r="B8" s="30" t="s">
        <v>52</v>
      </c>
      <c r="C8" s="31">
        <f>'INDIKATOR KINERJA DINKES '!C8</f>
        <v>388</v>
      </c>
      <c r="D8" s="32">
        <v>1082</v>
      </c>
      <c r="E8" s="32">
        <v>1202</v>
      </c>
      <c r="F8" s="33">
        <f t="shared" ref="F8:F19" si="0">D8+E8</f>
        <v>2284</v>
      </c>
      <c r="G8" s="32">
        <f>+J8+M8</f>
        <v>119</v>
      </c>
      <c r="H8" s="32">
        <f>+K8+N8</f>
        <v>111</v>
      </c>
      <c r="I8" s="34">
        <f t="shared" ref="I8:I19" si="1">G8+H8</f>
        <v>230</v>
      </c>
      <c r="J8" s="32">
        <v>56</v>
      </c>
      <c r="K8" s="32">
        <v>51</v>
      </c>
      <c r="L8" s="35">
        <f>J8+K8</f>
        <v>107</v>
      </c>
      <c r="M8" s="32">
        <v>63</v>
      </c>
      <c r="N8" s="32">
        <v>60</v>
      </c>
      <c r="O8" s="34">
        <f t="shared" ref="O8:O19" si="2">M8+N8</f>
        <v>123</v>
      </c>
      <c r="P8" s="5">
        <f>(G8/V8)*1000</f>
        <v>99.084096586178191</v>
      </c>
      <c r="Q8" s="5">
        <f>(H8/W8)*1000</f>
        <v>84.539223153084535</v>
      </c>
      <c r="R8" s="5">
        <f>(I8/X8)*1000</f>
        <v>91.487669053301516</v>
      </c>
      <c r="S8" s="5">
        <f>(M8/V8)*1000</f>
        <v>52.456286427976686</v>
      </c>
      <c r="T8" s="5">
        <f>(N8/W8)*1000</f>
        <v>45.696877380045699</v>
      </c>
      <c r="U8" s="6">
        <f>(O8/X8)*1000</f>
        <v>48.92601431980907</v>
      </c>
      <c r="V8" s="36">
        <f>+D8+G8</f>
        <v>1201</v>
      </c>
      <c r="W8" s="36">
        <f>+E8+H8</f>
        <v>1313</v>
      </c>
      <c r="X8" s="37">
        <f>+F8+I8</f>
        <v>2514</v>
      </c>
      <c r="Y8" s="38"/>
      <c r="Z8" s="38"/>
      <c r="AA8" s="38">
        <v>4</v>
      </c>
      <c r="AB8" s="38">
        <v>13</v>
      </c>
    </row>
    <row r="9" spans="1:28" ht="15" x14ac:dyDescent="0.25">
      <c r="A9" s="39"/>
      <c r="B9" s="39" t="s">
        <v>53</v>
      </c>
      <c r="C9" s="31">
        <f>'INDIKATOR KINERJA DINKES '!C9</f>
        <v>388</v>
      </c>
      <c r="D9" s="63">
        <v>978</v>
      </c>
      <c r="E9" s="63">
        <v>1092</v>
      </c>
      <c r="F9" s="33">
        <f t="shared" si="0"/>
        <v>2070</v>
      </c>
      <c r="G9" s="32">
        <f t="shared" ref="G9:G19" si="3">+J9+M9</f>
        <v>125</v>
      </c>
      <c r="H9" s="32">
        <f t="shared" ref="H9:H19" si="4">+K9+N9</f>
        <v>80</v>
      </c>
      <c r="I9" s="34">
        <f t="shared" si="1"/>
        <v>205</v>
      </c>
      <c r="J9" s="63">
        <v>72</v>
      </c>
      <c r="K9" s="63">
        <v>49</v>
      </c>
      <c r="L9" s="35">
        <f t="shared" ref="L9:L19" si="5">J9+K9</f>
        <v>121</v>
      </c>
      <c r="M9" s="63">
        <v>53</v>
      </c>
      <c r="N9" s="63">
        <v>31</v>
      </c>
      <c r="O9" s="34">
        <f t="shared" si="2"/>
        <v>84</v>
      </c>
      <c r="P9" s="7">
        <f t="shared" ref="P9:R20" si="6">(G9/V9)*1000</f>
        <v>113.32728921124206</v>
      </c>
      <c r="Q9" s="7">
        <f t="shared" si="6"/>
        <v>68.25938566552901</v>
      </c>
      <c r="R9" s="7">
        <f t="shared" si="6"/>
        <v>90.109890109890102</v>
      </c>
      <c r="S9" s="7">
        <f t="shared" ref="S9:U20" si="7">(M9/V9)*1000</f>
        <v>48.050770625566642</v>
      </c>
      <c r="T9" s="7">
        <f t="shared" si="7"/>
        <v>26.450511945392492</v>
      </c>
      <c r="U9" s="8">
        <f t="shared" si="7"/>
        <v>36.923076923076927</v>
      </c>
      <c r="V9" s="42">
        <f t="shared" ref="V9:X20" si="8">+D9+G9</f>
        <v>1103</v>
      </c>
      <c r="W9" s="42">
        <f t="shared" si="8"/>
        <v>1172</v>
      </c>
      <c r="X9" s="43">
        <f t="shared" si="8"/>
        <v>2275</v>
      </c>
      <c r="Y9" s="21"/>
      <c r="Z9" s="21"/>
      <c r="AA9" s="21">
        <v>1</v>
      </c>
      <c r="AB9" s="21">
        <v>7</v>
      </c>
    </row>
    <row r="10" spans="1:28" ht="15" x14ac:dyDescent="0.25">
      <c r="A10" s="39"/>
      <c r="B10" s="39" t="s">
        <v>54</v>
      </c>
      <c r="C10" s="31">
        <f>'INDIKATOR KINERJA DINKES '!C10</f>
        <v>388</v>
      </c>
      <c r="D10" s="63">
        <v>1025</v>
      </c>
      <c r="E10" s="63">
        <v>1118</v>
      </c>
      <c r="F10" s="33">
        <f t="shared" si="0"/>
        <v>2143</v>
      </c>
      <c r="G10" s="32">
        <f t="shared" si="3"/>
        <v>136</v>
      </c>
      <c r="H10" s="32">
        <f t="shared" si="4"/>
        <v>123</v>
      </c>
      <c r="I10" s="34">
        <f t="shared" si="1"/>
        <v>259</v>
      </c>
      <c r="J10" s="40">
        <v>63</v>
      </c>
      <c r="K10" s="40">
        <v>50</v>
      </c>
      <c r="L10" s="35">
        <f t="shared" si="5"/>
        <v>113</v>
      </c>
      <c r="M10" s="40">
        <v>73</v>
      </c>
      <c r="N10" s="40">
        <v>73</v>
      </c>
      <c r="O10" s="34">
        <f t="shared" si="2"/>
        <v>146</v>
      </c>
      <c r="P10" s="7">
        <f t="shared" si="6"/>
        <v>117.14039621016366</v>
      </c>
      <c r="Q10" s="7">
        <f t="shared" si="6"/>
        <v>99.113618049959697</v>
      </c>
      <c r="R10" s="7">
        <f t="shared" si="6"/>
        <v>107.82681099084095</v>
      </c>
      <c r="S10" s="7">
        <f t="shared" si="7"/>
        <v>62.876830318690793</v>
      </c>
      <c r="T10" s="7">
        <f t="shared" si="7"/>
        <v>58.823529411764703</v>
      </c>
      <c r="U10" s="8">
        <f t="shared" si="7"/>
        <v>60.782681099084094</v>
      </c>
      <c r="V10" s="42">
        <f t="shared" si="8"/>
        <v>1161</v>
      </c>
      <c r="W10" s="42">
        <f t="shared" si="8"/>
        <v>1241</v>
      </c>
      <c r="X10" s="43">
        <f t="shared" si="8"/>
        <v>2402</v>
      </c>
      <c r="Y10" s="21">
        <v>2</v>
      </c>
      <c r="Z10" s="21"/>
      <c r="AA10" s="21"/>
      <c r="AB10" s="21">
        <v>16</v>
      </c>
    </row>
    <row r="11" spans="1:28" ht="15" x14ac:dyDescent="0.25">
      <c r="A11" s="39"/>
      <c r="B11" s="39" t="s">
        <v>16</v>
      </c>
      <c r="C11" s="31">
        <f>'INDIKATOR KINERJA DINKES '!C11</f>
        <v>388</v>
      </c>
      <c r="D11" s="63">
        <v>1178</v>
      </c>
      <c r="E11" s="63">
        <v>1474</v>
      </c>
      <c r="F11" s="33">
        <f t="shared" si="0"/>
        <v>2652</v>
      </c>
      <c r="G11" s="32">
        <f t="shared" si="3"/>
        <v>139</v>
      </c>
      <c r="H11" s="32">
        <f t="shared" si="4"/>
        <v>112</v>
      </c>
      <c r="I11" s="34">
        <f t="shared" si="1"/>
        <v>251</v>
      </c>
      <c r="J11" s="41">
        <v>70</v>
      </c>
      <c r="K11" s="41">
        <v>58</v>
      </c>
      <c r="L11" s="35">
        <f t="shared" si="5"/>
        <v>128</v>
      </c>
      <c r="M11" s="44">
        <v>69</v>
      </c>
      <c r="N11" s="44">
        <v>54</v>
      </c>
      <c r="O11" s="34">
        <f t="shared" si="2"/>
        <v>123</v>
      </c>
      <c r="P11" s="7">
        <f t="shared" si="6"/>
        <v>105.54290053151101</v>
      </c>
      <c r="Q11" s="7">
        <f t="shared" si="6"/>
        <v>70.617906683480456</v>
      </c>
      <c r="R11" s="7">
        <f t="shared" si="6"/>
        <v>86.462280399586632</v>
      </c>
      <c r="S11" s="7">
        <f t="shared" si="7"/>
        <v>52.391799544419136</v>
      </c>
      <c r="T11" s="7">
        <f t="shared" si="7"/>
        <v>34.047919293820932</v>
      </c>
      <c r="U11" s="8">
        <f t="shared" si="7"/>
        <v>42.369962108163968</v>
      </c>
      <c r="V11" s="42">
        <f t="shared" si="8"/>
        <v>1317</v>
      </c>
      <c r="W11" s="42">
        <f t="shared" si="8"/>
        <v>1586</v>
      </c>
      <c r="X11" s="45">
        <f t="shared" si="8"/>
        <v>2903</v>
      </c>
      <c r="Y11" s="21"/>
      <c r="Z11" s="21"/>
      <c r="AA11" s="21"/>
      <c r="AB11" s="21"/>
    </row>
    <row r="12" spans="1:28" ht="15" x14ac:dyDescent="0.25">
      <c r="A12" s="39"/>
      <c r="B12" s="39" t="s">
        <v>17</v>
      </c>
      <c r="C12" s="31">
        <f>'INDIKATOR KINERJA DINKES '!C12</f>
        <v>388</v>
      </c>
      <c r="D12" s="60">
        <v>1142</v>
      </c>
      <c r="E12" s="60">
        <v>1473</v>
      </c>
      <c r="F12" s="33">
        <f t="shared" si="0"/>
        <v>2615</v>
      </c>
      <c r="G12" s="32">
        <f t="shared" si="3"/>
        <v>152</v>
      </c>
      <c r="H12" s="32">
        <f t="shared" si="4"/>
        <v>119</v>
      </c>
      <c r="I12" s="34">
        <f t="shared" si="1"/>
        <v>271</v>
      </c>
      <c r="J12" s="63">
        <v>85</v>
      </c>
      <c r="K12" s="63">
        <v>56</v>
      </c>
      <c r="L12" s="35">
        <f t="shared" si="5"/>
        <v>141</v>
      </c>
      <c r="M12" s="63">
        <v>67</v>
      </c>
      <c r="N12" s="63">
        <v>63</v>
      </c>
      <c r="O12" s="34">
        <f t="shared" si="2"/>
        <v>130</v>
      </c>
      <c r="P12" s="7">
        <f t="shared" si="6"/>
        <v>117.46522411128284</v>
      </c>
      <c r="Q12" s="7">
        <f t="shared" si="6"/>
        <v>74.748743718592976</v>
      </c>
      <c r="R12" s="7">
        <f t="shared" si="6"/>
        <v>93.901593901593898</v>
      </c>
      <c r="S12" s="7">
        <f t="shared" si="7"/>
        <v>51.777434312210197</v>
      </c>
      <c r="T12" s="7">
        <f t="shared" si="7"/>
        <v>39.572864321608037</v>
      </c>
      <c r="U12" s="8">
        <f t="shared" si="7"/>
        <v>45.045045045045043</v>
      </c>
      <c r="V12" s="42">
        <f t="shared" si="8"/>
        <v>1294</v>
      </c>
      <c r="W12" s="42">
        <f t="shared" si="8"/>
        <v>1592</v>
      </c>
      <c r="X12" s="45">
        <f t="shared" si="8"/>
        <v>2886</v>
      </c>
      <c r="Y12" s="21"/>
      <c r="Z12" s="21"/>
      <c r="AA12" s="21"/>
      <c r="AB12" s="21"/>
    </row>
    <row r="13" spans="1:28" ht="15" x14ac:dyDescent="0.25">
      <c r="A13" s="39"/>
      <c r="B13" s="39" t="s">
        <v>18</v>
      </c>
      <c r="C13" s="31">
        <f>'INDIKATOR KINERJA DINKES '!C13</f>
        <v>388</v>
      </c>
      <c r="D13" s="63">
        <v>1121</v>
      </c>
      <c r="E13" s="63">
        <v>1322</v>
      </c>
      <c r="F13" s="33">
        <f t="shared" si="0"/>
        <v>2443</v>
      </c>
      <c r="G13" s="32">
        <f t="shared" si="3"/>
        <v>120</v>
      </c>
      <c r="H13" s="32">
        <f t="shared" si="4"/>
        <v>126</v>
      </c>
      <c r="I13" s="34">
        <f t="shared" si="1"/>
        <v>246</v>
      </c>
      <c r="J13" s="63">
        <v>59</v>
      </c>
      <c r="K13" s="63">
        <v>57</v>
      </c>
      <c r="L13" s="35">
        <f t="shared" si="5"/>
        <v>116</v>
      </c>
      <c r="M13" s="63">
        <v>61</v>
      </c>
      <c r="N13" s="63">
        <v>69</v>
      </c>
      <c r="O13" s="34">
        <f t="shared" si="2"/>
        <v>130</v>
      </c>
      <c r="P13" s="7">
        <f t="shared" si="6"/>
        <v>96.696212731668012</v>
      </c>
      <c r="Q13" s="7">
        <f t="shared" si="6"/>
        <v>87.016574585635354</v>
      </c>
      <c r="R13" s="7">
        <f t="shared" si="6"/>
        <v>91.483822982521389</v>
      </c>
      <c r="S13" s="7">
        <f t="shared" si="7"/>
        <v>49.153908138597906</v>
      </c>
      <c r="T13" s="7">
        <f t="shared" si="7"/>
        <v>47.651933701657462</v>
      </c>
      <c r="U13" s="8">
        <f t="shared" si="7"/>
        <v>48.345109706210494</v>
      </c>
      <c r="V13" s="42">
        <f t="shared" si="8"/>
        <v>1241</v>
      </c>
      <c r="W13" s="42">
        <f t="shared" si="8"/>
        <v>1448</v>
      </c>
      <c r="X13" s="45">
        <f t="shared" si="8"/>
        <v>2689</v>
      </c>
      <c r="Y13" s="21"/>
      <c r="Z13" s="21"/>
      <c r="AA13" s="21"/>
      <c r="AB13" s="21"/>
    </row>
    <row r="14" spans="1:28" ht="15" x14ac:dyDescent="0.25">
      <c r="A14" s="39"/>
      <c r="B14" s="39" t="s">
        <v>19</v>
      </c>
      <c r="C14" s="31">
        <f>'INDIKATOR KINERJA DINKES '!C14</f>
        <v>0</v>
      </c>
      <c r="D14" s="44"/>
      <c r="E14" s="44"/>
      <c r="F14" s="33">
        <f t="shared" si="0"/>
        <v>0</v>
      </c>
      <c r="G14" s="32">
        <f t="shared" si="3"/>
        <v>0</v>
      </c>
      <c r="H14" s="32">
        <f t="shared" si="4"/>
        <v>0</v>
      </c>
      <c r="I14" s="34">
        <f t="shared" si="1"/>
        <v>0</v>
      </c>
      <c r="J14" s="46"/>
      <c r="K14" s="46"/>
      <c r="L14" s="35">
        <f t="shared" si="5"/>
        <v>0</v>
      </c>
      <c r="M14" s="44"/>
      <c r="N14" s="44"/>
      <c r="O14" s="34">
        <f t="shared" si="2"/>
        <v>0</v>
      </c>
      <c r="P14" s="7" t="e">
        <f t="shared" si="6"/>
        <v>#DIV/0!</v>
      </c>
      <c r="Q14" s="7" t="e">
        <f t="shared" si="6"/>
        <v>#DIV/0!</v>
      </c>
      <c r="R14" s="7" t="e">
        <f t="shared" si="6"/>
        <v>#DIV/0!</v>
      </c>
      <c r="S14" s="7" t="e">
        <f t="shared" si="7"/>
        <v>#DIV/0!</v>
      </c>
      <c r="T14" s="7" t="e">
        <f t="shared" si="7"/>
        <v>#DIV/0!</v>
      </c>
      <c r="U14" s="8" t="e">
        <f t="shared" si="7"/>
        <v>#DIV/0!</v>
      </c>
      <c r="V14" s="42">
        <f t="shared" si="8"/>
        <v>0</v>
      </c>
      <c r="W14" s="42">
        <f t="shared" si="8"/>
        <v>0</v>
      </c>
      <c r="X14" s="45">
        <f t="shared" si="8"/>
        <v>0</v>
      </c>
      <c r="Y14" s="21"/>
      <c r="Z14" s="21"/>
      <c r="AA14" s="21"/>
      <c r="AB14" s="21"/>
    </row>
    <row r="15" spans="1:28" ht="15" x14ac:dyDescent="0.25">
      <c r="A15" s="39"/>
      <c r="B15" s="39" t="s">
        <v>55</v>
      </c>
      <c r="C15" s="31">
        <f>'INDIKATOR KINERJA DINKES '!C15</f>
        <v>0</v>
      </c>
      <c r="D15" s="47"/>
      <c r="E15" s="48"/>
      <c r="F15" s="33">
        <f t="shared" si="0"/>
        <v>0</v>
      </c>
      <c r="G15" s="32">
        <f t="shared" si="3"/>
        <v>0</v>
      </c>
      <c r="H15" s="32">
        <f t="shared" si="4"/>
        <v>0</v>
      </c>
      <c r="I15" s="34">
        <f t="shared" si="1"/>
        <v>0</v>
      </c>
      <c r="J15" s="46"/>
      <c r="K15" s="46"/>
      <c r="L15" s="35">
        <f t="shared" si="5"/>
        <v>0</v>
      </c>
      <c r="M15" s="44"/>
      <c r="N15" s="44"/>
      <c r="O15" s="34">
        <f t="shared" si="2"/>
        <v>0</v>
      </c>
      <c r="P15" s="7" t="e">
        <f t="shared" si="6"/>
        <v>#DIV/0!</v>
      </c>
      <c r="Q15" s="7" t="e">
        <f t="shared" si="6"/>
        <v>#DIV/0!</v>
      </c>
      <c r="R15" s="7" t="e">
        <f t="shared" si="6"/>
        <v>#DIV/0!</v>
      </c>
      <c r="S15" s="7" t="e">
        <f t="shared" si="7"/>
        <v>#DIV/0!</v>
      </c>
      <c r="T15" s="7" t="e">
        <f t="shared" si="7"/>
        <v>#DIV/0!</v>
      </c>
      <c r="U15" s="8" t="e">
        <f t="shared" si="7"/>
        <v>#DIV/0!</v>
      </c>
      <c r="V15" s="42">
        <f t="shared" si="8"/>
        <v>0</v>
      </c>
      <c r="W15" s="42">
        <f t="shared" si="8"/>
        <v>0</v>
      </c>
      <c r="X15" s="45">
        <f t="shared" si="8"/>
        <v>0</v>
      </c>
      <c r="Y15" s="21"/>
      <c r="Z15" s="21"/>
      <c r="AA15" s="21"/>
      <c r="AB15" s="21"/>
    </row>
    <row r="16" spans="1:28" ht="15" x14ac:dyDescent="0.25">
      <c r="A16" s="39"/>
      <c r="B16" s="39" t="s">
        <v>21</v>
      </c>
      <c r="C16" s="31">
        <f>'INDIKATOR KINERJA DINKES '!C16</f>
        <v>0</v>
      </c>
      <c r="D16" s="44"/>
      <c r="E16" s="44"/>
      <c r="F16" s="33">
        <f t="shared" si="0"/>
        <v>0</v>
      </c>
      <c r="G16" s="32">
        <f t="shared" si="3"/>
        <v>0</v>
      </c>
      <c r="H16" s="32">
        <f t="shared" si="4"/>
        <v>0</v>
      </c>
      <c r="I16" s="34">
        <f t="shared" si="1"/>
        <v>0</v>
      </c>
      <c r="J16" s="46"/>
      <c r="K16" s="46"/>
      <c r="L16" s="35">
        <f t="shared" si="5"/>
        <v>0</v>
      </c>
      <c r="M16" s="44"/>
      <c r="N16" s="44"/>
      <c r="O16" s="34">
        <f t="shared" si="2"/>
        <v>0</v>
      </c>
      <c r="P16" s="7" t="e">
        <f t="shared" si="6"/>
        <v>#DIV/0!</v>
      </c>
      <c r="Q16" s="7" t="e">
        <f t="shared" si="6"/>
        <v>#DIV/0!</v>
      </c>
      <c r="R16" s="7" t="e">
        <f t="shared" si="6"/>
        <v>#DIV/0!</v>
      </c>
      <c r="S16" s="7" t="e">
        <f t="shared" si="7"/>
        <v>#DIV/0!</v>
      </c>
      <c r="T16" s="7" t="e">
        <f t="shared" si="7"/>
        <v>#DIV/0!</v>
      </c>
      <c r="U16" s="8" t="e">
        <f t="shared" si="7"/>
        <v>#DIV/0!</v>
      </c>
      <c r="V16" s="42">
        <f t="shared" si="8"/>
        <v>0</v>
      </c>
      <c r="W16" s="42">
        <f t="shared" si="8"/>
        <v>0</v>
      </c>
      <c r="X16" s="45">
        <f t="shared" si="8"/>
        <v>0</v>
      </c>
      <c r="Y16" s="21"/>
      <c r="Z16" s="21"/>
      <c r="AA16" s="21"/>
      <c r="AB16" s="21"/>
    </row>
    <row r="17" spans="1:28" ht="15" x14ac:dyDescent="0.25">
      <c r="A17" s="39"/>
      <c r="B17" s="39" t="s">
        <v>22</v>
      </c>
      <c r="C17" s="31">
        <f>'INDIKATOR KINERJA DINKES '!C17</f>
        <v>0</v>
      </c>
      <c r="D17" s="61"/>
      <c r="E17" s="61"/>
      <c r="F17" s="33">
        <f t="shared" si="0"/>
        <v>0</v>
      </c>
      <c r="G17" s="32">
        <f t="shared" si="3"/>
        <v>0</v>
      </c>
      <c r="H17" s="32">
        <f t="shared" si="4"/>
        <v>0</v>
      </c>
      <c r="I17" s="34">
        <f t="shared" si="1"/>
        <v>0</v>
      </c>
      <c r="J17" s="61"/>
      <c r="K17" s="61"/>
      <c r="L17" s="35">
        <f t="shared" si="5"/>
        <v>0</v>
      </c>
      <c r="M17" s="61"/>
      <c r="N17" s="61"/>
      <c r="O17" s="34">
        <f t="shared" si="2"/>
        <v>0</v>
      </c>
      <c r="P17" s="7" t="e">
        <f t="shared" si="6"/>
        <v>#DIV/0!</v>
      </c>
      <c r="Q17" s="7" t="e">
        <f t="shared" si="6"/>
        <v>#DIV/0!</v>
      </c>
      <c r="R17" s="7" t="e">
        <f t="shared" si="6"/>
        <v>#DIV/0!</v>
      </c>
      <c r="S17" s="7" t="e">
        <f t="shared" si="7"/>
        <v>#DIV/0!</v>
      </c>
      <c r="T17" s="7" t="e">
        <f t="shared" si="7"/>
        <v>#DIV/0!</v>
      </c>
      <c r="U17" s="8" t="e">
        <f t="shared" si="7"/>
        <v>#DIV/0!</v>
      </c>
      <c r="V17" s="42">
        <f t="shared" si="8"/>
        <v>0</v>
      </c>
      <c r="W17" s="42">
        <f t="shared" si="8"/>
        <v>0</v>
      </c>
      <c r="X17" s="45">
        <f t="shared" si="8"/>
        <v>0</v>
      </c>
      <c r="Y17" s="21"/>
      <c r="Z17" s="21"/>
      <c r="AA17" s="21"/>
      <c r="AB17" s="21"/>
    </row>
    <row r="18" spans="1:28" ht="15" x14ac:dyDescent="0.25">
      <c r="A18" s="39"/>
      <c r="B18" s="39" t="s">
        <v>56</v>
      </c>
      <c r="C18" s="31">
        <f>'INDIKATOR KINERJA DINKES '!C18</f>
        <v>0</v>
      </c>
      <c r="D18" s="62"/>
      <c r="E18" s="62"/>
      <c r="F18" s="33">
        <f t="shared" si="0"/>
        <v>0</v>
      </c>
      <c r="G18" s="32">
        <f t="shared" si="3"/>
        <v>0</v>
      </c>
      <c r="H18" s="32">
        <f t="shared" si="4"/>
        <v>0</v>
      </c>
      <c r="I18" s="34">
        <f t="shared" si="1"/>
        <v>0</v>
      </c>
      <c r="J18" s="62"/>
      <c r="K18" s="62"/>
      <c r="L18" s="35">
        <f t="shared" si="5"/>
        <v>0</v>
      </c>
      <c r="M18" s="62"/>
      <c r="N18" s="62"/>
      <c r="O18" s="34">
        <f t="shared" si="2"/>
        <v>0</v>
      </c>
      <c r="P18" s="7" t="e">
        <f t="shared" si="6"/>
        <v>#DIV/0!</v>
      </c>
      <c r="Q18" s="7" t="e">
        <f t="shared" si="6"/>
        <v>#DIV/0!</v>
      </c>
      <c r="R18" s="7" t="e">
        <f t="shared" si="6"/>
        <v>#DIV/0!</v>
      </c>
      <c r="S18" s="7" t="e">
        <f t="shared" si="7"/>
        <v>#DIV/0!</v>
      </c>
      <c r="T18" s="7" t="e">
        <f t="shared" si="7"/>
        <v>#DIV/0!</v>
      </c>
      <c r="U18" s="8" t="e">
        <f t="shared" si="7"/>
        <v>#DIV/0!</v>
      </c>
      <c r="V18" s="42">
        <f t="shared" si="8"/>
        <v>0</v>
      </c>
      <c r="W18" s="42">
        <f t="shared" si="8"/>
        <v>0</v>
      </c>
      <c r="X18" s="45">
        <f t="shared" si="8"/>
        <v>0</v>
      </c>
      <c r="Y18" s="21"/>
      <c r="Z18" s="21"/>
      <c r="AA18" s="21"/>
      <c r="AB18" s="21"/>
    </row>
    <row r="19" spans="1:28" ht="15" x14ac:dyDescent="0.25">
      <c r="A19" s="39"/>
      <c r="B19" s="39" t="s">
        <v>24</v>
      </c>
      <c r="C19" s="31">
        <f>'INDIKATOR KINERJA DINKES '!C19</f>
        <v>0</v>
      </c>
      <c r="D19" s="44"/>
      <c r="E19" s="44"/>
      <c r="F19" s="33">
        <f t="shared" si="0"/>
        <v>0</v>
      </c>
      <c r="G19" s="32">
        <f t="shared" si="3"/>
        <v>0</v>
      </c>
      <c r="H19" s="32">
        <f t="shared" si="4"/>
        <v>0</v>
      </c>
      <c r="I19" s="34">
        <f t="shared" si="1"/>
        <v>0</v>
      </c>
      <c r="J19" s="49"/>
      <c r="K19" s="49"/>
      <c r="L19" s="35">
        <f t="shared" si="5"/>
        <v>0</v>
      </c>
      <c r="M19" s="44"/>
      <c r="N19" s="44"/>
      <c r="O19" s="34">
        <f t="shared" si="2"/>
        <v>0</v>
      </c>
      <c r="P19" s="7" t="e">
        <f t="shared" si="6"/>
        <v>#DIV/0!</v>
      </c>
      <c r="Q19" s="7" t="e">
        <f t="shared" si="6"/>
        <v>#DIV/0!</v>
      </c>
      <c r="R19" s="7" t="e">
        <f t="shared" si="6"/>
        <v>#DIV/0!</v>
      </c>
      <c r="S19" s="7" t="e">
        <f t="shared" si="7"/>
        <v>#DIV/0!</v>
      </c>
      <c r="T19" s="7" t="e">
        <f t="shared" si="7"/>
        <v>#DIV/0!</v>
      </c>
      <c r="U19" s="8" t="e">
        <f t="shared" si="7"/>
        <v>#DIV/0!</v>
      </c>
      <c r="V19" s="42">
        <f t="shared" si="8"/>
        <v>0</v>
      </c>
      <c r="W19" s="42">
        <f t="shared" si="8"/>
        <v>0</v>
      </c>
      <c r="X19" s="45">
        <f t="shared" si="8"/>
        <v>0</v>
      </c>
      <c r="Y19" s="21"/>
      <c r="Z19" s="21"/>
      <c r="AA19" s="21"/>
      <c r="AB19" s="21"/>
    </row>
    <row r="20" spans="1:28" ht="15" x14ac:dyDescent="0.25">
      <c r="A20" s="76" t="s">
        <v>25</v>
      </c>
      <c r="B20" s="77"/>
      <c r="C20" s="50">
        <v>388</v>
      </c>
      <c r="D20" s="50">
        <f t="shared" ref="D20:O20" si="9">SUM(D8:D19)</f>
        <v>6526</v>
      </c>
      <c r="E20" s="50">
        <f t="shared" si="9"/>
        <v>7681</v>
      </c>
      <c r="F20" s="50">
        <f>D20+E20</f>
        <v>14207</v>
      </c>
      <c r="G20" s="50">
        <f t="shared" si="9"/>
        <v>791</v>
      </c>
      <c r="H20" s="50">
        <f t="shared" si="9"/>
        <v>671</v>
      </c>
      <c r="I20" s="50">
        <f t="shared" si="9"/>
        <v>1462</v>
      </c>
      <c r="J20" s="50">
        <f t="shared" si="9"/>
        <v>405</v>
      </c>
      <c r="K20" s="50">
        <f t="shared" si="9"/>
        <v>321</v>
      </c>
      <c r="L20" s="50">
        <f>SUM(L8:L19)</f>
        <v>726</v>
      </c>
      <c r="M20" s="50">
        <f t="shared" si="9"/>
        <v>386</v>
      </c>
      <c r="N20" s="50">
        <f t="shared" si="9"/>
        <v>350</v>
      </c>
      <c r="O20" s="50">
        <f t="shared" si="9"/>
        <v>736</v>
      </c>
      <c r="P20" s="7">
        <f t="shared" si="6"/>
        <v>108.10441437747711</v>
      </c>
      <c r="Q20" s="7">
        <f t="shared" si="6"/>
        <v>80.34003831417624</v>
      </c>
      <c r="R20" s="7">
        <f t="shared" si="6"/>
        <v>93.305252409215655</v>
      </c>
      <c r="S20" s="7">
        <f t="shared" si="7"/>
        <v>52.753860871942052</v>
      </c>
      <c r="T20" s="7">
        <f t="shared" si="7"/>
        <v>41.906130268199234</v>
      </c>
      <c r="U20" s="8">
        <f t="shared" si="7"/>
        <v>46.971727615036059</v>
      </c>
      <c r="V20" s="42">
        <f t="shared" si="8"/>
        <v>7317</v>
      </c>
      <c r="W20" s="42">
        <f t="shared" si="8"/>
        <v>8352</v>
      </c>
      <c r="X20" s="45">
        <f t="shared" si="8"/>
        <v>15669</v>
      </c>
      <c r="Y20" s="51">
        <f>SUM(Y8:Y19)</f>
        <v>2</v>
      </c>
      <c r="Z20" s="51">
        <f>SUM(Z8:Z19)</f>
        <v>0</v>
      </c>
      <c r="AA20" s="51">
        <f>SUM(AA8:AA19)</f>
        <v>5</v>
      </c>
      <c r="AB20" s="51">
        <f>SUM(AB8:AB19)</f>
        <v>36</v>
      </c>
    </row>
  </sheetData>
  <sheetProtection algorithmName="SHA-512" hashValue="yY64eQVeMc96k6wAu77B79dNuSUUfIZDS4T3FsRgbgmcCsiu+vcpyz5lIIPijg+jD6tIQxoEeeiaaokQhczC0g==" saltValue="ImHXdVh0vPaVxgkVMIO3KQ==" spinCount="100000" sheet="1" objects="1" scenarios="1"/>
  <mergeCells count="17">
    <mergeCell ref="A1:O1"/>
    <mergeCell ref="A2:O2"/>
    <mergeCell ref="A3:O3"/>
    <mergeCell ref="A4:C4"/>
    <mergeCell ref="V5:X6"/>
    <mergeCell ref="Y5:AA5"/>
    <mergeCell ref="AB5:AB6"/>
    <mergeCell ref="A20:B20"/>
    <mergeCell ref="A5:A7"/>
    <mergeCell ref="B5:B7"/>
    <mergeCell ref="C5:C7"/>
    <mergeCell ref="D5:F6"/>
    <mergeCell ref="G5:I6"/>
    <mergeCell ref="J5:L6"/>
    <mergeCell ref="M5:O6"/>
    <mergeCell ref="P5:R6"/>
    <mergeCell ref="S5:U6"/>
  </mergeCells>
  <pageMargins left="0.70866141732283472" right="0.70866141732283472" top="0.74803149606299213" bottom="0.74803149606299213" header="0.31496062992125984" footer="0.31496062992125984"/>
  <pageSetup paperSize="5" scale="8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70" zoomScaleNormal="70" workbookViewId="0">
      <selection activeCell="C10" sqref="C10"/>
    </sheetView>
  </sheetViews>
  <sheetFormatPr defaultColWidth="12.625" defaultRowHeight="15" customHeight="1" x14ac:dyDescent="0.2"/>
  <cols>
    <col min="1" max="1" width="7.625" style="10" customWidth="1"/>
    <col min="2" max="2" width="34.25" style="10" customWidth="1"/>
    <col min="3" max="3" width="11" style="10" customWidth="1"/>
    <col min="4" max="4" width="10" style="10" bestFit="1" customWidth="1"/>
    <col min="5" max="5" width="9.625" style="10" bestFit="1" customWidth="1"/>
    <col min="6" max="7" width="8.5" style="10" customWidth="1"/>
    <col min="8" max="8" width="9.75" style="10" customWidth="1"/>
    <col min="9" max="11" width="8.5" style="10" customWidth="1"/>
    <col min="12" max="12" width="8" style="10" customWidth="1"/>
    <col min="13" max="26" width="7.625" style="10" customWidth="1"/>
    <col min="27" max="16384" width="12.625" style="10"/>
  </cols>
  <sheetData>
    <row r="1" spans="1:26" x14ac:dyDescent="0.25">
      <c r="L1" s="52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x14ac:dyDescent="0.25">
      <c r="A2" s="84" t="s">
        <v>26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52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75" x14ac:dyDescent="0.25">
      <c r="A3" s="86" t="s">
        <v>62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52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x14ac:dyDescent="0.25">
      <c r="A4" s="84"/>
      <c r="B4" s="85"/>
      <c r="C4" s="85"/>
      <c r="D4" s="85"/>
      <c r="E4" s="85"/>
      <c r="F4" s="85"/>
      <c r="G4" s="85"/>
      <c r="H4" s="85"/>
      <c r="I4" s="85"/>
      <c r="J4" s="85"/>
      <c r="K4" s="85"/>
      <c r="L4" s="52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5" customHeight="1" x14ac:dyDescent="0.25">
      <c r="L5" s="52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x14ac:dyDescent="0.25">
      <c r="A6" s="87" t="s">
        <v>0</v>
      </c>
      <c r="B6" s="87" t="s">
        <v>1</v>
      </c>
      <c r="C6" s="64" t="s">
        <v>27</v>
      </c>
      <c r="D6" s="65"/>
      <c r="E6" s="65"/>
      <c r="F6" s="65"/>
      <c r="G6" s="65"/>
      <c r="H6" s="72"/>
      <c r="I6" s="64" t="s">
        <v>28</v>
      </c>
      <c r="J6" s="65"/>
      <c r="K6" s="72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x14ac:dyDescent="0.25">
      <c r="A7" s="88"/>
      <c r="B7" s="88"/>
      <c r="C7" s="64" t="s">
        <v>29</v>
      </c>
      <c r="D7" s="65"/>
      <c r="E7" s="72"/>
      <c r="F7" s="64" t="s">
        <v>30</v>
      </c>
      <c r="G7" s="65"/>
      <c r="H7" s="72"/>
      <c r="I7" s="64" t="s">
        <v>31</v>
      </c>
      <c r="J7" s="65"/>
      <c r="K7" s="72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24" customHeight="1" x14ac:dyDescent="0.25">
      <c r="A8" s="67"/>
      <c r="B8" s="67"/>
      <c r="C8" s="54" t="s">
        <v>32</v>
      </c>
      <c r="D8" s="54" t="s">
        <v>33</v>
      </c>
      <c r="E8" s="54" t="s">
        <v>34</v>
      </c>
      <c r="F8" s="54" t="s">
        <v>32</v>
      </c>
      <c r="G8" s="54" t="s">
        <v>33</v>
      </c>
      <c r="H8" s="54" t="s">
        <v>34</v>
      </c>
      <c r="I8" s="54" t="s">
        <v>32</v>
      </c>
      <c r="J8" s="54" t="s">
        <v>33</v>
      </c>
      <c r="K8" s="55" t="s">
        <v>34</v>
      </c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x14ac:dyDescent="0.25">
      <c r="A9" s="16">
        <v>1</v>
      </c>
      <c r="B9" s="16">
        <v>2</v>
      </c>
      <c r="C9" s="54">
        <v>3</v>
      </c>
      <c r="D9" s="54">
        <v>4</v>
      </c>
      <c r="E9" s="54" t="s">
        <v>35</v>
      </c>
      <c r="F9" s="54">
        <v>6</v>
      </c>
      <c r="G9" s="54">
        <v>7</v>
      </c>
      <c r="H9" s="54" t="s">
        <v>36</v>
      </c>
      <c r="I9" s="54">
        <v>9</v>
      </c>
      <c r="J9" s="54">
        <v>10</v>
      </c>
      <c r="K9" s="55" t="s">
        <v>37</v>
      </c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x14ac:dyDescent="0.25">
      <c r="A10" s="16">
        <v>1</v>
      </c>
      <c r="B10" s="17" t="s">
        <v>13</v>
      </c>
      <c r="C10" s="56"/>
      <c r="D10" s="56"/>
      <c r="E10" s="57">
        <f t="shared" ref="E10:E14" si="0">C10+D10</f>
        <v>0</v>
      </c>
      <c r="F10" s="56">
        <f>+'NDR GDR'!D8+'NDR GDR'!G8</f>
        <v>1201</v>
      </c>
      <c r="G10" s="56">
        <f>+'NDR GDR'!E8+'NDR GDR'!H8</f>
        <v>1313</v>
      </c>
      <c r="H10" s="57">
        <f t="shared" ref="H10:H14" si="1">F10+G10</f>
        <v>2514</v>
      </c>
      <c r="I10" s="56"/>
      <c r="J10" s="56"/>
      <c r="K10" s="57">
        <f t="shared" ref="K10:K14" si="2">I10+J10</f>
        <v>0</v>
      </c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x14ac:dyDescent="0.25">
      <c r="A11" s="16">
        <v>2</v>
      </c>
      <c r="B11" s="17" t="s">
        <v>14</v>
      </c>
      <c r="C11" s="56"/>
      <c r="D11" s="56"/>
      <c r="E11" s="57">
        <f t="shared" si="0"/>
        <v>0</v>
      </c>
      <c r="F11" s="56">
        <f>+'NDR GDR'!D9+'NDR GDR'!G9</f>
        <v>1103</v>
      </c>
      <c r="G11" s="56">
        <f>+'NDR GDR'!E9+'NDR GDR'!H9</f>
        <v>1172</v>
      </c>
      <c r="H11" s="57">
        <f t="shared" si="1"/>
        <v>2275</v>
      </c>
      <c r="I11" s="56"/>
      <c r="J11" s="56"/>
      <c r="K11" s="57">
        <f t="shared" si="2"/>
        <v>0</v>
      </c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x14ac:dyDescent="0.25">
      <c r="A12" s="16">
        <v>3</v>
      </c>
      <c r="B12" s="17" t="s">
        <v>15</v>
      </c>
      <c r="C12" s="56"/>
      <c r="D12" s="56"/>
      <c r="E12" s="57">
        <f t="shared" si="0"/>
        <v>0</v>
      </c>
      <c r="F12" s="56">
        <f>+'NDR GDR'!D10+'NDR GDR'!G10</f>
        <v>1161</v>
      </c>
      <c r="G12" s="56">
        <f>+'NDR GDR'!E10+'NDR GDR'!H10</f>
        <v>1241</v>
      </c>
      <c r="H12" s="57">
        <f t="shared" si="1"/>
        <v>2402</v>
      </c>
      <c r="I12" s="56"/>
      <c r="J12" s="56"/>
      <c r="K12" s="57">
        <f t="shared" si="2"/>
        <v>0</v>
      </c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x14ac:dyDescent="0.25">
      <c r="A13" s="16">
        <v>4</v>
      </c>
      <c r="B13" s="17" t="s">
        <v>16</v>
      </c>
      <c r="C13" s="56"/>
      <c r="D13" s="56"/>
      <c r="E13" s="57">
        <f t="shared" si="0"/>
        <v>0</v>
      </c>
      <c r="F13" s="56">
        <f>+'NDR GDR'!D11+'NDR GDR'!G11</f>
        <v>1317</v>
      </c>
      <c r="G13" s="56">
        <f>+'NDR GDR'!E11+'NDR GDR'!H11</f>
        <v>1586</v>
      </c>
      <c r="H13" s="57">
        <f t="shared" si="1"/>
        <v>2903</v>
      </c>
      <c r="I13" s="56"/>
      <c r="J13" s="56"/>
      <c r="K13" s="57">
        <f t="shared" si="2"/>
        <v>0</v>
      </c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x14ac:dyDescent="0.25">
      <c r="A14" s="16">
        <v>5</v>
      </c>
      <c r="B14" s="17" t="s">
        <v>17</v>
      </c>
      <c r="C14" s="56"/>
      <c r="D14" s="56"/>
      <c r="E14" s="57">
        <f t="shared" si="0"/>
        <v>0</v>
      </c>
      <c r="F14" s="56">
        <f>+'NDR GDR'!D12+'NDR GDR'!G12</f>
        <v>1294</v>
      </c>
      <c r="G14" s="56">
        <f>+'NDR GDR'!E12+'NDR GDR'!H12</f>
        <v>1592</v>
      </c>
      <c r="H14" s="57">
        <f t="shared" si="1"/>
        <v>2886</v>
      </c>
      <c r="I14" s="56"/>
      <c r="J14" s="56"/>
      <c r="K14" s="57">
        <f t="shared" si="2"/>
        <v>0</v>
      </c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x14ac:dyDescent="0.25">
      <c r="A15" s="16">
        <v>6</v>
      </c>
      <c r="B15" s="17" t="s">
        <v>18</v>
      </c>
      <c r="C15" s="56"/>
      <c r="D15" s="56"/>
      <c r="E15" s="57">
        <f t="shared" ref="E15:E21" si="3">C15+D15</f>
        <v>0</v>
      </c>
      <c r="F15" s="56">
        <f>+'NDR GDR'!D13+'NDR GDR'!G13</f>
        <v>1241</v>
      </c>
      <c r="G15" s="56">
        <f>+'NDR GDR'!E13+'NDR GDR'!H13</f>
        <v>1448</v>
      </c>
      <c r="H15" s="57">
        <f t="shared" ref="H15:H21" si="4">F15+G15</f>
        <v>2689</v>
      </c>
      <c r="I15" s="56"/>
      <c r="J15" s="56"/>
      <c r="K15" s="57">
        <f t="shared" ref="K15:K21" si="5">I15+J15</f>
        <v>0</v>
      </c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x14ac:dyDescent="0.25">
      <c r="A16" s="16">
        <v>7</v>
      </c>
      <c r="B16" s="17" t="s">
        <v>19</v>
      </c>
      <c r="C16" s="56"/>
      <c r="D16" s="56"/>
      <c r="E16" s="57">
        <f t="shared" si="3"/>
        <v>0</v>
      </c>
      <c r="F16" s="56">
        <f>+'NDR GDR'!D14+'NDR GDR'!G14</f>
        <v>0</v>
      </c>
      <c r="G16" s="56">
        <f>+'NDR GDR'!E14+'NDR GDR'!H14</f>
        <v>0</v>
      </c>
      <c r="H16" s="57">
        <f t="shared" si="4"/>
        <v>0</v>
      </c>
      <c r="I16" s="56"/>
      <c r="J16" s="56"/>
      <c r="K16" s="57">
        <f t="shared" si="5"/>
        <v>0</v>
      </c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x14ac:dyDescent="0.25">
      <c r="A17" s="16">
        <v>8</v>
      </c>
      <c r="B17" s="17" t="s">
        <v>20</v>
      </c>
      <c r="C17" s="56"/>
      <c r="D17" s="56"/>
      <c r="E17" s="57">
        <f t="shared" si="3"/>
        <v>0</v>
      </c>
      <c r="F17" s="56">
        <f>+'NDR GDR'!D15+'NDR GDR'!G15</f>
        <v>0</v>
      </c>
      <c r="G17" s="56">
        <f>+'NDR GDR'!E15+'NDR GDR'!H15</f>
        <v>0</v>
      </c>
      <c r="H17" s="57">
        <f t="shared" si="4"/>
        <v>0</v>
      </c>
      <c r="I17" s="56"/>
      <c r="J17" s="56"/>
      <c r="K17" s="57">
        <f t="shared" si="5"/>
        <v>0</v>
      </c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x14ac:dyDescent="0.25">
      <c r="A18" s="16">
        <v>9</v>
      </c>
      <c r="B18" s="17" t="s">
        <v>21</v>
      </c>
      <c r="C18" s="56"/>
      <c r="D18" s="56"/>
      <c r="E18" s="57">
        <f t="shared" si="3"/>
        <v>0</v>
      </c>
      <c r="F18" s="56">
        <f>+'NDR GDR'!D16+'NDR GDR'!G16</f>
        <v>0</v>
      </c>
      <c r="G18" s="56">
        <f>+'NDR GDR'!E16+'NDR GDR'!H16</f>
        <v>0</v>
      </c>
      <c r="H18" s="57">
        <f t="shared" si="4"/>
        <v>0</v>
      </c>
      <c r="I18" s="56"/>
      <c r="J18" s="56"/>
      <c r="K18" s="57">
        <f t="shared" si="5"/>
        <v>0</v>
      </c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x14ac:dyDescent="0.25">
      <c r="A19" s="16">
        <v>10</v>
      </c>
      <c r="B19" s="17" t="s">
        <v>22</v>
      </c>
      <c r="C19" s="56"/>
      <c r="D19" s="56"/>
      <c r="E19" s="57">
        <f t="shared" si="3"/>
        <v>0</v>
      </c>
      <c r="F19" s="56">
        <f>+'NDR GDR'!D17+'NDR GDR'!G17</f>
        <v>0</v>
      </c>
      <c r="G19" s="56">
        <f>+'NDR GDR'!E17+'NDR GDR'!H17</f>
        <v>0</v>
      </c>
      <c r="H19" s="57">
        <f t="shared" si="4"/>
        <v>0</v>
      </c>
      <c r="I19" s="56"/>
      <c r="J19" s="56"/>
      <c r="K19" s="57">
        <f t="shared" si="5"/>
        <v>0</v>
      </c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x14ac:dyDescent="0.25">
      <c r="A20" s="16">
        <v>11</v>
      </c>
      <c r="B20" s="17" t="s">
        <v>23</v>
      </c>
      <c r="C20" s="56"/>
      <c r="D20" s="56"/>
      <c r="E20" s="57">
        <f t="shared" si="3"/>
        <v>0</v>
      </c>
      <c r="F20" s="56">
        <f>+'NDR GDR'!D18+'NDR GDR'!G18</f>
        <v>0</v>
      </c>
      <c r="G20" s="56">
        <f>+'NDR GDR'!E18+'NDR GDR'!H18</f>
        <v>0</v>
      </c>
      <c r="H20" s="57">
        <f t="shared" si="4"/>
        <v>0</v>
      </c>
      <c r="I20" s="56"/>
      <c r="J20" s="56"/>
      <c r="K20" s="57">
        <f t="shared" si="5"/>
        <v>0</v>
      </c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 x14ac:dyDescent="0.25">
      <c r="A21" s="16">
        <v>12</v>
      </c>
      <c r="B21" s="17" t="s">
        <v>24</v>
      </c>
      <c r="C21" s="56"/>
      <c r="D21" s="56"/>
      <c r="E21" s="57">
        <f t="shared" si="3"/>
        <v>0</v>
      </c>
      <c r="F21" s="56">
        <f>+'NDR GDR'!D19+'NDR GDR'!G19</f>
        <v>0</v>
      </c>
      <c r="G21" s="56">
        <f>+'NDR GDR'!E19+'NDR GDR'!H19</f>
        <v>0</v>
      </c>
      <c r="H21" s="57">
        <f t="shared" si="4"/>
        <v>0</v>
      </c>
      <c r="I21" s="56"/>
      <c r="J21" s="56"/>
      <c r="K21" s="57">
        <f t="shared" si="5"/>
        <v>0</v>
      </c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 x14ac:dyDescent="0.25">
      <c r="A22" s="83" t="s">
        <v>25</v>
      </c>
      <c r="B22" s="65"/>
      <c r="C22" s="58">
        <f t="shared" ref="C22:K22" si="6">SUM(C10:C21)</f>
        <v>0</v>
      </c>
      <c r="D22" s="58">
        <f t="shared" si="6"/>
        <v>0</v>
      </c>
      <c r="E22" s="58">
        <f t="shared" si="6"/>
        <v>0</v>
      </c>
      <c r="F22" s="58">
        <f t="shared" si="6"/>
        <v>7317</v>
      </c>
      <c r="G22" s="58">
        <f t="shared" si="6"/>
        <v>8352</v>
      </c>
      <c r="H22" s="58">
        <f t="shared" si="6"/>
        <v>15669</v>
      </c>
      <c r="I22" s="58">
        <f t="shared" si="6"/>
        <v>0</v>
      </c>
      <c r="J22" s="58">
        <f t="shared" si="6"/>
        <v>0</v>
      </c>
      <c r="K22" s="58">
        <f t="shared" si="6"/>
        <v>0</v>
      </c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 x14ac:dyDescent="0.25">
      <c r="D23" s="52"/>
      <c r="E23" s="52"/>
      <c r="F23" s="52"/>
      <c r="L23" s="52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 x14ac:dyDescent="0.25">
      <c r="K24" s="52"/>
      <c r="L24" s="52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 x14ac:dyDescent="0.25">
      <c r="K25" s="52"/>
      <c r="L25" s="52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 x14ac:dyDescent="0.25">
      <c r="K26" s="52"/>
      <c r="L26" s="52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 x14ac:dyDescent="0.25">
      <c r="K27" s="52"/>
      <c r="L27" s="52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 x14ac:dyDescent="0.25">
      <c r="K28" s="52"/>
      <c r="L28" s="52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 x14ac:dyDescent="0.25">
      <c r="K29" s="59"/>
      <c r="L29" s="52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 x14ac:dyDescent="0.25">
      <c r="K30" s="52"/>
      <c r="L30" s="52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 x14ac:dyDescent="0.25">
      <c r="L31" s="52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 x14ac:dyDescent="0.25">
      <c r="L32" s="52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2:26" ht="15.75" customHeight="1" x14ac:dyDescent="0.25">
      <c r="L33" s="52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2:26" ht="15.75" customHeight="1" x14ac:dyDescent="0.25">
      <c r="L34" s="52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2:26" ht="15.75" customHeight="1" x14ac:dyDescent="0.25">
      <c r="L35" s="52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2:26" ht="15.75" customHeight="1" x14ac:dyDescent="0.25">
      <c r="L36" s="52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2:26" ht="15.75" customHeight="1" x14ac:dyDescent="0.25">
      <c r="L37" s="52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2:26" ht="15.75" customHeight="1" x14ac:dyDescent="0.25">
      <c r="L38" s="52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2:26" ht="15.75" customHeight="1" x14ac:dyDescent="0.25">
      <c r="L39" s="52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2:26" ht="15.75" customHeight="1" x14ac:dyDescent="0.25">
      <c r="L40" s="52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2:26" ht="15.75" customHeight="1" x14ac:dyDescent="0.25">
      <c r="L41" s="52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2:26" ht="15.75" customHeight="1" x14ac:dyDescent="0.25">
      <c r="L42" s="52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2:26" ht="15.75" customHeight="1" x14ac:dyDescent="0.25">
      <c r="L43" s="52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2:26" ht="15.75" customHeight="1" x14ac:dyDescent="0.25">
      <c r="L44" s="52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2:26" ht="15.75" customHeight="1" x14ac:dyDescent="0.25">
      <c r="L45" s="52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2:26" ht="15.75" customHeight="1" x14ac:dyDescent="0.25">
      <c r="L46" s="52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2:26" ht="15.75" customHeight="1" x14ac:dyDescent="0.25">
      <c r="L47" s="52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2:26" ht="15.75" customHeight="1" x14ac:dyDescent="0.25">
      <c r="L48" s="52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2:26" ht="15.75" customHeight="1" x14ac:dyDescent="0.25">
      <c r="L49" s="52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2:26" ht="15.75" customHeight="1" x14ac:dyDescent="0.25">
      <c r="L50" s="52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2:26" ht="15.75" customHeight="1" x14ac:dyDescent="0.25">
      <c r="L51" s="52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2:26" ht="15.75" customHeight="1" x14ac:dyDescent="0.25">
      <c r="L52" s="52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2:26" ht="15.75" customHeight="1" x14ac:dyDescent="0.25">
      <c r="L53" s="52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2:26" ht="15.75" customHeight="1" x14ac:dyDescent="0.25">
      <c r="L54" s="52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2:26" ht="15.75" customHeight="1" x14ac:dyDescent="0.25">
      <c r="L55" s="52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2:26" ht="15.75" customHeight="1" x14ac:dyDescent="0.25">
      <c r="L56" s="52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2:26" ht="15.75" customHeight="1" x14ac:dyDescent="0.25">
      <c r="L57" s="52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2:26" ht="15.75" customHeight="1" x14ac:dyDescent="0.25">
      <c r="L58" s="52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2:26" ht="15.75" customHeight="1" x14ac:dyDescent="0.25">
      <c r="L59" s="52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2:26" ht="15.75" customHeight="1" x14ac:dyDescent="0.25">
      <c r="L60" s="52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2:26" ht="15.75" customHeight="1" x14ac:dyDescent="0.25">
      <c r="L61" s="52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2:26" ht="15.75" customHeight="1" x14ac:dyDescent="0.25">
      <c r="L62" s="52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2:26" ht="15.75" customHeight="1" x14ac:dyDescent="0.25">
      <c r="L63" s="52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2:26" ht="15.75" customHeight="1" x14ac:dyDescent="0.25">
      <c r="L64" s="52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2:26" ht="15.75" customHeight="1" x14ac:dyDescent="0.25">
      <c r="L65" s="52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2:26" ht="15.75" customHeight="1" x14ac:dyDescent="0.25">
      <c r="L66" s="52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2:26" ht="15.75" customHeight="1" x14ac:dyDescent="0.25">
      <c r="L67" s="52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2:26" ht="15.75" customHeight="1" x14ac:dyDescent="0.25">
      <c r="L68" s="52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2:26" ht="15.75" customHeight="1" x14ac:dyDescent="0.25">
      <c r="L69" s="52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2:26" ht="15.75" customHeight="1" x14ac:dyDescent="0.25">
      <c r="L70" s="52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2:26" ht="15.75" customHeight="1" x14ac:dyDescent="0.25">
      <c r="L71" s="52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2:26" ht="15.75" customHeight="1" x14ac:dyDescent="0.25">
      <c r="L72" s="52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2:26" ht="15.75" customHeight="1" x14ac:dyDescent="0.25">
      <c r="L73" s="52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2:26" ht="15.75" customHeight="1" x14ac:dyDescent="0.25">
      <c r="L74" s="52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2:26" ht="15.75" customHeight="1" x14ac:dyDescent="0.25">
      <c r="L75" s="52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2:26" ht="15.75" customHeight="1" x14ac:dyDescent="0.25">
      <c r="L76" s="52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2:26" ht="15.75" customHeight="1" x14ac:dyDescent="0.25">
      <c r="L77" s="52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2:26" ht="15.75" customHeight="1" x14ac:dyDescent="0.25">
      <c r="L78" s="52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2:26" ht="15.75" customHeight="1" x14ac:dyDescent="0.25">
      <c r="L79" s="52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2:26" ht="15.75" customHeight="1" x14ac:dyDescent="0.25">
      <c r="L80" s="52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2:26" ht="15.75" customHeight="1" x14ac:dyDescent="0.25">
      <c r="L81" s="52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2:26" ht="15.75" customHeight="1" x14ac:dyDescent="0.25">
      <c r="L82" s="52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2:26" ht="15.75" customHeight="1" x14ac:dyDescent="0.25">
      <c r="L83" s="52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2:26" ht="15.75" customHeight="1" x14ac:dyDescent="0.25">
      <c r="L84" s="52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2:26" ht="15.75" customHeight="1" x14ac:dyDescent="0.25">
      <c r="L85" s="52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2:26" ht="15.75" customHeight="1" x14ac:dyDescent="0.25">
      <c r="L86" s="52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2:26" ht="15.75" customHeight="1" x14ac:dyDescent="0.25">
      <c r="L87" s="52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2:26" ht="15.75" customHeight="1" x14ac:dyDescent="0.25">
      <c r="L88" s="52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2:26" ht="15.75" customHeight="1" x14ac:dyDescent="0.25">
      <c r="L89" s="52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2:26" ht="15.75" customHeight="1" x14ac:dyDescent="0.25">
      <c r="L90" s="52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2:26" ht="15.75" customHeight="1" x14ac:dyDescent="0.25">
      <c r="L91" s="52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2:26" ht="15.75" customHeight="1" x14ac:dyDescent="0.25">
      <c r="L92" s="52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2:26" ht="15.75" customHeight="1" x14ac:dyDescent="0.25">
      <c r="L93" s="52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2:26" ht="15.75" customHeight="1" x14ac:dyDescent="0.25">
      <c r="L94" s="52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2:26" ht="15.75" customHeight="1" x14ac:dyDescent="0.25">
      <c r="L95" s="52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2:26" ht="15.75" customHeight="1" x14ac:dyDescent="0.25">
      <c r="L96" s="52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2:26" ht="15.75" customHeight="1" x14ac:dyDescent="0.25">
      <c r="L97" s="52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2:26" ht="15.75" customHeight="1" x14ac:dyDescent="0.25">
      <c r="L98" s="52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2:26" ht="15.75" customHeight="1" x14ac:dyDescent="0.25">
      <c r="L99" s="52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2:26" ht="15.75" customHeight="1" x14ac:dyDescent="0.25">
      <c r="L100" s="52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2:26" ht="15.75" customHeight="1" x14ac:dyDescent="0.25">
      <c r="L101" s="52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2:26" ht="15.75" customHeight="1" x14ac:dyDescent="0.25">
      <c r="L102" s="52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2:26" ht="15.75" customHeight="1" x14ac:dyDescent="0.25">
      <c r="L103" s="52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2:26" ht="15.75" customHeight="1" x14ac:dyDescent="0.25">
      <c r="L104" s="52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2:26" ht="15.75" customHeight="1" x14ac:dyDescent="0.25">
      <c r="L105" s="52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2:26" ht="15.75" customHeight="1" x14ac:dyDescent="0.25">
      <c r="L106" s="52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2:26" ht="15.75" customHeight="1" x14ac:dyDescent="0.25">
      <c r="L107" s="52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2:26" ht="15.75" customHeight="1" x14ac:dyDescent="0.25">
      <c r="L108" s="52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2:26" ht="15.75" customHeight="1" x14ac:dyDescent="0.25">
      <c r="L109" s="52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2:26" ht="15.75" customHeight="1" x14ac:dyDescent="0.25">
      <c r="L110" s="52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2:26" ht="15.75" customHeight="1" x14ac:dyDescent="0.25">
      <c r="L111" s="52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2:26" ht="15.75" customHeight="1" x14ac:dyDescent="0.25">
      <c r="L112" s="52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2:26" ht="15.75" customHeight="1" x14ac:dyDescent="0.25">
      <c r="L113" s="52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2:26" ht="15.75" customHeight="1" x14ac:dyDescent="0.25">
      <c r="L114" s="52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2:26" ht="15.75" customHeight="1" x14ac:dyDescent="0.25">
      <c r="L115" s="52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2:26" ht="15.75" customHeight="1" x14ac:dyDescent="0.25">
      <c r="L116" s="52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2:26" ht="15.75" customHeight="1" x14ac:dyDescent="0.25">
      <c r="L117" s="52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2:26" ht="15.75" customHeight="1" x14ac:dyDescent="0.25">
      <c r="L118" s="52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2:26" ht="15.75" customHeight="1" x14ac:dyDescent="0.25">
      <c r="L119" s="52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2:26" ht="15.75" customHeight="1" x14ac:dyDescent="0.25">
      <c r="L120" s="52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2:26" ht="15.75" customHeight="1" x14ac:dyDescent="0.25">
      <c r="L121" s="52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2:26" ht="15.75" customHeight="1" x14ac:dyDescent="0.25">
      <c r="L122" s="52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2:26" ht="15.75" customHeight="1" x14ac:dyDescent="0.25">
      <c r="L123" s="52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2:26" ht="15.75" customHeight="1" x14ac:dyDescent="0.25">
      <c r="L124" s="52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2:26" ht="15.75" customHeight="1" x14ac:dyDescent="0.25">
      <c r="L125" s="52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2:26" ht="15.75" customHeight="1" x14ac:dyDescent="0.25">
      <c r="L126" s="52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2:26" ht="15.75" customHeight="1" x14ac:dyDescent="0.25">
      <c r="L127" s="52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2:26" ht="15.75" customHeight="1" x14ac:dyDescent="0.25">
      <c r="L128" s="52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2:26" ht="15.75" customHeight="1" x14ac:dyDescent="0.25">
      <c r="L129" s="52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2:26" ht="15.75" customHeight="1" x14ac:dyDescent="0.25">
      <c r="L130" s="52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2:26" ht="15.75" customHeight="1" x14ac:dyDescent="0.25">
      <c r="L131" s="52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2:26" ht="15.75" customHeight="1" x14ac:dyDescent="0.25">
      <c r="L132" s="52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2:26" ht="15.75" customHeight="1" x14ac:dyDescent="0.25">
      <c r="L133" s="52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2:26" ht="15.75" customHeight="1" x14ac:dyDescent="0.25">
      <c r="L134" s="52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2:26" ht="15.75" customHeight="1" x14ac:dyDescent="0.25">
      <c r="L135" s="52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2:26" ht="15.75" customHeight="1" x14ac:dyDescent="0.25">
      <c r="L136" s="52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2:26" ht="15.75" customHeight="1" x14ac:dyDescent="0.25">
      <c r="L137" s="52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2:26" ht="15.75" customHeight="1" x14ac:dyDescent="0.25">
      <c r="L138" s="52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2:26" ht="15.75" customHeight="1" x14ac:dyDescent="0.25">
      <c r="L139" s="52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2:26" ht="15.75" customHeight="1" x14ac:dyDescent="0.25">
      <c r="L140" s="52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2:26" ht="15.75" customHeight="1" x14ac:dyDescent="0.25">
      <c r="L141" s="52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2:26" ht="15.75" customHeight="1" x14ac:dyDescent="0.25">
      <c r="L142" s="52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2:26" ht="15.75" customHeight="1" x14ac:dyDescent="0.25">
      <c r="L143" s="52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2:26" ht="15.75" customHeight="1" x14ac:dyDescent="0.25">
      <c r="L144" s="52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2:26" ht="15.75" customHeight="1" x14ac:dyDescent="0.25">
      <c r="L145" s="52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2:26" ht="15.75" customHeight="1" x14ac:dyDescent="0.25">
      <c r="L146" s="52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2:26" ht="15.75" customHeight="1" x14ac:dyDescent="0.25">
      <c r="L147" s="52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2:26" ht="15.75" customHeight="1" x14ac:dyDescent="0.25">
      <c r="L148" s="52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2:26" ht="15.75" customHeight="1" x14ac:dyDescent="0.25">
      <c r="L149" s="52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2:26" ht="15.75" customHeight="1" x14ac:dyDescent="0.25">
      <c r="L150" s="52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2:26" ht="15.75" customHeight="1" x14ac:dyDescent="0.25">
      <c r="L151" s="52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2:26" ht="15.75" customHeight="1" x14ac:dyDescent="0.25">
      <c r="L152" s="52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2:26" ht="15.75" customHeight="1" x14ac:dyDescent="0.25">
      <c r="L153" s="52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2:26" ht="15.75" customHeight="1" x14ac:dyDescent="0.25">
      <c r="L154" s="52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2:26" ht="15.75" customHeight="1" x14ac:dyDescent="0.25">
      <c r="L155" s="52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2:26" ht="15.75" customHeight="1" x14ac:dyDescent="0.25">
      <c r="L156" s="52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2:26" ht="15.75" customHeight="1" x14ac:dyDescent="0.25">
      <c r="L157" s="52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2:26" ht="15.75" customHeight="1" x14ac:dyDescent="0.25">
      <c r="L158" s="52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2:26" ht="15.75" customHeight="1" x14ac:dyDescent="0.25">
      <c r="L159" s="52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2:26" ht="15.75" customHeight="1" x14ac:dyDescent="0.25">
      <c r="L160" s="52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2:26" ht="15.75" customHeight="1" x14ac:dyDescent="0.25">
      <c r="L161" s="52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2:26" ht="15.75" customHeight="1" x14ac:dyDescent="0.25">
      <c r="L162" s="52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2:26" ht="15.75" customHeight="1" x14ac:dyDescent="0.25">
      <c r="L163" s="52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2:26" ht="15.75" customHeight="1" x14ac:dyDescent="0.25">
      <c r="L164" s="52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2:26" ht="15.75" customHeight="1" x14ac:dyDescent="0.25">
      <c r="L165" s="52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2:26" ht="15.75" customHeight="1" x14ac:dyDescent="0.25">
      <c r="L166" s="52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2:26" ht="15.75" customHeight="1" x14ac:dyDescent="0.25">
      <c r="L167" s="52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2:26" ht="15.75" customHeight="1" x14ac:dyDescent="0.25">
      <c r="L168" s="52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2:26" ht="15.75" customHeight="1" x14ac:dyDescent="0.25">
      <c r="L169" s="52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2:26" ht="15.75" customHeight="1" x14ac:dyDescent="0.25">
      <c r="L170" s="52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2:26" ht="15.75" customHeight="1" x14ac:dyDescent="0.25">
      <c r="L171" s="52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2:26" ht="15.75" customHeight="1" x14ac:dyDescent="0.25">
      <c r="L172" s="52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2:26" ht="15.75" customHeight="1" x14ac:dyDescent="0.25">
      <c r="L173" s="52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2:26" ht="15.75" customHeight="1" x14ac:dyDescent="0.25">
      <c r="L174" s="52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2:26" ht="15.75" customHeight="1" x14ac:dyDescent="0.25">
      <c r="L175" s="52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2:26" ht="15.75" customHeight="1" x14ac:dyDescent="0.25">
      <c r="L176" s="52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2:26" ht="15.75" customHeight="1" x14ac:dyDescent="0.25">
      <c r="L177" s="52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2:26" ht="15.75" customHeight="1" x14ac:dyDescent="0.25">
      <c r="L178" s="52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2:26" ht="15.75" customHeight="1" x14ac:dyDescent="0.25">
      <c r="L179" s="52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2:26" ht="15.75" customHeight="1" x14ac:dyDescent="0.25">
      <c r="L180" s="52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2:26" ht="15.75" customHeight="1" x14ac:dyDescent="0.25">
      <c r="L181" s="52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2:26" ht="15.75" customHeight="1" x14ac:dyDescent="0.25">
      <c r="L182" s="52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2:26" ht="15.75" customHeight="1" x14ac:dyDescent="0.25">
      <c r="L183" s="52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2:26" ht="15.75" customHeight="1" x14ac:dyDescent="0.25">
      <c r="L184" s="52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2:26" ht="15.75" customHeight="1" x14ac:dyDescent="0.25">
      <c r="L185" s="52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2:26" ht="15.75" customHeight="1" x14ac:dyDescent="0.25">
      <c r="L186" s="52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2:26" ht="15.75" customHeight="1" x14ac:dyDescent="0.25">
      <c r="L187" s="52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2:26" ht="15.75" customHeight="1" x14ac:dyDescent="0.25">
      <c r="L188" s="52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2:26" ht="15.75" customHeight="1" x14ac:dyDescent="0.25">
      <c r="L189" s="52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2:26" ht="15.75" customHeight="1" x14ac:dyDescent="0.25">
      <c r="L190" s="52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2:26" ht="15.75" customHeight="1" x14ac:dyDescent="0.25">
      <c r="L191" s="52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2:26" ht="15.75" customHeight="1" x14ac:dyDescent="0.25">
      <c r="L192" s="52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2:26" ht="15.75" customHeight="1" x14ac:dyDescent="0.25">
      <c r="L193" s="52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2:26" ht="15.75" customHeight="1" x14ac:dyDescent="0.25">
      <c r="L194" s="52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2:26" ht="15.75" customHeight="1" x14ac:dyDescent="0.25">
      <c r="L195" s="52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2:26" ht="15.75" customHeight="1" x14ac:dyDescent="0.25">
      <c r="L196" s="52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2:26" ht="15.75" customHeight="1" x14ac:dyDescent="0.25">
      <c r="L197" s="52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2:26" ht="15.75" customHeight="1" x14ac:dyDescent="0.25">
      <c r="L198" s="52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2:26" ht="15.75" customHeight="1" x14ac:dyDescent="0.25">
      <c r="L199" s="52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2:26" ht="15.75" customHeight="1" x14ac:dyDescent="0.25">
      <c r="L200" s="52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2:26" ht="15.75" customHeight="1" x14ac:dyDescent="0.25">
      <c r="L201" s="52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2:26" ht="15.75" customHeight="1" x14ac:dyDescent="0.25">
      <c r="L202" s="52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2:26" ht="15.75" customHeight="1" x14ac:dyDescent="0.25">
      <c r="L203" s="52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2:26" ht="15.75" customHeight="1" x14ac:dyDescent="0.25">
      <c r="L204" s="52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2:26" ht="15.75" customHeight="1" x14ac:dyDescent="0.25">
      <c r="L205" s="52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2:26" ht="15.75" customHeight="1" x14ac:dyDescent="0.25">
      <c r="L206" s="52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2:26" ht="15.75" customHeight="1" x14ac:dyDescent="0.25">
      <c r="L207" s="52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2:26" ht="15.75" customHeight="1" x14ac:dyDescent="0.25">
      <c r="L208" s="52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2:26" ht="15.75" customHeight="1" x14ac:dyDescent="0.25">
      <c r="L209" s="52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2:26" ht="15.75" customHeight="1" x14ac:dyDescent="0.25">
      <c r="L210" s="52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2:26" ht="15.75" customHeight="1" x14ac:dyDescent="0.25">
      <c r="L211" s="52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2:26" ht="15.75" customHeight="1" x14ac:dyDescent="0.25">
      <c r="L212" s="52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2:26" ht="15.75" customHeight="1" x14ac:dyDescent="0.25">
      <c r="L213" s="52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2:26" ht="15.75" customHeight="1" x14ac:dyDescent="0.25">
      <c r="L214" s="52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2:26" ht="15.75" customHeight="1" x14ac:dyDescent="0.25">
      <c r="L215" s="52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2:26" ht="15.75" customHeight="1" x14ac:dyDescent="0.25">
      <c r="L216" s="52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2:26" ht="15.75" customHeight="1" x14ac:dyDescent="0.25">
      <c r="L217" s="52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2:26" ht="15.75" customHeight="1" x14ac:dyDescent="0.25">
      <c r="L218" s="52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2:26" ht="15.75" customHeight="1" x14ac:dyDescent="0.25">
      <c r="L219" s="52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2:26" ht="15.75" customHeight="1" x14ac:dyDescent="0.25">
      <c r="L220" s="52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2:26" ht="15.75" customHeight="1" x14ac:dyDescent="0.25">
      <c r="L221" s="52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2:26" ht="15.75" customHeight="1" x14ac:dyDescent="0.25">
      <c r="L222" s="52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2:26" ht="15.75" customHeight="1" x14ac:dyDescent="0.25">
      <c r="L223" s="52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2:26" ht="15.75" customHeight="1" x14ac:dyDescent="0.25">
      <c r="L224" s="52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2:26" ht="15.75" customHeight="1" x14ac:dyDescent="0.25">
      <c r="L225" s="52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2:26" ht="15.75" customHeight="1" x14ac:dyDescent="0.25">
      <c r="L226" s="52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2:26" ht="15.75" customHeight="1" x14ac:dyDescent="0.25">
      <c r="L227" s="52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2:26" ht="15.75" customHeight="1" x14ac:dyDescent="0.25">
      <c r="L228" s="52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2:26" ht="15.75" customHeight="1" x14ac:dyDescent="0.25">
      <c r="L229" s="52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2:26" ht="15.75" customHeight="1" x14ac:dyDescent="0.25">
      <c r="L230" s="52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2:26" ht="15.75" customHeight="1" x14ac:dyDescent="0.25">
      <c r="L231" s="52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2:26" ht="15.75" customHeight="1" x14ac:dyDescent="0.25">
      <c r="L232" s="52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2:26" ht="15.75" customHeight="1" x14ac:dyDescent="0.25">
      <c r="L233" s="52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2:26" ht="15.75" customHeight="1" x14ac:dyDescent="0.25">
      <c r="L234" s="52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2:26" ht="15.75" customHeight="1" x14ac:dyDescent="0.25">
      <c r="L235" s="52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2:26" ht="15.75" customHeight="1" x14ac:dyDescent="0.25">
      <c r="L236" s="52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2:26" ht="15.75" customHeight="1" x14ac:dyDescent="0.25">
      <c r="L237" s="52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2:26" ht="15.75" customHeight="1" x14ac:dyDescent="0.25">
      <c r="L238" s="52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2:26" ht="15.75" customHeight="1" x14ac:dyDescent="0.25">
      <c r="L239" s="52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2:26" ht="15.75" customHeight="1" x14ac:dyDescent="0.25">
      <c r="L240" s="52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2:26" ht="15.75" customHeight="1" x14ac:dyDescent="0.25">
      <c r="L241" s="52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2:26" ht="15.75" customHeight="1" x14ac:dyDescent="0.25">
      <c r="L242" s="52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2:26" ht="15.75" customHeight="1" x14ac:dyDescent="0.25">
      <c r="L243" s="52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2:26" ht="15.75" customHeight="1" x14ac:dyDescent="0.25">
      <c r="L244" s="52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2:26" ht="15.75" customHeight="1" x14ac:dyDescent="0.25">
      <c r="L245" s="52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2:26" ht="15.75" customHeight="1" x14ac:dyDescent="0.25">
      <c r="L246" s="52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2:26" ht="15.75" customHeight="1" x14ac:dyDescent="0.25">
      <c r="L247" s="52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2:26" ht="15.75" customHeight="1" x14ac:dyDescent="0.25">
      <c r="L248" s="52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2:26" ht="15.75" customHeight="1" x14ac:dyDescent="0.25">
      <c r="L249" s="52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2:26" ht="15.75" customHeight="1" x14ac:dyDescent="0.25">
      <c r="L250" s="52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2:26" ht="15.75" customHeight="1" x14ac:dyDescent="0.25">
      <c r="L251" s="52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2:26" ht="15.75" customHeight="1" x14ac:dyDescent="0.25">
      <c r="L252" s="52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2:26" ht="15.75" customHeight="1" x14ac:dyDescent="0.25">
      <c r="L253" s="52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2:26" ht="15.75" customHeight="1" x14ac:dyDescent="0.25">
      <c r="L254" s="52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2:26" ht="15.75" customHeight="1" x14ac:dyDescent="0.25">
      <c r="L255" s="52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2:26" ht="15.75" customHeight="1" x14ac:dyDescent="0.25">
      <c r="L256" s="52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2:26" ht="15.75" customHeight="1" x14ac:dyDescent="0.25">
      <c r="L257" s="52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2:26" ht="15.75" customHeight="1" x14ac:dyDescent="0.25">
      <c r="L258" s="52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2:26" ht="15.75" customHeight="1" x14ac:dyDescent="0.25">
      <c r="L259" s="52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2:26" ht="15.75" customHeight="1" x14ac:dyDescent="0.25">
      <c r="L260" s="52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2:26" ht="15.75" customHeight="1" x14ac:dyDescent="0.25">
      <c r="L261" s="52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2:26" ht="15.75" customHeight="1" x14ac:dyDescent="0.25">
      <c r="L262" s="52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2:26" ht="15.75" customHeight="1" x14ac:dyDescent="0.25">
      <c r="L263" s="52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2:26" ht="15.75" customHeight="1" x14ac:dyDescent="0.25">
      <c r="L264" s="52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2:26" ht="15.75" customHeight="1" x14ac:dyDescent="0.25">
      <c r="L265" s="52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2:26" ht="15.75" customHeight="1" x14ac:dyDescent="0.25">
      <c r="L266" s="52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2:26" ht="15.75" customHeight="1" x14ac:dyDescent="0.25">
      <c r="L267" s="52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2:26" ht="15.75" customHeight="1" x14ac:dyDescent="0.25">
      <c r="L268" s="52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2:26" ht="15.75" customHeight="1" x14ac:dyDescent="0.25">
      <c r="L269" s="52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2:26" ht="15.75" customHeight="1" x14ac:dyDescent="0.25">
      <c r="L270" s="52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2:26" ht="15.75" customHeight="1" x14ac:dyDescent="0.25">
      <c r="L271" s="52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2:26" ht="15.75" customHeight="1" x14ac:dyDescent="0.25">
      <c r="L272" s="52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2:26" ht="15.75" customHeight="1" x14ac:dyDescent="0.25">
      <c r="L273" s="52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2:26" ht="15.75" customHeight="1" x14ac:dyDescent="0.25">
      <c r="L274" s="52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2:26" ht="15.75" customHeight="1" x14ac:dyDescent="0.25">
      <c r="L275" s="52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2:26" ht="15.75" customHeight="1" x14ac:dyDescent="0.25">
      <c r="L276" s="52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2:26" ht="15.75" customHeight="1" x14ac:dyDescent="0.25">
      <c r="L277" s="52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2:26" ht="15.75" customHeight="1" x14ac:dyDescent="0.25">
      <c r="L278" s="52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2:26" ht="15.75" customHeight="1" x14ac:dyDescent="0.25">
      <c r="L279" s="52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2:26" ht="15.75" customHeight="1" x14ac:dyDescent="0.25">
      <c r="L280" s="52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2:26" ht="15.75" customHeight="1" x14ac:dyDescent="0.25">
      <c r="L281" s="52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2:26" ht="15.75" customHeight="1" x14ac:dyDescent="0.25">
      <c r="L282" s="52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2:26" ht="15.75" customHeight="1" x14ac:dyDescent="0.25">
      <c r="L283" s="52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2:26" ht="15.75" customHeight="1" x14ac:dyDescent="0.25">
      <c r="L284" s="52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2:26" ht="15.75" customHeight="1" x14ac:dyDescent="0.25">
      <c r="L285" s="52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2:26" ht="15.75" customHeight="1" x14ac:dyDescent="0.25">
      <c r="L286" s="52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2:26" ht="15.75" customHeight="1" x14ac:dyDescent="0.25">
      <c r="L287" s="52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2:26" ht="15.75" customHeight="1" x14ac:dyDescent="0.25">
      <c r="L288" s="52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2:26" ht="15.75" customHeight="1" x14ac:dyDescent="0.25">
      <c r="L289" s="52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2:26" ht="15.75" customHeight="1" x14ac:dyDescent="0.25">
      <c r="L290" s="52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2:26" ht="15.75" customHeight="1" x14ac:dyDescent="0.25">
      <c r="L291" s="52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2:26" ht="15.75" customHeight="1" x14ac:dyDescent="0.25">
      <c r="L292" s="52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2:26" ht="15.75" customHeight="1" x14ac:dyDescent="0.25">
      <c r="L293" s="52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2:26" ht="15.75" customHeight="1" x14ac:dyDescent="0.25">
      <c r="L294" s="52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2:26" ht="15.75" customHeight="1" x14ac:dyDescent="0.25">
      <c r="L295" s="52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2:26" ht="15.75" customHeight="1" x14ac:dyDescent="0.25">
      <c r="L296" s="52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2:26" ht="15.75" customHeight="1" x14ac:dyDescent="0.25">
      <c r="L297" s="52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2:26" ht="15.75" customHeight="1" x14ac:dyDescent="0.25">
      <c r="L298" s="52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2:26" ht="15.75" customHeight="1" x14ac:dyDescent="0.25">
      <c r="L299" s="52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2:26" ht="15.75" customHeight="1" x14ac:dyDescent="0.25">
      <c r="L300" s="52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2:26" ht="15.75" customHeight="1" x14ac:dyDescent="0.25">
      <c r="L301" s="52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2:26" ht="15.75" customHeight="1" x14ac:dyDescent="0.25">
      <c r="L302" s="52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2:26" ht="15.75" customHeight="1" x14ac:dyDescent="0.25">
      <c r="L303" s="52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2:26" ht="15.75" customHeight="1" x14ac:dyDescent="0.25">
      <c r="L304" s="52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2:26" ht="15.75" customHeight="1" x14ac:dyDescent="0.25">
      <c r="L305" s="52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2:26" ht="15.75" customHeight="1" x14ac:dyDescent="0.25">
      <c r="L306" s="52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2:26" ht="15.75" customHeight="1" x14ac:dyDescent="0.25">
      <c r="L307" s="52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2:26" ht="15.75" customHeight="1" x14ac:dyDescent="0.25">
      <c r="L308" s="52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2:26" ht="15.75" customHeight="1" x14ac:dyDescent="0.25">
      <c r="L309" s="52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2:26" ht="15.75" customHeight="1" x14ac:dyDescent="0.25">
      <c r="L310" s="52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2:26" ht="15.75" customHeight="1" x14ac:dyDescent="0.25">
      <c r="L311" s="52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2:26" ht="15.75" customHeight="1" x14ac:dyDescent="0.25">
      <c r="L312" s="52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2:26" ht="15.75" customHeight="1" x14ac:dyDescent="0.25">
      <c r="L313" s="52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2:26" ht="15.75" customHeight="1" x14ac:dyDescent="0.25">
      <c r="L314" s="52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2:26" ht="15.75" customHeight="1" x14ac:dyDescent="0.25">
      <c r="L315" s="52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2:26" ht="15.75" customHeight="1" x14ac:dyDescent="0.25">
      <c r="L316" s="52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2:26" ht="15.75" customHeight="1" x14ac:dyDescent="0.25">
      <c r="L317" s="52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2:26" ht="15.75" customHeight="1" x14ac:dyDescent="0.25">
      <c r="L318" s="52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2:26" ht="15.75" customHeight="1" x14ac:dyDescent="0.25">
      <c r="L319" s="52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2:26" ht="15.75" customHeight="1" x14ac:dyDescent="0.25">
      <c r="L320" s="52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2:26" ht="15.75" customHeight="1" x14ac:dyDescent="0.25">
      <c r="L321" s="52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2:26" ht="15.75" customHeight="1" x14ac:dyDescent="0.25">
      <c r="L322" s="52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2:26" ht="15.75" customHeight="1" x14ac:dyDescent="0.25">
      <c r="L323" s="52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2:26" ht="15.75" customHeight="1" x14ac:dyDescent="0.25">
      <c r="L324" s="52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2:26" ht="15.75" customHeight="1" x14ac:dyDescent="0.25">
      <c r="L325" s="52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2:26" ht="15.75" customHeight="1" x14ac:dyDescent="0.25">
      <c r="L326" s="52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2:26" ht="15.75" customHeight="1" x14ac:dyDescent="0.25">
      <c r="L327" s="52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2:26" ht="15.75" customHeight="1" x14ac:dyDescent="0.25">
      <c r="L328" s="52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2:26" ht="15.75" customHeight="1" x14ac:dyDescent="0.25">
      <c r="L329" s="52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2:26" ht="15.75" customHeight="1" x14ac:dyDescent="0.25">
      <c r="L330" s="52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2:26" ht="15.75" customHeight="1" x14ac:dyDescent="0.25">
      <c r="L331" s="52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2:26" ht="15.75" customHeight="1" x14ac:dyDescent="0.25">
      <c r="L332" s="52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2:26" ht="15.75" customHeight="1" x14ac:dyDescent="0.25">
      <c r="L333" s="52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2:26" ht="15.75" customHeight="1" x14ac:dyDescent="0.25">
      <c r="L334" s="52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2:26" ht="15.75" customHeight="1" x14ac:dyDescent="0.25">
      <c r="L335" s="52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2:26" ht="15.75" customHeight="1" x14ac:dyDescent="0.25">
      <c r="L336" s="52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2:26" ht="15.75" customHeight="1" x14ac:dyDescent="0.25">
      <c r="L337" s="52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2:26" ht="15.75" customHeight="1" x14ac:dyDescent="0.25">
      <c r="L338" s="52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2:26" ht="15.75" customHeight="1" x14ac:dyDescent="0.25">
      <c r="L339" s="52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2:26" ht="15.75" customHeight="1" x14ac:dyDescent="0.25">
      <c r="L340" s="52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2:26" ht="15.75" customHeight="1" x14ac:dyDescent="0.25">
      <c r="L341" s="52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2:26" ht="15.75" customHeight="1" x14ac:dyDescent="0.25">
      <c r="L342" s="52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2:26" ht="15.75" customHeight="1" x14ac:dyDescent="0.25">
      <c r="L343" s="52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2:26" ht="15.75" customHeight="1" x14ac:dyDescent="0.25">
      <c r="L344" s="52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2:26" ht="15.75" customHeight="1" x14ac:dyDescent="0.25">
      <c r="L345" s="52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2:26" ht="15.75" customHeight="1" x14ac:dyDescent="0.25">
      <c r="L346" s="52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2:26" ht="15.75" customHeight="1" x14ac:dyDescent="0.25">
      <c r="L347" s="52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2:26" ht="15.75" customHeight="1" x14ac:dyDescent="0.25">
      <c r="L348" s="52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2:26" ht="15.75" customHeight="1" x14ac:dyDescent="0.25">
      <c r="L349" s="52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2:26" ht="15.75" customHeight="1" x14ac:dyDescent="0.25">
      <c r="L350" s="52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2:26" ht="15.75" customHeight="1" x14ac:dyDescent="0.25">
      <c r="L351" s="52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2:26" ht="15.75" customHeight="1" x14ac:dyDescent="0.25">
      <c r="L352" s="52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2:26" ht="15.75" customHeight="1" x14ac:dyDescent="0.25">
      <c r="L353" s="52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2:26" ht="15.75" customHeight="1" x14ac:dyDescent="0.25">
      <c r="L354" s="52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2:26" ht="15.75" customHeight="1" x14ac:dyDescent="0.25">
      <c r="L355" s="52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2:26" ht="15.75" customHeight="1" x14ac:dyDescent="0.25">
      <c r="L356" s="52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2:26" ht="15.75" customHeight="1" x14ac:dyDescent="0.25">
      <c r="L357" s="52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2:26" ht="15.75" customHeight="1" x14ac:dyDescent="0.25">
      <c r="L358" s="52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2:26" ht="15.75" customHeight="1" x14ac:dyDescent="0.25">
      <c r="L359" s="52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2:26" ht="15.75" customHeight="1" x14ac:dyDescent="0.25">
      <c r="L360" s="52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2:26" ht="15.75" customHeight="1" x14ac:dyDescent="0.25">
      <c r="L361" s="52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2:26" ht="15.75" customHeight="1" x14ac:dyDescent="0.25">
      <c r="L362" s="52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2:26" ht="15.75" customHeight="1" x14ac:dyDescent="0.25">
      <c r="L363" s="52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2:26" ht="15.75" customHeight="1" x14ac:dyDescent="0.25">
      <c r="L364" s="52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2:26" ht="15.75" customHeight="1" x14ac:dyDescent="0.25">
      <c r="L365" s="52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2:26" ht="15.75" customHeight="1" x14ac:dyDescent="0.25">
      <c r="L366" s="52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2:26" ht="15.75" customHeight="1" x14ac:dyDescent="0.25">
      <c r="L367" s="52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2:26" ht="15.75" customHeight="1" x14ac:dyDescent="0.25">
      <c r="L368" s="52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2:26" ht="15.75" customHeight="1" x14ac:dyDescent="0.25">
      <c r="L369" s="52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2:26" ht="15.75" customHeight="1" x14ac:dyDescent="0.25">
      <c r="L370" s="52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2:26" ht="15.75" customHeight="1" x14ac:dyDescent="0.25">
      <c r="L371" s="52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2:26" ht="15.75" customHeight="1" x14ac:dyDescent="0.25">
      <c r="L372" s="52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2:26" ht="15.75" customHeight="1" x14ac:dyDescent="0.25">
      <c r="L373" s="52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2:26" ht="15.75" customHeight="1" x14ac:dyDescent="0.25">
      <c r="L374" s="52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2:26" ht="15.75" customHeight="1" x14ac:dyDescent="0.25">
      <c r="L375" s="52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2:26" ht="15.75" customHeight="1" x14ac:dyDescent="0.25">
      <c r="L376" s="52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2:26" ht="15.75" customHeight="1" x14ac:dyDescent="0.25">
      <c r="L377" s="52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2:26" ht="15.75" customHeight="1" x14ac:dyDescent="0.25">
      <c r="L378" s="52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2:26" ht="15.75" customHeight="1" x14ac:dyDescent="0.25">
      <c r="L379" s="52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2:26" ht="15.75" customHeight="1" x14ac:dyDescent="0.25">
      <c r="L380" s="52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2:26" ht="15.75" customHeight="1" x14ac:dyDescent="0.25">
      <c r="L381" s="52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2:26" ht="15.75" customHeight="1" x14ac:dyDescent="0.25">
      <c r="L382" s="52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2:26" ht="15.75" customHeight="1" x14ac:dyDescent="0.25">
      <c r="L383" s="52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2:26" ht="15.75" customHeight="1" x14ac:dyDescent="0.25">
      <c r="L384" s="52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2:26" ht="15.75" customHeight="1" x14ac:dyDescent="0.25">
      <c r="L385" s="52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2:26" ht="15.75" customHeight="1" x14ac:dyDescent="0.25">
      <c r="L386" s="52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2:26" ht="15.75" customHeight="1" x14ac:dyDescent="0.25">
      <c r="L387" s="52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2:26" ht="15.75" customHeight="1" x14ac:dyDescent="0.25">
      <c r="L388" s="52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2:26" ht="15.75" customHeight="1" x14ac:dyDescent="0.25">
      <c r="L389" s="52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2:26" ht="15.75" customHeight="1" x14ac:dyDescent="0.25">
      <c r="L390" s="52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2:26" ht="15.75" customHeight="1" x14ac:dyDescent="0.25">
      <c r="L391" s="52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2:26" ht="15.75" customHeight="1" x14ac:dyDescent="0.25">
      <c r="L392" s="52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2:26" ht="15.75" customHeight="1" x14ac:dyDescent="0.25">
      <c r="L393" s="52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2:26" ht="15.75" customHeight="1" x14ac:dyDescent="0.25">
      <c r="L394" s="52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2:26" ht="15.75" customHeight="1" x14ac:dyDescent="0.25">
      <c r="L395" s="52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2:26" ht="15.75" customHeight="1" x14ac:dyDescent="0.25">
      <c r="L396" s="52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2:26" ht="15.75" customHeight="1" x14ac:dyDescent="0.25">
      <c r="L397" s="52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2:26" ht="15.75" customHeight="1" x14ac:dyDescent="0.25">
      <c r="L398" s="52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2:26" ht="15.75" customHeight="1" x14ac:dyDescent="0.25">
      <c r="L399" s="52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2:26" ht="15.75" customHeight="1" x14ac:dyDescent="0.25">
      <c r="L400" s="52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2:26" ht="15.75" customHeight="1" x14ac:dyDescent="0.25">
      <c r="L401" s="52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2:26" ht="15.75" customHeight="1" x14ac:dyDescent="0.25">
      <c r="L402" s="52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2:26" ht="15.75" customHeight="1" x14ac:dyDescent="0.25">
      <c r="L403" s="52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2:26" ht="15.75" customHeight="1" x14ac:dyDescent="0.25">
      <c r="L404" s="52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2:26" ht="15.75" customHeight="1" x14ac:dyDescent="0.25">
      <c r="L405" s="52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2:26" ht="15.75" customHeight="1" x14ac:dyDescent="0.25">
      <c r="L406" s="52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2:26" ht="15.75" customHeight="1" x14ac:dyDescent="0.25">
      <c r="L407" s="52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2:26" ht="15.75" customHeight="1" x14ac:dyDescent="0.25">
      <c r="L408" s="52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2:26" ht="15.75" customHeight="1" x14ac:dyDescent="0.25">
      <c r="L409" s="52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2:26" ht="15.75" customHeight="1" x14ac:dyDescent="0.25">
      <c r="L410" s="52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2:26" ht="15.75" customHeight="1" x14ac:dyDescent="0.25">
      <c r="L411" s="52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2:26" ht="15.75" customHeight="1" x14ac:dyDescent="0.25">
      <c r="L412" s="52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2:26" ht="15.75" customHeight="1" x14ac:dyDescent="0.25">
      <c r="L413" s="52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2:26" ht="15.75" customHeight="1" x14ac:dyDescent="0.25">
      <c r="L414" s="52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2:26" ht="15.75" customHeight="1" x14ac:dyDescent="0.25">
      <c r="L415" s="52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2:26" ht="15.75" customHeight="1" x14ac:dyDescent="0.25">
      <c r="L416" s="52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2:26" ht="15.75" customHeight="1" x14ac:dyDescent="0.25">
      <c r="L417" s="52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2:26" ht="15.75" customHeight="1" x14ac:dyDescent="0.25">
      <c r="L418" s="52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2:26" ht="15.75" customHeight="1" x14ac:dyDescent="0.25">
      <c r="L419" s="52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2:26" ht="15.75" customHeight="1" x14ac:dyDescent="0.25">
      <c r="L420" s="52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2:26" ht="15.75" customHeight="1" x14ac:dyDescent="0.25">
      <c r="L421" s="52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2:26" ht="15.75" customHeight="1" x14ac:dyDescent="0.25">
      <c r="L422" s="52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2:26" ht="15.75" customHeight="1" x14ac:dyDescent="0.25">
      <c r="L423" s="52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2:26" ht="15.75" customHeight="1" x14ac:dyDescent="0.25">
      <c r="L424" s="52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2:26" ht="15.75" customHeight="1" x14ac:dyDescent="0.25">
      <c r="L425" s="52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2:26" ht="15.75" customHeight="1" x14ac:dyDescent="0.25">
      <c r="L426" s="52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2:26" ht="15.75" customHeight="1" x14ac:dyDescent="0.25">
      <c r="L427" s="52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2:26" ht="15.75" customHeight="1" x14ac:dyDescent="0.25">
      <c r="L428" s="52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2:26" ht="15.75" customHeight="1" x14ac:dyDescent="0.25">
      <c r="L429" s="52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2:26" ht="15.75" customHeight="1" x14ac:dyDescent="0.25">
      <c r="L430" s="52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2:26" ht="15.75" customHeight="1" x14ac:dyDescent="0.25">
      <c r="L431" s="52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2:26" ht="15.75" customHeight="1" x14ac:dyDescent="0.25">
      <c r="L432" s="52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2:26" ht="15.75" customHeight="1" x14ac:dyDescent="0.25">
      <c r="L433" s="52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2:26" ht="15.75" customHeight="1" x14ac:dyDescent="0.25">
      <c r="L434" s="52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2:26" ht="15.75" customHeight="1" x14ac:dyDescent="0.25">
      <c r="L435" s="52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2:26" ht="15.75" customHeight="1" x14ac:dyDescent="0.25">
      <c r="L436" s="52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2:26" ht="15.75" customHeight="1" x14ac:dyDescent="0.25">
      <c r="L437" s="52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2:26" ht="15.75" customHeight="1" x14ac:dyDescent="0.25">
      <c r="L438" s="52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2:26" ht="15.75" customHeight="1" x14ac:dyDescent="0.25">
      <c r="L439" s="52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2:26" ht="15.75" customHeight="1" x14ac:dyDescent="0.25">
      <c r="L440" s="52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2:26" ht="15.75" customHeight="1" x14ac:dyDescent="0.25">
      <c r="L441" s="52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2:26" ht="15.75" customHeight="1" x14ac:dyDescent="0.25">
      <c r="L442" s="52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2:26" ht="15.75" customHeight="1" x14ac:dyDescent="0.25">
      <c r="L443" s="52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2:26" ht="15.75" customHeight="1" x14ac:dyDescent="0.25">
      <c r="L444" s="52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2:26" ht="15.75" customHeight="1" x14ac:dyDescent="0.25">
      <c r="L445" s="52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2:26" ht="15.75" customHeight="1" x14ac:dyDescent="0.25">
      <c r="L446" s="52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2:26" ht="15.75" customHeight="1" x14ac:dyDescent="0.25">
      <c r="L447" s="52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2:26" ht="15.75" customHeight="1" x14ac:dyDescent="0.25">
      <c r="L448" s="52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2:26" ht="15.75" customHeight="1" x14ac:dyDescent="0.25">
      <c r="L449" s="52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2:26" ht="15.75" customHeight="1" x14ac:dyDescent="0.25">
      <c r="L450" s="52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2:26" ht="15.75" customHeight="1" x14ac:dyDescent="0.25">
      <c r="L451" s="52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2:26" ht="15.75" customHeight="1" x14ac:dyDescent="0.25">
      <c r="L452" s="52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2:26" ht="15.75" customHeight="1" x14ac:dyDescent="0.25">
      <c r="L453" s="52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2:26" ht="15.75" customHeight="1" x14ac:dyDescent="0.25">
      <c r="L454" s="52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2:26" ht="15.75" customHeight="1" x14ac:dyDescent="0.25">
      <c r="L455" s="52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2:26" ht="15.75" customHeight="1" x14ac:dyDescent="0.25">
      <c r="L456" s="52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2:26" ht="15.75" customHeight="1" x14ac:dyDescent="0.25">
      <c r="L457" s="52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2:26" ht="15.75" customHeight="1" x14ac:dyDescent="0.25">
      <c r="L458" s="52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2:26" ht="15.75" customHeight="1" x14ac:dyDescent="0.25">
      <c r="L459" s="52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2:26" ht="15.75" customHeight="1" x14ac:dyDescent="0.25">
      <c r="L460" s="52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2:26" ht="15.75" customHeight="1" x14ac:dyDescent="0.25">
      <c r="L461" s="52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2:26" ht="15.75" customHeight="1" x14ac:dyDescent="0.25">
      <c r="L462" s="52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2:26" ht="15.75" customHeight="1" x14ac:dyDescent="0.25">
      <c r="L463" s="52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2:26" ht="15.75" customHeight="1" x14ac:dyDescent="0.25">
      <c r="L464" s="52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2:26" ht="15.75" customHeight="1" x14ac:dyDescent="0.25">
      <c r="L465" s="52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2:26" ht="15.75" customHeight="1" x14ac:dyDescent="0.25">
      <c r="L466" s="52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2:26" ht="15.75" customHeight="1" x14ac:dyDescent="0.25">
      <c r="L467" s="52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2:26" ht="15.75" customHeight="1" x14ac:dyDescent="0.25">
      <c r="L468" s="52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2:26" ht="15.75" customHeight="1" x14ac:dyDescent="0.25">
      <c r="L469" s="52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2:26" ht="15.75" customHeight="1" x14ac:dyDescent="0.25">
      <c r="L470" s="52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2:26" ht="15.75" customHeight="1" x14ac:dyDescent="0.25">
      <c r="L471" s="52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2:26" ht="15.75" customHeight="1" x14ac:dyDescent="0.25">
      <c r="L472" s="52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2:26" ht="15.75" customHeight="1" x14ac:dyDescent="0.25">
      <c r="L473" s="52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2:26" ht="15.75" customHeight="1" x14ac:dyDescent="0.25">
      <c r="L474" s="52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2:26" ht="15.75" customHeight="1" x14ac:dyDescent="0.25">
      <c r="L475" s="52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2:26" ht="15.75" customHeight="1" x14ac:dyDescent="0.25">
      <c r="L476" s="52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2:26" ht="15.75" customHeight="1" x14ac:dyDescent="0.25">
      <c r="L477" s="52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2:26" ht="15.75" customHeight="1" x14ac:dyDescent="0.25">
      <c r="L478" s="52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2:26" ht="15.75" customHeight="1" x14ac:dyDescent="0.25">
      <c r="L479" s="52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2:26" ht="15.75" customHeight="1" x14ac:dyDescent="0.25">
      <c r="L480" s="52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2:26" ht="15.75" customHeight="1" x14ac:dyDescent="0.25">
      <c r="L481" s="52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2:26" ht="15.75" customHeight="1" x14ac:dyDescent="0.25">
      <c r="L482" s="52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2:26" ht="15.75" customHeight="1" x14ac:dyDescent="0.25">
      <c r="L483" s="52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2:26" ht="15.75" customHeight="1" x14ac:dyDescent="0.25">
      <c r="L484" s="52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2:26" ht="15.75" customHeight="1" x14ac:dyDescent="0.25">
      <c r="L485" s="52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2:26" ht="15.75" customHeight="1" x14ac:dyDescent="0.25">
      <c r="L486" s="52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2:26" ht="15.75" customHeight="1" x14ac:dyDescent="0.25">
      <c r="L487" s="52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2:26" ht="15.75" customHeight="1" x14ac:dyDescent="0.25">
      <c r="L488" s="52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2:26" ht="15.75" customHeight="1" x14ac:dyDescent="0.25">
      <c r="L489" s="52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2:26" ht="15.75" customHeight="1" x14ac:dyDescent="0.25">
      <c r="L490" s="52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2:26" ht="15.75" customHeight="1" x14ac:dyDescent="0.25">
      <c r="L491" s="52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2:26" ht="15.75" customHeight="1" x14ac:dyDescent="0.25">
      <c r="L492" s="52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2:26" ht="15.75" customHeight="1" x14ac:dyDescent="0.25">
      <c r="L493" s="52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2:26" ht="15.75" customHeight="1" x14ac:dyDescent="0.25">
      <c r="L494" s="52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2:26" ht="15.75" customHeight="1" x14ac:dyDescent="0.25">
      <c r="L495" s="52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2:26" ht="15.75" customHeight="1" x14ac:dyDescent="0.25">
      <c r="L496" s="52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2:26" ht="15.75" customHeight="1" x14ac:dyDescent="0.25">
      <c r="L497" s="52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2:26" ht="15.75" customHeight="1" x14ac:dyDescent="0.25">
      <c r="L498" s="52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2:26" ht="15.75" customHeight="1" x14ac:dyDescent="0.25">
      <c r="L499" s="52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2:26" ht="15.75" customHeight="1" x14ac:dyDescent="0.25">
      <c r="L500" s="52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2:26" ht="15.75" customHeight="1" x14ac:dyDescent="0.25">
      <c r="L501" s="52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2:26" ht="15.75" customHeight="1" x14ac:dyDescent="0.25">
      <c r="L502" s="52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2:26" ht="15.75" customHeight="1" x14ac:dyDescent="0.25">
      <c r="L503" s="52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2:26" ht="15.75" customHeight="1" x14ac:dyDescent="0.25">
      <c r="L504" s="52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2:26" ht="15.75" customHeight="1" x14ac:dyDescent="0.25">
      <c r="L505" s="52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2:26" ht="15.75" customHeight="1" x14ac:dyDescent="0.25">
      <c r="L506" s="52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2:26" ht="15.75" customHeight="1" x14ac:dyDescent="0.25">
      <c r="L507" s="52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2:26" ht="15.75" customHeight="1" x14ac:dyDescent="0.25">
      <c r="L508" s="52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2:26" ht="15.75" customHeight="1" x14ac:dyDescent="0.25">
      <c r="L509" s="52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2:26" ht="15.75" customHeight="1" x14ac:dyDescent="0.25">
      <c r="L510" s="52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2:26" ht="15.75" customHeight="1" x14ac:dyDescent="0.25">
      <c r="L511" s="52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2:26" ht="15.75" customHeight="1" x14ac:dyDescent="0.25">
      <c r="L512" s="52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2:26" ht="15.75" customHeight="1" x14ac:dyDescent="0.25">
      <c r="L513" s="52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2:26" ht="15.75" customHeight="1" x14ac:dyDescent="0.25">
      <c r="L514" s="52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2:26" ht="15.75" customHeight="1" x14ac:dyDescent="0.25">
      <c r="L515" s="52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2:26" ht="15.75" customHeight="1" x14ac:dyDescent="0.25">
      <c r="L516" s="52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2:26" ht="15.75" customHeight="1" x14ac:dyDescent="0.25">
      <c r="L517" s="52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2:26" ht="15.75" customHeight="1" x14ac:dyDescent="0.25">
      <c r="L518" s="52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2:26" ht="15.75" customHeight="1" x14ac:dyDescent="0.25">
      <c r="L519" s="52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2:26" ht="15.75" customHeight="1" x14ac:dyDescent="0.25">
      <c r="L520" s="52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2:26" ht="15.75" customHeight="1" x14ac:dyDescent="0.25">
      <c r="L521" s="52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2:26" ht="15.75" customHeight="1" x14ac:dyDescent="0.25">
      <c r="L522" s="52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2:26" ht="15.75" customHeight="1" x14ac:dyDescent="0.25">
      <c r="L523" s="52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2:26" ht="15.75" customHeight="1" x14ac:dyDescent="0.25">
      <c r="L524" s="52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2:26" ht="15.75" customHeight="1" x14ac:dyDescent="0.25">
      <c r="L525" s="52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2:26" ht="15.75" customHeight="1" x14ac:dyDescent="0.25">
      <c r="L526" s="52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2:26" ht="15.75" customHeight="1" x14ac:dyDescent="0.25">
      <c r="L527" s="52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2:26" ht="15.75" customHeight="1" x14ac:dyDescent="0.25">
      <c r="L528" s="52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2:26" ht="15.75" customHeight="1" x14ac:dyDescent="0.25">
      <c r="L529" s="52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2:26" ht="15.75" customHeight="1" x14ac:dyDescent="0.25">
      <c r="L530" s="52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2:26" ht="15.75" customHeight="1" x14ac:dyDescent="0.25">
      <c r="L531" s="52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2:26" ht="15.75" customHeight="1" x14ac:dyDescent="0.25">
      <c r="L532" s="52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2:26" ht="15.75" customHeight="1" x14ac:dyDescent="0.25">
      <c r="L533" s="52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2:26" ht="15.75" customHeight="1" x14ac:dyDescent="0.25">
      <c r="L534" s="52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2:26" ht="15.75" customHeight="1" x14ac:dyDescent="0.25">
      <c r="L535" s="52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2:26" ht="15.75" customHeight="1" x14ac:dyDescent="0.25">
      <c r="L536" s="52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2:26" ht="15.75" customHeight="1" x14ac:dyDescent="0.25">
      <c r="L537" s="52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2:26" ht="15.75" customHeight="1" x14ac:dyDescent="0.25">
      <c r="L538" s="52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2:26" ht="15.75" customHeight="1" x14ac:dyDescent="0.25">
      <c r="L539" s="52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2:26" ht="15.75" customHeight="1" x14ac:dyDescent="0.25">
      <c r="L540" s="52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2:26" ht="15.75" customHeight="1" x14ac:dyDescent="0.25">
      <c r="L541" s="52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2:26" ht="15.75" customHeight="1" x14ac:dyDescent="0.25">
      <c r="L542" s="52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2:26" ht="15.75" customHeight="1" x14ac:dyDescent="0.25">
      <c r="L543" s="52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2:26" ht="15.75" customHeight="1" x14ac:dyDescent="0.25">
      <c r="L544" s="52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2:26" ht="15.75" customHeight="1" x14ac:dyDescent="0.25">
      <c r="L545" s="52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2:26" ht="15.75" customHeight="1" x14ac:dyDescent="0.25">
      <c r="L546" s="52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2:26" ht="15.75" customHeight="1" x14ac:dyDescent="0.25">
      <c r="L547" s="52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2:26" ht="15.75" customHeight="1" x14ac:dyDescent="0.25">
      <c r="L548" s="52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2:26" ht="15.75" customHeight="1" x14ac:dyDescent="0.25">
      <c r="L549" s="52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2:26" ht="15.75" customHeight="1" x14ac:dyDescent="0.25">
      <c r="L550" s="52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2:26" ht="15.75" customHeight="1" x14ac:dyDescent="0.25">
      <c r="L551" s="52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2:26" ht="15.75" customHeight="1" x14ac:dyDescent="0.25">
      <c r="L552" s="52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2:26" ht="15.75" customHeight="1" x14ac:dyDescent="0.25">
      <c r="L553" s="52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2:26" ht="15.75" customHeight="1" x14ac:dyDescent="0.25">
      <c r="L554" s="52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2:26" ht="15.75" customHeight="1" x14ac:dyDescent="0.25">
      <c r="L555" s="52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2:26" ht="15.75" customHeight="1" x14ac:dyDescent="0.25">
      <c r="L556" s="52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2:26" ht="15.75" customHeight="1" x14ac:dyDescent="0.25">
      <c r="L557" s="52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2:26" ht="15.75" customHeight="1" x14ac:dyDescent="0.25">
      <c r="L558" s="52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2:26" ht="15.75" customHeight="1" x14ac:dyDescent="0.25">
      <c r="L559" s="52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2:26" ht="15.75" customHeight="1" x14ac:dyDescent="0.25">
      <c r="L560" s="52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2:26" ht="15.75" customHeight="1" x14ac:dyDescent="0.25">
      <c r="L561" s="52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2:26" ht="15.75" customHeight="1" x14ac:dyDescent="0.25">
      <c r="L562" s="52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2:26" ht="15.75" customHeight="1" x14ac:dyDescent="0.25">
      <c r="L563" s="52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2:26" ht="15.75" customHeight="1" x14ac:dyDescent="0.25">
      <c r="L564" s="52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2:26" ht="15.75" customHeight="1" x14ac:dyDescent="0.25">
      <c r="L565" s="52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2:26" ht="15.75" customHeight="1" x14ac:dyDescent="0.25">
      <c r="L566" s="52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2:26" ht="15.75" customHeight="1" x14ac:dyDescent="0.25">
      <c r="L567" s="52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2:26" ht="15.75" customHeight="1" x14ac:dyDescent="0.25">
      <c r="L568" s="52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2:26" ht="15.75" customHeight="1" x14ac:dyDescent="0.25">
      <c r="L569" s="52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2:26" ht="15.75" customHeight="1" x14ac:dyDescent="0.25">
      <c r="L570" s="52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2:26" ht="15.75" customHeight="1" x14ac:dyDescent="0.25">
      <c r="L571" s="52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2:26" ht="15.75" customHeight="1" x14ac:dyDescent="0.25">
      <c r="L572" s="52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2:26" ht="15.75" customHeight="1" x14ac:dyDescent="0.25">
      <c r="L573" s="52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2:26" ht="15.75" customHeight="1" x14ac:dyDescent="0.25">
      <c r="L574" s="52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2:26" ht="15.75" customHeight="1" x14ac:dyDescent="0.25">
      <c r="L575" s="52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2:26" ht="15.75" customHeight="1" x14ac:dyDescent="0.25">
      <c r="L576" s="52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2:26" ht="15.75" customHeight="1" x14ac:dyDescent="0.25">
      <c r="L577" s="52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2:26" ht="15.75" customHeight="1" x14ac:dyDescent="0.25">
      <c r="L578" s="52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2:26" ht="15.75" customHeight="1" x14ac:dyDescent="0.25">
      <c r="L579" s="52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2:26" ht="15.75" customHeight="1" x14ac:dyDescent="0.25">
      <c r="L580" s="52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2:26" ht="15.75" customHeight="1" x14ac:dyDescent="0.25">
      <c r="L581" s="52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2:26" ht="15.75" customHeight="1" x14ac:dyDescent="0.25">
      <c r="L582" s="52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2:26" ht="15.75" customHeight="1" x14ac:dyDescent="0.25">
      <c r="L583" s="52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2:26" ht="15.75" customHeight="1" x14ac:dyDescent="0.25">
      <c r="L584" s="52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2:26" ht="15.75" customHeight="1" x14ac:dyDescent="0.25">
      <c r="L585" s="52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2:26" ht="15.75" customHeight="1" x14ac:dyDescent="0.25">
      <c r="L586" s="52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2:26" ht="15.75" customHeight="1" x14ac:dyDescent="0.25">
      <c r="L587" s="52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2:26" ht="15.75" customHeight="1" x14ac:dyDescent="0.25">
      <c r="L588" s="52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2:26" ht="15.75" customHeight="1" x14ac:dyDescent="0.25">
      <c r="L589" s="52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2:26" ht="15.75" customHeight="1" x14ac:dyDescent="0.25">
      <c r="L590" s="52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2:26" ht="15.75" customHeight="1" x14ac:dyDescent="0.25">
      <c r="L591" s="52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2:26" ht="15.75" customHeight="1" x14ac:dyDescent="0.25">
      <c r="L592" s="52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2:26" ht="15.75" customHeight="1" x14ac:dyDescent="0.25">
      <c r="L593" s="52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2:26" ht="15.75" customHeight="1" x14ac:dyDescent="0.25">
      <c r="L594" s="52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2:26" ht="15.75" customHeight="1" x14ac:dyDescent="0.25">
      <c r="L595" s="52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2:26" ht="15.75" customHeight="1" x14ac:dyDescent="0.25">
      <c r="L596" s="52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2:26" ht="15.75" customHeight="1" x14ac:dyDescent="0.25">
      <c r="L597" s="52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2:26" ht="15.75" customHeight="1" x14ac:dyDescent="0.25">
      <c r="L598" s="52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2:26" ht="15.75" customHeight="1" x14ac:dyDescent="0.25">
      <c r="L599" s="52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2:26" ht="15.75" customHeight="1" x14ac:dyDescent="0.25">
      <c r="L600" s="52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2:26" ht="15.75" customHeight="1" x14ac:dyDescent="0.25">
      <c r="L601" s="52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2:26" ht="15.75" customHeight="1" x14ac:dyDescent="0.25">
      <c r="L602" s="52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2:26" ht="15.75" customHeight="1" x14ac:dyDescent="0.25">
      <c r="L603" s="52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2:26" ht="15.75" customHeight="1" x14ac:dyDescent="0.25">
      <c r="L604" s="52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2:26" ht="15.75" customHeight="1" x14ac:dyDescent="0.25">
      <c r="L605" s="52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2:26" ht="15.75" customHeight="1" x14ac:dyDescent="0.25">
      <c r="L606" s="52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2:26" ht="15.75" customHeight="1" x14ac:dyDescent="0.25">
      <c r="L607" s="52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2:26" ht="15.75" customHeight="1" x14ac:dyDescent="0.25">
      <c r="L608" s="52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2:26" ht="15.75" customHeight="1" x14ac:dyDescent="0.25">
      <c r="L609" s="52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2:26" ht="15.75" customHeight="1" x14ac:dyDescent="0.25">
      <c r="L610" s="52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2:26" ht="15.75" customHeight="1" x14ac:dyDescent="0.25">
      <c r="L611" s="52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2:26" ht="15.75" customHeight="1" x14ac:dyDescent="0.25">
      <c r="L612" s="52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2:26" ht="15.75" customHeight="1" x14ac:dyDescent="0.25">
      <c r="L613" s="52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2:26" ht="15.75" customHeight="1" x14ac:dyDescent="0.25">
      <c r="L614" s="52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2:26" ht="15.75" customHeight="1" x14ac:dyDescent="0.25">
      <c r="L615" s="52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2:26" ht="15.75" customHeight="1" x14ac:dyDescent="0.25">
      <c r="L616" s="52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2:26" ht="15.75" customHeight="1" x14ac:dyDescent="0.25">
      <c r="L617" s="52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2:26" ht="15.75" customHeight="1" x14ac:dyDescent="0.25">
      <c r="L618" s="52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2:26" ht="15.75" customHeight="1" x14ac:dyDescent="0.25">
      <c r="L619" s="52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2:26" ht="15.75" customHeight="1" x14ac:dyDescent="0.25">
      <c r="L620" s="52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2:26" ht="15.75" customHeight="1" x14ac:dyDescent="0.25">
      <c r="L621" s="52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2:26" ht="15.75" customHeight="1" x14ac:dyDescent="0.25">
      <c r="L622" s="52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2:26" ht="15.75" customHeight="1" x14ac:dyDescent="0.25">
      <c r="L623" s="52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2:26" ht="15.75" customHeight="1" x14ac:dyDescent="0.25">
      <c r="L624" s="52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2:26" ht="15.75" customHeight="1" x14ac:dyDescent="0.25">
      <c r="L625" s="52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2:26" ht="15.75" customHeight="1" x14ac:dyDescent="0.25">
      <c r="L626" s="52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2:26" ht="15.75" customHeight="1" x14ac:dyDescent="0.25">
      <c r="L627" s="52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2:26" ht="15.75" customHeight="1" x14ac:dyDescent="0.25">
      <c r="L628" s="52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2:26" ht="15.75" customHeight="1" x14ac:dyDescent="0.25">
      <c r="L629" s="52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2:26" ht="15.75" customHeight="1" x14ac:dyDescent="0.25">
      <c r="L630" s="52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2:26" ht="15.75" customHeight="1" x14ac:dyDescent="0.25">
      <c r="L631" s="52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2:26" ht="15.75" customHeight="1" x14ac:dyDescent="0.25">
      <c r="L632" s="52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2:26" ht="15.75" customHeight="1" x14ac:dyDescent="0.25">
      <c r="L633" s="52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2:26" ht="15.75" customHeight="1" x14ac:dyDescent="0.25">
      <c r="L634" s="52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2:26" ht="15.75" customHeight="1" x14ac:dyDescent="0.25">
      <c r="L635" s="52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2:26" ht="15.75" customHeight="1" x14ac:dyDescent="0.25">
      <c r="L636" s="52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2:26" ht="15.75" customHeight="1" x14ac:dyDescent="0.25">
      <c r="L637" s="52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2:26" ht="15.75" customHeight="1" x14ac:dyDescent="0.25">
      <c r="L638" s="52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2:26" ht="15.75" customHeight="1" x14ac:dyDescent="0.25">
      <c r="L639" s="52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2:26" ht="15.75" customHeight="1" x14ac:dyDescent="0.25">
      <c r="L640" s="52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2:26" ht="15.75" customHeight="1" x14ac:dyDescent="0.25">
      <c r="L641" s="52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2:26" ht="15.75" customHeight="1" x14ac:dyDescent="0.25">
      <c r="L642" s="52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2:26" ht="15.75" customHeight="1" x14ac:dyDescent="0.25">
      <c r="L643" s="52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2:26" ht="15.75" customHeight="1" x14ac:dyDescent="0.25">
      <c r="L644" s="52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2:26" ht="15.75" customHeight="1" x14ac:dyDescent="0.25">
      <c r="L645" s="52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2:26" ht="15.75" customHeight="1" x14ac:dyDescent="0.25">
      <c r="L646" s="52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2:26" ht="15.75" customHeight="1" x14ac:dyDescent="0.25">
      <c r="L647" s="52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2:26" ht="15.75" customHeight="1" x14ac:dyDescent="0.25">
      <c r="L648" s="52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2:26" ht="15.75" customHeight="1" x14ac:dyDescent="0.25">
      <c r="L649" s="52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2:26" ht="15.75" customHeight="1" x14ac:dyDescent="0.25">
      <c r="L650" s="52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2:26" ht="15.75" customHeight="1" x14ac:dyDescent="0.25">
      <c r="L651" s="52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2:26" ht="15.75" customHeight="1" x14ac:dyDescent="0.25">
      <c r="L652" s="52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2:26" ht="15.75" customHeight="1" x14ac:dyDescent="0.25">
      <c r="L653" s="52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2:26" ht="15.75" customHeight="1" x14ac:dyDescent="0.25">
      <c r="L654" s="52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2:26" ht="15.75" customHeight="1" x14ac:dyDescent="0.25">
      <c r="L655" s="52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2:26" ht="15.75" customHeight="1" x14ac:dyDescent="0.25">
      <c r="L656" s="52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2:26" ht="15.75" customHeight="1" x14ac:dyDescent="0.25">
      <c r="L657" s="52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2:26" ht="15.75" customHeight="1" x14ac:dyDescent="0.25">
      <c r="L658" s="52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2:26" ht="15.75" customHeight="1" x14ac:dyDescent="0.25">
      <c r="L659" s="52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2:26" ht="15.75" customHeight="1" x14ac:dyDescent="0.25">
      <c r="L660" s="52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2:26" ht="15.75" customHeight="1" x14ac:dyDescent="0.25">
      <c r="L661" s="52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2:26" ht="15.75" customHeight="1" x14ac:dyDescent="0.25">
      <c r="L662" s="52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2:26" ht="15.75" customHeight="1" x14ac:dyDescent="0.25">
      <c r="L663" s="52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2:26" ht="15.75" customHeight="1" x14ac:dyDescent="0.25">
      <c r="L664" s="52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2:26" ht="15.75" customHeight="1" x14ac:dyDescent="0.25">
      <c r="L665" s="52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2:26" ht="15.75" customHeight="1" x14ac:dyDescent="0.25">
      <c r="L666" s="52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2:26" ht="15.75" customHeight="1" x14ac:dyDescent="0.25">
      <c r="L667" s="52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2:26" ht="15.75" customHeight="1" x14ac:dyDescent="0.25">
      <c r="L668" s="52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2:26" ht="15.75" customHeight="1" x14ac:dyDescent="0.25">
      <c r="L669" s="52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2:26" ht="15.75" customHeight="1" x14ac:dyDescent="0.25">
      <c r="L670" s="52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2:26" ht="15.75" customHeight="1" x14ac:dyDescent="0.25">
      <c r="L671" s="52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2:26" ht="15.75" customHeight="1" x14ac:dyDescent="0.25">
      <c r="L672" s="52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2:26" ht="15.75" customHeight="1" x14ac:dyDescent="0.25">
      <c r="L673" s="52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2:26" ht="15.75" customHeight="1" x14ac:dyDescent="0.25">
      <c r="L674" s="52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2:26" ht="15.75" customHeight="1" x14ac:dyDescent="0.25">
      <c r="L675" s="52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2:26" ht="15.75" customHeight="1" x14ac:dyDescent="0.25">
      <c r="L676" s="52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2:26" ht="15.75" customHeight="1" x14ac:dyDescent="0.25">
      <c r="L677" s="52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2:26" ht="15.75" customHeight="1" x14ac:dyDescent="0.25">
      <c r="L678" s="52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2:26" ht="15.75" customHeight="1" x14ac:dyDescent="0.25">
      <c r="L679" s="52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2:26" ht="15.75" customHeight="1" x14ac:dyDescent="0.25">
      <c r="L680" s="52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2:26" ht="15.75" customHeight="1" x14ac:dyDescent="0.25">
      <c r="L681" s="52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2:26" ht="15.75" customHeight="1" x14ac:dyDescent="0.25">
      <c r="L682" s="52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2:26" ht="15.75" customHeight="1" x14ac:dyDescent="0.25">
      <c r="L683" s="52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2:26" ht="15.75" customHeight="1" x14ac:dyDescent="0.25">
      <c r="L684" s="52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2:26" ht="15.75" customHeight="1" x14ac:dyDescent="0.25">
      <c r="L685" s="52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2:26" ht="15.75" customHeight="1" x14ac:dyDescent="0.25">
      <c r="L686" s="52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2:26" ht="15.75" customHeight="1" x14ac:dyDescent="0.25">
      <c r="L687" s="52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2:26" ht="15.75" customHeight="1" x14ac:dyDescent="0.25">
      <c r="L688" s="52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2:26" ht="15.75" customHeight="1" x14ac:dyDescent="0.25">
      <c r="L689" s="52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2:26" ht="15.75" customHeight="1" x14ac:dyDescent="0.25">
      <c r="L690" s="52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2:26" ht="15.75" customHeight="1" x14ac:dyDescent="0.25">
      <c r="L691" s="52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2:26" ht="15.75" customHeight="1" x14ac:dyDescent="0.25">
      <c r="L692" s="52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2:26" ht="15.75" customHeight="1" x14ac:dyDescent="0.25">
      <c r="L693" s="52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2:26" ht="15.75" customHeight="1" x14ac:dyDescent="0.25">
      <c r="L694" s="52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2:26" ht="15.75" customHeight="1" x14ac:dyDescent="0.25">
      <c r="L695" s="52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2:26" ht="15.75" customHeight="1" x14ac:dyDescent="0.25">
      <c r="L696" s="52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2:26" ht="15.75" customHeight="1" x14ac:dyDescent="0.25">
      <c r="L697" s="52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2:26" ht="15.75" customHeight="1" x14ac:dyDescent="0.25">
      <c r="L698" s="52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2:26" ht="15.75" customHeight="1" x14ac:dyDescent="0.25">
      <c r="L699" s="52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2:26" ht="15.75" customHeight="1" x14ac:dyDescent="0.25">
      <c r="L700" s="52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2:26" ht="15.75" customHeight="1" x14ac:dyDescent="0.25">
      <c r="L701" s="52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2:26" ht="15.75" customHeight="1" x14ac:dyDescent="0.25">
      <c r="L702" s="52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2:26" ht="15.75" customHeight="1" x14ac:dyDescent="0.25">
      <c r="L703" s="52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2:26" ht="15.75" customHeight="1" x14ac:dyDescent="0.25">
      <c r="L704" s="52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2:26" ht="15.75" customHeight="1" x14ac:dyDescent="0.25">
      <c r="L705" s="52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2:26" ht="15.75" customHeight="1" x14ac:dyDescent="0.25">
      <c r="L706" s="52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2:26" ht="15.75" customHeight="1" x14ac:dyDescent="0.25">
      <c r="L707" s="52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2:26" ht="15.75" customHeight="1" x14ac:dyDescent="0.25">
      <c r="L708" s="52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2:26" ht="15.75" customHeight="1" x14ac:dyDescent="0.25">
      <c r="L709" s="52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2:26" ht="15.75" customHeight="1" x14ac:dyDescent="0.25">
      <c r="L710" s="52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2:26" ht="15.75" customHeight="1" x14ac:dyDescent="0.25">
      <c r="L711" s="52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2:26" ht="15.75" customHeight="1" x14ac:dyDescent="0.25">
      <c r="L712" s="52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2:26" ht="15.75" customHeight="1" x14ac:dyDescent="0.25">
      <c r="L713" s="52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2:26" ht="15.75" customHeight="1" x14ac:dyDescent="0.25">
      <c r="L714" s="52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2:26" ht="15.75" customHeight="1" x14ac:dyDescent="0.25">
      <c r="L715" s="52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2:26" ht="15.75" customHeight="1" x14ac:dyDescent="0.25">
      <c r="L716" s="52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2:26" ht="15.75" customHeight="1" x14ac:dyDescent="0.25">
      <c r="L717" s="52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2:26" ht="15.75" customHeight="1" x14ac:dyDescent="0.25">
      <c r="L718" s="52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2:26" ht="15.75" customHeight="1" x14ac:dyDescent="0.25">
      <c r="L719" s="52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2:26" ht="15.75" customHeight="1" x14ac:dyDescent="0.25">
      <c r="L720" s="52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2:26" ht="15.75" customHeight="1" x14ac:dyDescent="0.25">
      <c r="L721" s="52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2:26" ht="15.75" customHeight="1" x14ac:dyDescent="0.25">
      <c r="L722" s="52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2:26" ht="15.75" customHeight="1" x14ac:dyDescent="0.25">
      <c r="L723" s="52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2:26" ht="15.75" customHeight="1" x14ac:dyDescent="0.25">
      <c r="L724" s="52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2:26" ht="15.75" customHeight="1" x14ac:dyDescent="0.25">
      <c r="L725" s="52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2:26" ht="15.75" customHeight="1" x14ac:dyDescent="0.25">
      <c r="L726" s="52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2:26" ht="15.75" customHeight="1" x14ac:dyDescent="0.25">
      <c r="L727" s="52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2:26" ht="15.75" customHeight="1" x14ac:dyDescent="0.25">
      <c r="L728" s="52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2:26" ht="15.75" customHeight="1" x14ac:dyDescent="0.25">
      <c r="L729" s="52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2:26" ht="15.75" customHeight="1" x14ac:dyDescent="0.25">
      <c r="L730" s="52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2:26" ht="15.75" customHeight="1" x14ac:dyDescent="0.25">
      <c r="L731" s="52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2:26" ht="15.75" customHeight="1" x14ac:dyDescent="0.25">
      <c r="L732" s="52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2:26" ht="15.75" customHeight="1" x14ac:dyDescent="0.25">
      <c r="L733" s="52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2:26" ht="15.75" customHeight="1" x14ac:dyDescent="0.25">
      <c r="L734" s="52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2:26" ht="15.75" customHeight="1" x14ac:dyDescent="0.25">
      <c r="L735" s="52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2:26" ht="15.75" customHeight="1" x14ac:dyDescent="0.25">
      <c r="L736" s="52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2:26" ht="15.75" customHeight="1" x14ac:dyDescent="0.25">
      <c r="L737" s="52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2:26" ht="15.75" customHeight="1" x14ac:dyDescent="0.25">
      <c r="L738" s="52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2:26" ht="15.75" customHeight="1" x14ac:dyDescent="0.25">
      <c r="L739" s="52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2:26" ht="15.75" customHeight="1" x14ac:dyDescent="0.25">
      <c r="L740" s="52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2:26" ht="15.75" customHeight="1" x14ac:dyDescent="0.25">
      <c r="L741" s="52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2:26" ht="15.75" customHeight="1" x14ac:dyDescent="0.25">
      <c r="L742" s="52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2:26" ht="15.75" customHeight="1" x14ac:dyDescent="0.25">
      <c r="L743" s="52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2:26" ht="15.75" customHeight="1" x14ac:dyDescent="0.25">
      <c r="L744" s="52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2:26" ht="15.75" customHeight="1" x14ac:dyDescent="0.25">
      <c r="L745" s="52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2:26" ht="15.75" customHeight="1" x14ac:dyDescent="0.25">
      <c r="L746" s="52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2:26" ht="15.75" customHeight="1" x14ac:dyDescent="0.25">
      <c r="L747" s="52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2:26" ht="15.75" customHeight="1" x14ac:dyDescent="0.25">
      <c r="L748" s="52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2:26" ht="15.75" customHeight="1" x14ac:dyDescent="0.25">
      <c r="L749" s="52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2:26" ht="15.75" customHeight="1" x14ac:dyDescent="0.25">
      <c r="L750" s="52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2:26" ht="15.75" customHeight="1" x14ac:dyDescent="0.25">
      <c r="L751" s="52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2:26" ht="15.75" customHeight="1" x14ac:dyDescent="0.25">
      <c r="L752" s="52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2:26" ht="15.75" customHeight="1" x14ac:dyDescent="0.25">
      <c r="L753" s="52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2:26" ht="15.75" customHeight="1" x14ac:dyDescent="0.25">
      <c r="L754" s="52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2:26" ht="15.75" customHeight="1" x14ac:dyDescent="0.25">
      <c r="L755" s="52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2:26" ht="15.75" customHeight="1" x14ac:dyDescent="0.25">
      <c r="L756" s="52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2:26" ht="15.75" customHeight="1" x14ac:dyDescent="0.25">
      <c r="L757" s="52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2:26" ht="15.75" customHeight="1" x14ac:dyDescent="0.25">
      <c r="L758" s="52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2:26" ht="15.75" customHeight="1" x14ac:dyDescent="0.25">
      <c r="L759" s="52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2:26" ht="15.75" customHeight="1" x14ac:dyDescent="0.25">
      <c r="L760" s="52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2:26" ht="15.75" customHeight="1" x14ac:dyDescent="0.25">
      <c r="L761" s="52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2:26" ht="15.75" customHeight="1" x14ac:dyDescent="0.25">
      <c r="L762" s="52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2:26" ht="15.75" customHeight="1" x14ac:dyDescent="0.25">
      <c r="L763" s="52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2:26" ht="15.75" customHeight="1" x14ac:dyDescent="0.25">
      <c r="L764" s="52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2:26" ht="15.75" customHeight="1" x14ac:dyDescent="0.25">
      <c r="L765" s="52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2:26" ht="15.75" customHeight="1" x14ac:dyDescent="0.25">
      <c r="L766" s="52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2:26" ht="15.75" customHeight="1" x14ac:dyDescent="0.25">
      <c r="L767" s="52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2:26" ht="15.75" customHeight="1" x14ac:dyDescent="0.25">
      <c r="L768" s="52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2:26" ht="15.75" customHeight="1" x14ac:dyDescent="0.25">
      <c r="L769" s="52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2:26" ht="15.75" customHeight="1" x14ac:dyDescent="0.25">
      <c r="L770" s="52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2:26" ht="15.75" customHeight="1" x14ac:dyDescent="0.25">
      <c r="L771" s="52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2:26" ht="15.75" customHeight="1" x14ac:dyDescent="0.25">
      <c r="L772" s="52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2:26" ht="15.75" customHeight="1" x14ac:dyDescent="0.25">
      <c r="L773" s="52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2:26" ht="15.75" customHeight="1" x14ac:dyDescent="0.25">
      <c r="L774" s="52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2:26" ht="15.75" customHeight="1" x14ac:dyDescent="0.25">
      <c r="L775" s="52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2:26" ht="15.75" customHeight="1" x14ac:dyDescent="0.25">
      <c r="L776" s="52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2:26" ht="15.75" customHeight="1" x14ac:dyDescent="0.25">
      <c r="L777" s="52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2:26" ht="15.75" customHeight="1" x14ac:dyDescent="0.25">
      <c r="L778" s="52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2:26" ht="15.75" customHeight="1" x14ac:dyDescent="0.25">
      <c r="L779" s="52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2:26" ht="15.75" customHeight="1" x14ac:dyDescent="0.25">
      <c r="L780" s="52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2:26" ht="15.75" customHeight="1" x14ac:dyDescent="0.25">
      <c r="L781" s="52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2:26" ht="15.75" customHeight="1" x14ac:dyDescent="0.25">
      <c r="L782" s="52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2:26" ht="15.75" customHeight="1" x14ac:dyDescent="0.25">
      <c r="L783" s="52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2:26" ht="15.75" customHeight="1" x14ac:dyDescent="0.25">
      <c r="L784" s="52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2:26" ht="15.75" customHeight="1" x14ac:dyDescent="0.25">
      <c r="L785" s="52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2:26" ht="15.75" customHeight="1" x14ac:dyDescent="0.25">
      <c r="L786" s="52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2:26" ht="15.75" customHeight="1" x14ac:dyDescent="0.25">
      <c r="L787" s="52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2:26" ht="15.75" customHeight="1" x14ac:dyDescent="0.25">
      <c r="L788" s="52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2:26" ht="15.75" customHeight="1" x14ac:dyDescent="0.25">
      <c r="L789" s="52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2:26" ht="15.75" customHeight="1" x14ac:dyDescent="0.25">
      <c r="L790" s="52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2:26" ht="15.75" customHeight="1" x14ac:dyDescent="0.25">
      <c r="L791" s="52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2:26" ht="15.75" customHeight="1" x14ac:dyDescent="0.25">
      <c r="L792" s="52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2:26" ht="15.75" customHeight="1" x14ac:dyDescent="0.25">
      <c r="L793" s="52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2:26" ht="15.75" customHeight="1" x14ac:dyDescent="0.25">
      <c r="L794" s="52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2:26" ht="15.75" customHeight="1" x14ac:dyDescent="0.25">
      <c r="L795" s="52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2:26" ht="15.75" customHeight="1" x14ac:dyDescent="0.25">
      <c r="L796" s="52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2:26" ht="15.75" customHeight="1" x14ac:dyDescent="0.25">
      <c r="L797" s="52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2:26" ht="15.75" customHeight="1" x14ac:dyDescent="0.25">
      <c r="L798" s="52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2:26" ht="15.75" customHeight="1" x14ac:dyDescent="0.25">
      <c r="L799" s="52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2:26" ht="15.75" customHeight="1" x14ac:dyDescent="0.25">
      <c r="L800" s="52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2:26" ht="15.75" customHeight="1" x14ac:dyDescent="0.25">
      <c r="L801" s="52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2:26" ht="15.75" customHeight="1" x14ac:dyDescent="0.25">
      <c r="L802" s="52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2:26" ht="15.75" customHeight="1" x14ac:dyDescent="0.25">
      <c r="L803" s="52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2:26" ht="15.75" customHeight="1" x14ac:dyDescent="0.25">
      <c r="L804" s="52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2:26" ht="15.75" customHeight="1" x14ac:dyDescent="0.25">
      <c r="L805" s="52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2:26" ht="15.75" customHeight="1" x14ac:dyDescent="0.25">
      <c r="L806" s="52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2:26" ht="15.75" customHeight="1" x14ac:dyDescent="0.25">
      <c r="L807" s="52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2:26" ht="15.75" customHeight="1" x14ac:dyDescent="0.25">
      <c r="L808" s="52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2:26" ht="15.75" customHeight="1" x14ac:dyDescent="0.25">
      <c r="L809" s="52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2:26" ht="15.75" customHeight="1" x14ac:dyDescent="0.25">
      <c r="L810" s="52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2:26" ht="15.75" customHeight="1" x14ac:dyDescent="0.25">
      <c r="L811" s="52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2:26" ht="15.75" customHeight="1" x14ac:dyDescent="0.25">
      <c r="L812" s="52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2:26" ht="15.75" customHeight="1" x14ac:dyDescent="0.25">
      <c r="L813" s="52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2:26" ht="15.75" customHeight="1" x14ac:dyDescent="0.25">
      <c r="L814" s="52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2:26" ht="15.75" customHeight="1" x14ac:dyDescent="0.25">
      <c r="L815" s="52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2:26" ht="15.75" customHeight="1" x14ac:dyDescent="0.25">
      <c r="L816" s="52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2:26" ht="15.75" customHeight="1" x14ac:dyDescent="0.25">
      <c r="L817" s="52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2:26" ht="15.75" customHeight="1" x14ac:dyDescent="0.25">
      <c r="L818" s="52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2:26" ht="15.75" customHeight="1" x14ac:dyDescent="0.25">
      <c r="L819" s="52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2:26" ht="15.75" customHeight="1" x14ac:dyDescent="0.25">
      <c r="L820" s="52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2:26" ht="15.75" customHeight="1" x14ac:dyDescent="0.25">
      <c r="L821" s="52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2:26" ht="15.75" customHeight="1" x14ac:dyDescent="0.25">
      <c r="L822" s="52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2:26" ht="15.75" customHeight="1" x14ac:dyDescent="0.25">
      <c r="L823" s="52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2:26" ht="15.75" customHeight="1" x14ac:dyDescent="0.25">
      <c r="L824" s="52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2:26" ht="15.75" customHeight="1" x14ac:dyDescent="0.25">
      <c r="L825" s="52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2:26" ht="15.75" customHeight="1" x14ac:dyDescent="0.25">
      <c r="L826" s="52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2:26" ht="15.75" customHeight="1" x14ac:dyDescent="0.25">
      <c r="L827" s="52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2:26" ht="15.75" customHeight="1" x14ac:dyDescent="0.25">
      <c r="L828" s="52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2:26" ht="15.75" customHeight="1" x14ac:dyDescent="0.25">
      <c r="L829" s="52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2:26" ht="15.75" customHeight="1" x14ac:dyDescent="0.25">
      <c r="L830" s="52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2:26" ht="15.75" customHeight="1" x14ac:dyDescent="0.25">
      <c r="L831" s="52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2:26" ht="15.75" customHeight="1" x14ac:dyDescent="0.25">
      <c r="L832" s="52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2:26" ht="15.75" customHeight="1" x14ac:dyDescent="0.25">
      <c r="L833" s="52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2:26" ht="15.75" customHeight="1" x14ac:dyDescent="0.25">
      <c r="L834" s="52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2:26" ht="15.75" customHeight="1" x14ac:dyDescent="0.25">
      <c r="L835" s="52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2:26" ht="15.75" customHeight="1" x14ac:dyDescent="0.25">
      <c r="L836" s="52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2:26" ht="15.75" customHeight="1" x14ac:dyDescent="0.25">
      <c r="L837" s="52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2:26" ht="15.75" customHeight="1" x14ac:dyDescent="0.25">
      <c r="L838" s="52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2:26" ht="15.75" customHeight="1" x14ac:dyDescent="0.25">
      <c r="L839" s="52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2:26" ht="15.75" customHeight="1" x14ac:dyDescent="0.25">
      <c r="L840" s="52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2:26" ht="15.75" customHeight="1" x14ac:dyDescent="0.25">
      <c r="L841" s="52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2:26" ht="15.75" customHeight="1" x14ac:dyDescent="0.25">
      <c r="L842" s="52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2:26" ht="15.75" customHeight="1" x14ac:dyDescent="0.25">
      <c r="L843" s="52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2:26" ht="15.75" customHeight="1" x14ac:dyDescent="0.25">
      <c r="L844" s="52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2:26" ht="15.75" customHeight="1" x14ac:dyDescent="0.25">
      <c r="L845" s="52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2:26" ht="15.75" customHeight="1" x14ac:dyDescent="0.25">
      <c r="L846" s="52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2:26" ht="15.75" customHeight="1" x14ac:dyDescent="0.25">
      <c r="L847" s="52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2:26" ht="15.75" customHeight="1" x14ac:dyDescent="0.25">
      <c r="L848" s="52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2:26" ht="15.75" customHeight="1" x14ac:dyDescent="0.25">
      <c r="L849" s="52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2:26" ht="15.75" customHeight="1" x14ac:dyDescent="0.25">
      <c r="L850" s="52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2:26" ht="15.75" customHeight="1" x14ac:dyDescent="0.25">
      <c r="L851" s="52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2:26" ht="15.75" customHeight="1" x14ac:dyDescent="0.25">
      <c r="L852" s="52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2:26" ht="15.75" customHeight="1" x14ac:dyDescent="0.25">
      <c r="L853" s="52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2:26" ht="15.75" customHeight="1" x14ac:dyDescent="0.25">
      <c r="L854" s="52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2:26" ht="15.75" customHeight="1" x14ac:dyDescent="0.25">
      <c r="L855" s="52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2:26" ht="15.75" customHeight="1" x14ac:dyDescent="0.25">
      <c r="L856" s="52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2:26" ht="15.75" customHeight="1" x14ac:dyDescent="0.25">
      <c r="L857" s="52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2:26" ht="15.75" customHeight="1" x14ac:dyDescent="0.25">
      <c r="L858" s="52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2:26" ht="15.75" customHeight="1" x14ac:dyDescent="0.25">
      <c r="L859" s="52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2:26" ht="15.75" customHeight="1" x14ac:dyDescent="0.25">
      <c r="L860" s="52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2:26" ht="15.75" customHeight="1" x14ac:dyDescent="0.25">
      <c r="L861" s="52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2:26" ht="15.75" customHeight="1" x14ac:dyDescent="0.25">
      <c r="L862" s="52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2:26" ht="15.75" customHeight="1" x14ac:dyDescent="0.25">
      <c r="L863" s="52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2:26" ht="15.75" customHeight="1" x14ac:dyDescent="0.25">
      <c r="L864" s="52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2:26" ht="15.75" customHeight="1" x14ac:dyDescent="0.25">
      <c r="L865" s="52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2:26" ht="15.75" customHeight="1" x14ac:dyDescent="0.25">
      <c r="L866" s="52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2:26" ht="15.75" customHeight="1" x14ac:dyDescent="0.25">
      <c r="L867" s="52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2:26" ht="15.75" customHeight="1" x14ac:dyDescent="0.25">
      <c r="L868" s="52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2:26" ht="15.75" customHeight="1" x14ac:dyDescent="0.25">
      <c r="L869" s="52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2:26" ht="15.75" customHeight="1" x14ac:dyDescent="0.25">
      <c r="L870" s="52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2:26" ht="15.75" customHeight="1" x14ac:dyDescent="0.25">
      <c r="L871" s="52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2:26" ht="15.75" customHeight="1" x14ac:dyDescent="0.25">
      <c r="L872" s="52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2:26" ht="15.75" customHeight="1" x14ac:dyDescent="0.25">
      <c r="L873" s="52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2:26" ht="15.75" customHeight="1" x14ac:dyDescent="0.25">
      <c r="L874" s="52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2:26" ht="15.75" customHeight="1" x14ac:dyDescent="0.25">
      <c r="L875" s="52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2:26" ht="15.75" customHeight="1" x14ac:dyDescent="0.25">
      <c r="L876" s="52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2:26" ht="15.75" customHeight="1" x14ac:dyDescent="0.25">
      <c r="L877" s="52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2:26" ht="15.75" customHeight="1" x14ac:dyDescent="0.25">
      <c r="L878" s="52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2:26" ht="15.75" customHeight="1" x14ac:dyDescent="0.25">
      <c r="L879" s="52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2:26" ht="15.75" customHeight="1" x14ac:dyDescent="0.25">
      <c r="L880" s="52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2:26" ht="15.75" customHeight="1" x14ac:dyDescent="0.25">
      <c r="L881" s="52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2:26" ht="15.75" customHeight="1" x14ac:dyDescent="0.25">
      <c r="L882" s="52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2:26" ht="15.75" customHeight="1" x14ac:dyDescent="0.25">
      <c r="L883" s="52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2:26" ht="15.75" customHeight="1" x14ac:dyDescent="0.25">
      <c r="L884" s="52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2:26" ht="15.75" customHeight="1" x14ac:dyDescent="0.25">
      <c r="L885" s="52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2:26" ht="15.75" customHeight="1" x14ac:dyDescent="0.25">
      <c r="L886" s="52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2:26" ht="15.75" customHeight="1" x14ac:dyDescent="0.25">
      <c r="L887" s="52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2:26" ht="15.75" customHeight="1" x14ac:dyDescent="0.25">
      <c r="L888" s="52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2:26" ht="15.75" customHeight="1" x14ac:dyDescent="0.25">
      <c r="L889" s="52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2:26" ht="15.75" customHeight="1" x14ac:dyDescent="0.25">
      <c r="L890" s="52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2:26" ht="15.75" customHeight="1" x14ac:dyDescent="0.25">
      <c r="L891" s="52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2:26" ht="15.75" customHeight="1" x14ac:dyDescent="0.25">
      <c r="L892" s="52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2:26" ht="15.75" customHeight="1" x14ac:dyDescent="0.25">
      <c r="L893" s="52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2:26" ht="15.75" customHeight="1" x14ac:dyDescent="0.25">
      <c r="L894" s="52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2:26" ht="15.75" customHeight="1" x14ac:dyDescent="0.25">
      <c r="L895" s="52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2:26" ht="15.75" customHeight="1" x14ac:dyDescent="0.25">
      <c r="L896" s="52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2:26" ht="15.75" customHeight="1" x14ac:dyDescent="0.25">
      <c r="L897" s="52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2:26" ht="15.75" customHeight="1" x14ac:dyDescent="0.25">
      <c r="L898" s="52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2:26" ht="15.75" customHeight="1" x14ac:dyDescent="0.25">
      <c r="L899" s="52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2:26" ht="15.75" customHeight="1" x14ac:dyDescent="0.25">
      <c r="L900" s="52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2:26" ht="15.75" customHeight="1" x14ac:dyDescent="0.25">
      <c r="L901" s="52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2:26" ht="15.75" customHeight="1" x14ac:dyDescent="0.25">
      <c r="L902" s="52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2:26" ht="15.75" customHeight="1" x14ac:dyDescent="0.25">
      <c r="L903" s="52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2:26" ht="15.75" customHeight="1" x14ac:dyDescent="0.25">
      <c r="L904" s="52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2:26" ht="15.75" customHeight="1" x14ac:dyDescent="0.25">
      <c r="L905" s="52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2:26" ht="15.75" customHeight="1" x14ac:dyDescent="0.25">
      <c r="L906" s="52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2:26" ht="15.75" customHeight="1" x14ac:dyDescent="0.25">
      <c r="L907" s="52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2:26" ht="15.75" customHeight="1" x14ac:dyDescent="0.25">
      <c r="L908" s="52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2:26" ht="15.75" customHeight="1" x14ac:dyDescent="0.25">
      <c r="L909" s="52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2:26" ht="15.75" customHeight="1" x14ac:dyDescent="0.25">
      <c r="L910" s="52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2:26" ht="15.75" customHeight="1" x14ac:dyDescent="0.25">
      <c r="L911" s="52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2:26" ht="15.75" customHeight="1" x14ac:dyDescent="0.25">
      <c r="L912" s="52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2:26" ht="15.75" customHeight="1" x14ac:dyDescent="0.25">
      <c r="L913" s="52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2:26" ht="15.75" customHeight="1" x14ac:dyDescent="0.25">
      <c r="L914" s="52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2:26" ht="15.75" customHeight="1" x14ac:dyDescent="0.25">
      <c r="L915" s="52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2:26" ht="15.75" customHeight="1" x14ac:dyDescent="0.25">
      <c r="L916" s="52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2:26" ht="15.75" customHeight="1" x14ac:dyDescent="0.25">
      <c r="L917" s="52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2:26" ht="15.75" customHeight="1" x14ac:dyDescent="0.25">
      <c r="L918" s="52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2:26" ht="15.75" customHeight="1" x14ac:dyDescent="0.25">
      <c r="L919" s="52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2:26" ht="15.75" customHeight="1" x14ac:dyDescent="0.25">
      <c r="L920" s="52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2:26" ht="15.75" customHeight="1" x14ac:dyDescent="0.25">
      <c r="L921" s="52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2:26" ht="15.75" customHeight="1" x14ac:dyDescent="0.25">
      <c r="L922" s="52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2:26" ht="15.75" customHeight="1" x14ac:dyDescent="0.25">
      <c r="L923" s="52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2:26" ht="15.75" customHeight="1" x14ac:dyDescent="0.25">
      <c r="L924" s="52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2:26" ht="15.75" customHeight="1" x14ac:dyDescent="0.25">
      <c r="L925" s="52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2:26" ht="15.75" customHeight="1" x14ac:dyDescent="0.25">
      <c r="L926" s="52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2:26" ht="15.75" customHeight="1" x14ac:dyDescent="0.25">
      <c r="L927" s="52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2:26" ht="15.75" customHeight="1" x14ac:dyDescent="0.25">
      <c r="L928" s="52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2:26" ht="15.75" customHeight="1" x14ac:dyDescent="0.25">
      <c r="L929" s="52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2:26" ht="15.75" customHeight="1" x14ac:dyDescent="0.25">
      <c r="L930" s="52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2:26" ht="15.75" customHeight="1" x14ac:dyDescent="0.25">
      <c r="L931" s="52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2:26" ht="15.75" customHeight="1" x14ac:dyDescent="0.25">
      <c r="L932" s="52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2:26" ht="15.75" customHeight="1" x14ac:dyDescent="0.25">
      <c r="L933" s="52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2:26" ht="15.75" customHeight="1" x14ac:dyDescent="0.25">
      <c r="L934" s="52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2:26" ht="15.75" customHeight="1" x14ac:dyDescent="0.25">
      <c r="L935" s="52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2:26" ht="15.75" customHeight="1" x14ac:dyDescent="0.25">
      <c r="L936" s="52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2:26" ht="15.75" customHeight="1" x14ac:dyDescent="0.25">
      <c r="L937" s="52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2:26" ht="15.75" customHeight="1" x14ac:dyDescent="0.25">
      <c r="L938" s="52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2:26" ht="15.75" customHeight="1" x14ac:dyDescent="0.25">
      <c r="L939" s="52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2:26" ht="15.75" customHeight="1" x14ac:dyDescent="0.25">
      <c r="L940" s="52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2:26" ht="15.75" customHeight="1" x14ac:dyDescent="0.25">
      <c r="L941" s="52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2:26" ht="15.75" customHeight="1" x14ac:dyDescent="0.25">
      <c r="L942" s="52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2:26" ht="15.75" customHeight="1" x14ac:dyDescent="0.25">
      <c r="L943" s="52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2:26" ht="15.75" customHeight="1" x14ac:dyDescent="0.25">
      <c r="L944" s="52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2:26" ht="15.75" customHeight="1" x14ac:dyDescent="0.25">
      <c r="L945" s="52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2:26" ht="15.75" customHeight="1" x14ac:dyDescent="0.25">
      <c r="L946" s="52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2:26" ht="15.75" customHeight="1" x14ac:dyDescent="0.25">
      <c r="L947" s="52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2:26" ht="15.75" customHeight="1" x14ac:dyDescent="0.25">
      <c r="L948" s="52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2:26" ht="15.75" customHeight="1" x14ac:dyDescent="0.25">
      <c r="L949" s="52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2:26" ht="15.75" customHeight="1" x14ac:dyDescent="0.25">
      <c r="L950" s="52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2:26" ht="15.75" customHeight="1" x14ac:dyDescent="0.25">
      <c r="L951" s="52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2:26" ht="15.75" customHeight="1" x14ac:dyDescent="0.25">
      <c r="L952" s="52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2:26" ht="15.75" customHeight="1" x14ac:dyDescent="0.25">
      <c r="L953" s="52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2:26" ht="15.75" customHeight="1" x14ac:dyDescent="0.25">
      <c r="L954" s="52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2:26" ht="15.75" customHeight="1" x14ac:dyDescent="0.25">
      <c r="L955" s="52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2:26" ht="15.75" customHeight="1" x14ac:dyDescent="0.25">
      <c r="L956" s="52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2:26" ht="15.75" customHeight="1" x14ac:dyDescent="0.25">
      <c r="L957" s="52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2:26" ht="15.75" customHeight="1" x14ac:dyDescent="0.25">
      <c r="L958" s="52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2:26" ht="15.75" customHeight="1" x14ac:dyDescent="0.25">
      <c r="L959" s="52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2:26" ht="15.75" customHeight="1" x14ac:dyDescent="0.25">
      <c r="L960" s="52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2:26" ht="15.75" customHeight="1" x14ac:dyDescent="0.25">
      <c r="L961" s="52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2:26" ht="15.75" customHeight="1" x14ac:dyDescent="0.25">
      <c r="L962" s="52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spans="12:26" ht="15.75" customHeight="1" x14ac:dyDescent="0.25">
      <c r="L963" s="52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spans="12:26" ht="15.75" customHeight="1" x14ac:dyDescent="0.25">
      <c r="L964" s="52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spans="12:26" ht="15.75" customHeight="1" x14ac:dyDescent="0.25">
      <c r="L965" s="52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spans="12:26" ht="15.75" customHeight="1" x14ac:dyDescent="0.25">
      <c r="L966" s="52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spans="12:26" ht="15.75" customHeight="1" x14ac:dyDescent="0.25">
      <c r="L967" s="52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spans="12:26" ht="15.75" customHeight="1" x14ac:dyDescent="0.25">
      <c r="L968" s="52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spans="12:26" ht="15.75" customHeight="1" x14ac:dyDescent="0.25">
      <c r="L969" s="52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spans="12:26" ht="15.75" customHeight="1" x14ac:dyDescent="0.25">
      <c r="L970" s="52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spans="12:26" ht="15.75" customHeight="1" x14ac:dyDescent="0.25">
      <c r="L971" s="52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spans="12:26" ht="15.75" customHeight="1" x14ac:dyDescent="0.25">
      <c r="L972" s="52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spans="12:26" ht="15.75" customHeight="1" x14ac:dyDescent="0.25">
      <c r="L973" s="52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spans="12:26" ht="15.75" customHeight="1" x14ac:dyDescent="0.25">
      <c r="L974" s="52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spans="12:26" ht="15.75" customHeight="1" x14ac:dyDescent="0.25">
      <c r="L975" s="52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spans="12:26" ht="15.75" customHeight="1" x14ac:dyDescent="0.25">
      <c r="L976" s="52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spans="12:26" ht="15.75" customHeight="1" x14ac:dyDescent="0.25">
      <c r="L977" s="52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spans="12:26" ht="15.75" customHeight="1" x14ac:dyDescent="0.25">
      <c r="L978" s="52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spans="12:26" ht="15.75" customHeight="1" x14ac:dyDescent="0.25">
      <c r="L979" s="52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spans="12:26" ht="15.75" customHeight="1" x14ac:dyDescent="0.25">
      <c r="L980" s="52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spans="12:26" ht="15.75" customHeight="1" x14ac:dyDescent="0.25">
      <c r="L981" s="52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spans="12:26" ht="15.75" customHeight="1" x14ac:dyDescent="0.25">
      <c r="L982" s="52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spans="12:26" ht="15.75" customHeight="1" x14ac:dyDescent="0.25">
      <c r="L983" s="52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spans="12:26" ht="15.75" customHeight="1" x14ac:dyDescent="0.25">
      <c r="L984" s="52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spans="12:26" ht="15.75" customHeight="1" x14ac:dyDescent="0.25">
      <c r="L985" s="52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spans="12:26" ht="15.75" customHeight="1" x14ac:dyDescent="0.25">
      <c r="L986" s="52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spans="12:26" ht="15.75" customHeight="1" x14ac:dyDescent="0.25">
      <c r="L987" s="52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spans="12:26" ht="15.75" customHeight="1" x14ac:dyDescent="0.25">
      <c r="L988" s="52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spans="12:26" ht="15.75" customHeight="1" x14ac:dyDescent="0.25">
      <c r="L989" s="52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spans="12:26" ht="15.75" customHeight="1" x14ac:dyDescent="0.25">
      <c r="L990" s="52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spans="12:26" ht="15.75" customHeight="1" x14ac:dyDescent="0.25">
      <c r="L991" s="52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spans="12:26" ht="15.75" customHeight="1" x14ac:dyDescent="0.25">
      <c r="L992" s="52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spans="12:26" ht="15.75" customHeight="1" x14ac:dyDescent="0.25">
      <c r="L993" s="52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spans="12:26" ht="15.75" customHeight="1" x14ac:dyDescent="0.25">
      <c r="L994" s="52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spans="12:26" ht="15.75" customHeight="1" x14ac:dyDescent="0.25">
      <c r="L995" s="52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spans="12:26" ht="15.75" customHeight="1" x14ac:dyDescent="0.25">
      <c r="L996" s="52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spans="12:26" ht="15.75" customHeight="1" x14ac:dyDescent="0.25">
      <c r="L997" s="52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spans="12:26" ht="15.75" customHeight="1" x14ac:dyDescent="0.25">
      <c r="L998" s="52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spans="12:26" ht="15.75" customHeight="1" x14ac:dyDescent="0.25">
      <c r="L999" s="52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spans="12:26" ht="15.75" customHeight="1" x14ac:dyDescent="0.25">
      <c r="L1000" s="52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mergeCells count="11">
    <mergeCell ref="C7:E7"/>
    <mergeCell ref="F7:H7"/>
    <mergeCell ref="A22:B22"/>
    <mergeCell ref="A2:K2"/>
    <mergeCell ref="A3:K3"/>
    <mergeCell ref="A4:K4"/>
    <mergeCell ref="A6:A8"/>
    <mergeCell ref="B6:B8"/>
    <mergeCell ref="C6:H6"/>
    <mergeCell ref="I6:K6"/>
    <mergeCell ref="I7:K7"/>
  </mergeCells>
  <printOptions horizontalCentered="1"/>
  <pageMargins left="0.23622047244094491" right="0.23622047244094491" top="0.74803149606299213" bottom="0.74803149606299213" header="0" footer="0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INDIKATOR KINERJA DINKES </vt:lpstr>
      <vt:lpstr>INDIKATOR KINERJA BBJ</vt:lpstr>
      <vt:lpstr>NDR GDR</vt:lpstr>
      <vt:lpstr>KUNJ.RJ&amp;RI</vt:lpstr>
      <vt:lpstr>'INDIKATOR KINERJA BBJ'!Print_Area</vt:lpstr>
      <vt:lpstr>'INDIKATOR KINERJA DINKES '!Print_Area</vt:lpstr>
      <vt:lpstr>'KUNJ.RJ&amp;RI'!Print_Area</vt:lpstr>
      <vt:lpstr>'NDR GDR'!Print_Area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Rekam Medis</cp:lastModifiedBy>
  <cp:lastPrinted>2025-10-16T00:53:45Z</cp:lastPrinted>
  <dcterms:modified xsi:type="dcterms:W3CDTF">2026-07-07T07:28:58Z</dcterms:modified>
</cp:coreProperties>
</file>