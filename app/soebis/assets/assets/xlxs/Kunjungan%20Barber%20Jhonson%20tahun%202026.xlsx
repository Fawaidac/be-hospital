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E\LAP KUNJUNGAN REKAM MEDIS\BARBER JOHNSON\DATA 2026\"/>
    </mc:Choice>
  </mc:AlternateContent>
  <xr:revisionPtr revIDLastSave="0" documentId="13_ncr:1_{47F0FBF3-BE93-497B-AD51-964985443893}" xr6:coauthVersionLast="47" xr6:coauthVersionMax="47" xr10:uidLastSave="{00000000-0000-0000-0000-000000000000}"/>
  <bookViews>
    <workbookView xWindow="-120" yWindow="-120" windowWidth="20730" windowHeight="11160" tabRatio="775" activeTab="9" xr2:uid="{00000000-000D-0000-FFFF-FFFF00000000}"/>
  </bookViews>
  <sheets>
    <sheet name="JAN" sheetId="1" r:id="rId1"/>
    <sheet name="FEBRUARI" sheetId="16" r:id="rId2"/>
    <sheet name="MARET" sheetId="17" r:id="rId3"/>
    <sheet name="JAN - MAR 2026" sheetId="19" r:id="rId4"/>
    <sheet name="APRIL" sheetId="20" r:id="rId5"/>
    <sheet name="FEB" sheetId="2" state="hidden" r:id="rId6"/>
    <sheet name="MAR" sheetId="3" state="hidden" r:id="rId7"/>
    <sheet name="APR" sheetId="4" state="hidden" r:id="rId8"/>
    <sheet name="MEI" sheetId="5" r:id="rId9"/>
    <sheet name="JUN" sheetId="6" r:id="rId10"/>
    <sheet name="JUL" sheetId="7" state="hidden" r:id="rId11"/>
    <sheet name="AGS" sheetId="8" state="hidden" r:id="rId12"/>
    <sheet name="SEP" sheetId="9" state="hidden" r:id="rId13"/>
    <sheet name="OKT" sheetId="10" state="hidden" r:id="rId14"/>
    <sheet name="NOV" sheetId="11" state="hidden" r:id="rId15"/>
    <sheet name="DES" sheetId="12" state="hidden" r:id="rId16"/>
    <sheet name="JAN-DES PER KELAS" sheetId="15" state="hidden" r:id="rId17"/>
  </sheets>
  <definedNames>
    <definedName name="_xlnm.Print_Area" localSheetId="11">AGS!$A$80:$Z$118</definedName>
    <definedName name="_xlnm.Print_Area" localSheetId="7">APR!$A$80:$Z$118</definedName>
    <definedName name="_xlnm.Print_Area" localSheetId="5">FEB!$A$80:$Z$118</definedName>
    <definedName name="_xlnm.Print_Area" localSheetId="0">JAN!$A$79:$Z$117</definedName>
    <definedName name="_xlnm.Print_Area" localSheetId="10">JUL!$A$80:$Z$118</definedName>
    <definedName name="_xlnm.Print_Area" localSheetId="9">JUN!$A$80:$Z$118</definedName>
    <definedName name="_xlnm.Print_Area" localSheetId="6">MAR!$A$80:$Z$118</definedName>
    <definedName name="_xlnm.Print_Area" localSheetId="8">MEI!$A$80:$Z$117</definedName>
    <definedName name="_xlnm.Print_Area" localSheetId="14">NOV!$A$80:$Z$118</definedName>
    <definedName name="_xlnm.Print_Area" localSheetId="13">OKT!$A$80:$Z$118</definedName>
    <definedName name="_xlnm.Print_Area" localSheetId="12">SEP!$A$80:$Z$118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9" i="20" l="1"/>
  <c r="AC7" i="20" l="1"/>
  <c r="AD7" i="20"/>
  <c r="AB7" i="20"/>
  <c r="AA7" i="20"/>
  <c r="AB96" i="20"/>
  <c r="V118" i="20" l="1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AA7" i="17"/>
  <c r="AB7" i="17"/>
  <c r="AC7" i="17"/>
  <c r="T117" i="16" l="1"/>
  <c r="T116" i="16"/>
  <c r="T65" i="16"/>
  <c r="T119" i="16"/>
  <c r="E117" i="19"/>
  <c r="E116" i="19"/>
  <c r="E115" i="19"/>
  <c r="E114" i="19"/>
  <c r="E113" i="19"/>
  <c r="E112" i="19"/>
  <c r="E111" i="19"/>
  <c r="E110" i="19"/>
  <c r="E109" i="19"/>
  <c r="V109" i="19" s="1"/>
  <c r="W109" i="19" s="1"/>
  <c r="E108" i="19"/>
  <c r="E107" i="19"/>
  <c r="E106" i="19"/>
  <c r="E105" i="19"/>
  <c r="E104" i="19"/>
  <c r="E103" i="19"/>
  <c r="E102" i="19"/>
  <c r="E101" i="19"/>
  <c r="V101" i="19" s="1"/>
  <c r="W101" i="19" s="1"/>
  <c r="E100" i="19"/>
  <c r="E99" i="19"/>
  <c r="E98" i="19"/>
  <c r="E97" i="19"/>
  <c r="V97" i="19" s="1"/>
  <c r="W97" i="19" s="1"/>
  <c r="E96" i="19"/>
  <c r="E90" i="19"/>
  <c r="E89" i="19"/>
  <c r="E88" i="19"/>
  <c r="E87" i="19"/>
  <c r="E86" i="19"/>
  <c r="E85" i="19"/>
  <c r="E84" i="19"/>
  <c r="E83" i="19"/>
  <c r="E71" i="19"/>
  <c r="E77" i="19"/>
  <c r="E76" i="19"/>
  <c r="E75" i="19"/>
  <c r="E74" i="19"/>
  <c r="E73" i="19"/>
  <c r="E72" i="19"/>
  <c r="V72" i="19" s="1"/>
  <c r="Z118" i="19"/>
  <c r="I117" i="19"/>
  <c r="F118" i="19"/>
  <c r="I118" i="19"/>
  <c r="K118" i="19"/>
  <c r="L118" i="19"/>
  <c r="X118" i="19" s="1"/>
  <c r="M118" i="19"/>
  <c r="N118" i="19"/>
  <c r="O118" i="19"/>
  <c r="P118" i="19"/>
  <c r="Q118" i="19"/>
  <c r="R118" i="19"/>
  <c r="S118" i="19"/>
  <c r="V118" i="19" s="1"/>
  <c r="W118" i="19" s="1"/>
  <c r="U118" i="19"/>
  <c r="S117" i="19"/>
  <c r="V117" i="19" s="1"/>
  <c r="S116" i="19"/>
  <c r="S115" i="19"/>
  <c r="S114" i="19"/>
  <c r="S113" i="19"/>
  <c r="S112" i="19"/>
  <c r="V112" i="19" s="1"/>
  <c r="S111" i="19"/>
  <c r="V111" i="19" s="1"/>
  <c r="W111" i="19" s="1"/>
  <c r="S110" i="19"/>
  <c r="S109" i="19"/>
  <c r="S108" i="19"/>
  <c r="S107" i="19"/>
  <c r="S106" i="19"/>
  <c r="S105" i="19"/>
  <c r="S104" i="19"/>
  <c r="S103" i="19"/>
  <c r="V103" i="19" s="1"/>
  <c r="W103" i="19" s="1"/>
  <c r="S102" i="19"/>
  <c r="S101" i="19"/>
  <c r="S100" i="19"/>
  <c r="S99" i="19"/>
  <c r="S98" i="19"/>
  <c r="S97" i="19"/>
  <c r="S96" i="19"/>
  <c r="R117" i="19"/>
  <c r="R116" i="19"/>
  <c r="R115" i="19"/>
  <c r="R114" i="19"/>
  <c r="R113" i="19"/>
  <c r="R112" i="19"/>
  <c r="R111" i="19"/>
  <c r="R110" i="19"/>
  <c r="R109" i="19"/>
  <c r="R108" i="19"/>
  <c r="R107" i="19"/>
  <c r="R106" i="19"/>
  <c r="R105" i="19"/>
  <c r="R104" i="19"/>
  <c r="R103" i="19"/>
  <c r="R102" i="19"/>
  <c r="R101" i="19"/>
  <c r="R100" i="19"/>
  <c r="R99" i="19"/>
  <c r="R98" i="19"/>
  <c r="R97" i="19"/>
  <c r="R96" i="19"/>
  <c r="Q117" i="19"/>
  <c r="Q116" i="19"/>
  <c r="Q115" i="19"/>
  <c r="Q114" i="19"/>
  <c r="Q113" i="19"/>
  <c r="Q112" i="19"/>
  <c r="Q111" i="19"/>
  <c r="Q110" i="19"/>
  <c r="Q109" i="19"/>
  <c r="Q108" i="19"/>
  <c r="Q107" i="19"/>
  <c r="Q106" i="19"/>
  <c r="Q105" i="19"/>
  <c r="Q104" i="19"/>
  <c r="Q103" i="19"/>
  <c r="Q102" i="19"/>
  <c r="Q101" i="19"/>
  <c r="Q100" i="19"/>
  <c r="Q99" i="19"/>
  <c r="Q98" i="19"/>
  <c r="Q97" i="19"/>
  <c r="Q96" i="19"/>
  <c r="O117" i="19"/>
  <c r="O116" i="19"/>
  <c r="O115" i="19"/>
  <c r="O114" i="19"/>
  <c r="O113" i="19"/>
  <c r="M113" i="19" s="1"/>
  <c r="P113" i="19" s="1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M97" i="19" s="1"/>
  <c r="P97" i="19" s="1"/>
  <c r="O96" i="19"/>
  <c r="N117" i="19"/>
  <c r="M117" i="19" s="1"/>
  <c r="P117" i="19" s="1"/>
  <c r="N116" i="19"/>
  <c r="M116" i="19" s="1"/>
  <c r="N115" i="19"/>
  <c r="N114" i="19"/>
  <c r="N113" i="19"/>
  <c r="N112" i="19"/>
  <c r="M112" i="19" s="1"/>
  <c r="N111" i="19"/>
  <c r="N110" i="19"/>
  <c r="N109" i="19"/>
  <c r="N108" i="19"/>
  <c r="M108" i="19" s="1"/>
  <c r="N107" i="19"/>
  <c r="M107" i="19" s="1"/>
  <c r="Z107" i="19" s="1"/>
  <c r="N106" i="19"/>
  <c r="N105" i="19"/>
  <c r="N104" i="19"/>
  <c r="M104" i="19" s="1"/>
  <c r="N103" i="19"/>
  <c r="N102" i="19"/>
  <c r="N101" i="19"/>
  <c r="N100" i="19"/>
  <c r="M100" i="19" s="1"/>
  <c r="N99" i="19"/>
  <c r="N98" i="19"/>
  <c r="N97" i="19"/>
  <c r="N96" i="19"/>
  <c r="M96" i="19" s="1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K117" i="19"/>
  <c r="K116" i="19"/>
  <c r="K115" i="19"/>
  <c r="K114" i="19"/>
  <c r="K113" i="19"/>
  <c r="K112" i="19"/>
  <c r="K111" i="19"/>
  <c r="K110" i="19"/>
  <c r="K109" i="19"/>
  <c r="K108" i="19"/>
  <c r="K107" i="19"/>
  <c r="K106" i="19"/>
  <c r="K105" i="19"/>
  <c r="K104" i="19"/>
  <c r="P104" i="19" s="1"/>
  <c r="K103" i="19"/>
  <c r="K102" i="19"/>
  <c r="K101" i="19"/>
  <c r="K100" i="19"/>
  <c r="K99" i="19"/>
  <c r="K98" i="19"/>
  <c r="K97" i="19"/>
  <c r="K96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S90" i="19"/>
  <c r="V90" i="19" s="1"/>
  <c r="W90" i="19" s="1"/>
  <c r="S89" i="19"/>
  <c r="S88" i="19"/>
  <c r="V88" i="19" s="1"/>
  <c r="W88" i="19" s="1"/>
  <c r="S87" i="19"/>
  <c r="S86" i="19"/>
  <c r="V86" i="19" s="1"/>
  <c r="W86" i="19" s="1"/>
  <c r="S85" i="19"/>
  <c r="V85" i="19" s="1"/>
  <c r="S84" i="19"/>
  <c r="V84" i="19" s="1"/>
  <c r="W84" i="19" s="1"/>
  <c r="S83" i="19"/>
  <c r="R90" i="19"/>
  <c r="R89" i="19"/>
  <c r="R88" i="19"/>
  <c r="R87" i="19"/>
  <c r="R86" i="19"/>
  <c r="R85" i="19"/>
  <c r="R84" i="19"/>
  <c r="R83" i="19"/>
  <c r="Q90" i="19"/>
  <c r="Q89" i="19"/>
  <c r="Q88" i="19"/>
  <c r="Q87" i="19"/>
  <c r="Q86" i="19"/>
  <c r="Q85" i="19"/>
  <c r="Q84" i="19"/>
  <c r="Q83" i="19"/>
  <c r="O90" i="19"/>
  <c r="O89" i="19"/>
  <c r="O88" i="19"/>
  <c r="O87" i="19"/>
  <c r="O86" i="19"/>
  <c r="O85" i="19"/>
  <c r="O84" i="19"/>
  <c r="O83" i="19"/>
  <c r="N90" i="19"/>
  <c r="N89" i="19"/>
  <c r="M89" i="19" s="1"/>
  <c r="N88" i="19"/>
  <c r="M88" i="19" s="1"/>
  <c r="N87" i="19"/>
  <c r="M87" i="19" s="1"/>
  <c r="N86" i="19"/>
  <c r="N85" i="19"/>
  <c r="M85" i="19" s="1"/>
  <c r="N84" i="19"/>
  <c r="M84" i="19" s="1"/>
  <c r="N83" i="19"/>
  <c r="M83" i="19" s="1"/>
  <c r="L90" i="19"/>
  <c r="L89" i="19"/>
  <c r="L88" i="19"/>
  <c r="U88" i="19" s="1"/>
  <c r="L87" i="19"/>
  <c r="L86" i="19"/>
  <c r="L85" i="19"/>
  <c r="U85" i="19" s="1"/>
  <c r="L84" i="19"/>
  <c r="L83" i="19"/>
  <c r="K90" i="19"/>
  <c r="K89" i="19"/>
  <c r="K88" i="19"/>
  <c r="K87" i="19"/>
  <c r="K86" i="19"/>
  <c r="K85" i="19"/>
  <c r="K84" i="19"/>
  <c r="K83" i="19"/>
  <c r="I90" i="19"/>
  <c r="I89" i="19"/>
  <c r="I88" i="19"/>
  <c r="I87" i="19"/>
  <c r="I86" i="19"/>
  <c r="I85" i="19"/>
  <c r="I84" i="19"/>
  <c r="I83" i="19"/>
  <c r="S77" i="19"/>
  <c r="S76" i="19"/>
  <c r="S75" i="19"/>
  <c r="S74" i="19"/>
  <c r="S73" i="19"/>
  <c r="S72" i="19"/>
  <c r="S71" i="19"/>
  <c r="R77" i="19"/>
  <c r="R76" i="19"/>
  <c r="R75" i="19"/>
  <c r="R74" i="19"/>
  <c r="R73" i="19"/>
  <c r="R72" i="19"/>
  <c r="R71" i="19"/>
  <c r="Q77" i="19"/>
  <c r="Q76" i="19"/>
  <c r="Q75" i="19"/>
  <c r="Q74" i="19"/>
  <c r="Q73" i="19"/>
  <c r="Q72" i="19"/>
  <c r="Q71" i="19"/>
  <c r="O77" i="19"/>
  <c r="M77" i="19" s="1"/>
  <c r="O76" i="19"/>
  <c r="M76" i="19" s="1"/>
  <c r="O75" i="19"/>
  <c r="O74" i="19"/>
  <c r="O73" i="19"/>
  <c r="O72" i="19"/>
  <c r="O71" i="19"/>
  <c r="N77" i="19"/>
  <c r="N76" i="19"/>
  <c r="N75" i="19"/>
  <c r="N74" i="19"/>
  <c r="N73" i="19"/>
  <c r="N72" i="19"/>
  <c r="N71" i="19"/>
  <c r="L77" i="19"/>
  <c r="L76" i="19"/>
  <c r="L75" i="19"/>
  <c r="L74" i="19"/>
  <c r="L73" i="19"/>
  <c r="L72" i="19"/>
  <c r="L71" i="19"/>
  <c r="K77" i="19"/>
  <c r="K76" i="19"/>
  <c r="K75" i="19"/>
  <c r="K74" i="19"/>
  <c r="K73" i="19"/>
  <c r="K72" i="19"/>
  <c r="K71" i="19"/>
  <c r="I77" i="19"/>
  <c r="I76" i="19"/>
  <c r="I75" i="19"/>
  <c r="I74" i="19"/>
  <c r="I73" i="19"/>
  <c r="I72" i="19"/>
  <c r="I71" i="19"/>
  <c r="M90" i="19"/>
  <c r="Z90" i="19" s="1"/>
  <c r="M86" i="19"/>
  <c r="J107" i="19"/>
  <c r="V114" i="19"/>
  <c r="W114" i="19" s="1"/>
  <c r="S65" i="19"/>
  <c r="S64" i="19"/>
  <c r="S63" i="19"/>
  <c r="S62" i="19"/>
  <c r="S61" i="19"/>
  <c r="S60" i="19"/>
  <c r="S59" i="19"/>
  <c r="S58" i="19"/>
  <c r="S57" i="19"/>
  <c r="S56" i="19"/>
  <c r="S55" i="19"/>
  <c r="S54" i="19"/>
  <c r="S53" i="19"/>
  <c r="V53" i="19" s="1"/>
  <c r="S52" i="19"/>
  <c r="S51" i="19"/>
  <c r="S50" i="19"/>
  <c r="S49" i="19"/>
  <c r="S48" i="19"/>
  <c r="S47" i="19"/>
  <c r="S46" i="19"/>
  <c r="S45" i="19"/>
  <c r="S44" i="19"/>
  <c r="S43" i="19"/>
  <c r="S42" i="19"/>
  <c r="S41" i="19"/>
  <c r="S40" i="19"/>
  <c r="V40" i="19" s="1"/>
  <c r="S39" i="19"/>
  <c r="S38" i="19"/>
  <c r="S37" i="19"/>
  <c r="S36" i="19"/>
  <c r="S35" i="19"/>
  <c r="S34" i="19"/>
  <c r="S33" i="19"/>
  <c r="V33" i="19" s="1"/>
  <c r="S32" i="19"/>
  <c r="S31" i="19"/>
  <c r="S30" i="19"/>
  <c r="S29" i="19"/>
  <c r="V29" i="19" s="1"/>
  <c r="S28" i="19"/>
  <c r="S27" i="19"/>
  <c r="S26" i="19"/>
  <c r="S25" i="19"/>
  <c r="S24" i="19"/>
  <c r="S23" i="19"/>
  <c r="S22" i="19"/>
  <c r="S21" i="19"/>
  <c r="V21" i="19" s="1"/>
  <c r="S20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R65" i="19"/>
  <c r="R64" i="19"/>
  <c r="R63" i="19"/>
  <c r="R62" i="19"/>
  <c r="R61" i="19"/>
  <c r="R60" i="19"/>
  <c r="R59" i="19"/>
  <c r="R58" i="19"/>
  <c r="R57" i="19"/>
  <c r="R56" i="19"/>
  <c r="R55" i="19"/>
  <c r="R54" i="19"/>
  <c r="R53" i="19"/>
  <c r="R52" i="19"/>
  <c r="R51" i="19"/>
  <c r="R50" i="19"/>
  <c r="R49" i="19"/>
  <c r="R48" i="19"/>
  <c r="R47" i="19"/>
  <c r="R46" i="19"/>
  <c r="R45" i="19"/>
  <c r="R44" i="19"/>
  <c r="R43" i="19"/>
  <c r="R42" i="19"/>
  <c r="R41" i="19"/>
  <c r="R40" i="19"/>
  <c r="R39" i="19"/>
  <c r="R38" i="19"/>
  <c r="R37" i="19"/>
  <c r="R36" i="19"/>
  <c r="R35" i="19"/>
  <c r="R34" i="19"/>
  <c r="R33" i="19"/>
  <c r="R32" i="19"/>
  <c r="R31" i="19"/>
  <c r="R30" i="19"/>
  <c r="R29" i="19"/>
  <c r="R28" i="19"/>
  <c r="R27" i="19"/>
  <c r="R26" i="19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Q65" i="19"/>
  <c r="Q64" i="19"/>
  <c r="Q63" i="19"/>
  <c r="Q62" i="19"/>
  <c r="Q61" i="19"/>
  <c r="Q60" i="19"/>
  <c r="Q59" i="19"/>
  <c r="Q58" i="19"/>
  <c r="Q57" i="19"/>
  <c r="Q56" i="19"/>
  <c r="Q55" i="19"/>
  <c r="Q54" i="19"/>
  <c r="Q53" i="19"/>
  <c r="Q52" i="19"/>
  <c r="Q51" i="19"/>
  <c r="Q50" i="19"/>
  <c r="Q49" i="19"/>
  <c r="Q48" i="19"/>
  <c r="Q47" i="19"/>
  <c r="Q46" i="19"/>
  <c r="Q45" i="19"/>
  <c r="Q44" i="19"/>
  <c r="Q43" i="19"/>
  <c r="Q42" i="19"/>
  <c r="Q41" i="19"/>
  <c r="Q40" i="19"/>
  <c r="Q39" i="19"/>
  <c r="Q38" i="19"/>
  <c r="Q37" i="19"/>
  <c r="Q36" i="19"/>
  <c r="Q35" i="19"/>
  <c r="Q34" i="19"/>
  <c r="Q33" i="19"/>
  <c r="Q32" i="19"/>
  <c r="Q31" i="19"/>
  <c r="Q30" i="19"/>
  <c r="Q29" i="19"/>
  <c r="Q28" i="19"/>
  <c r="Q27" i="19"/>
  <c r="Q26" i="19"/>
  <c r="Q25" i="19"/>
  <c r="Q24" i="19"/>
  <c r="Q23" i="19"/>
  <c r="Q22" i="19"/>
  <c r="Q21" i="19"/>
  <c r="Q20" i="19"/>
  <c r="Q19" i="19"/>
  <c r="Q18" i="19"/>
  <c r="Q17" i="19"/>
  <c r="Q16" i="19"/>
  <c r="Q15" i="19"/>
  <c r="Q14" i="19"/>
  <c r="Q13" i="19"/>
  <c r="Q12" i="19"/>
  <c r="Q11" i="19"/>
  <c r="Q10" i="19"/>
  <c r="Q9" i="19"/>
  <c r="Q8" i="19"/>
  <c r="Q7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M14" i="19" s="1"/>
  <c r="O13" i="19"/>
  <c r="M13" i="19" s="1"/>
  <c r="X13" i="19" s="1"/>
  <c r="O12" i="19"/>
  <c r="O11" i="19"/>
  <c r="O10" i="19"/>
  <c r="O9" i="19"/>
  <c r="M9" i="19" s="1"/>
  <c r="O8" i="19"/>
  <c r="O7" i="19"/>
  <c r="N65" i="19"/>
  <c r="N64" i="19"/>
  <c r="N63" i="19"/>
  <c r="N62" i="19"/>
  <c r="N61" i="19"/>
  <c r="N60" i="19"/>
  <c r="M60" i="19" s="1"/>
  <c r="N59" i="19"/>
  <c r="N58" i="19"/>
  <c r="N57" i="19"/>
  <c r="N56" i="19"/>
  <c r="M56" i="19" s="1"/>
  <c r="N55" i="19"/>
  <c r="N54" i="19"/>
  <c r="N53" i="19"/>
  <c r="N52" i="19"/>
  <c r="M52" i="19" s="1"/>
  <c r="N51" i="19"/>
  <c r="M51" i="19" s="1"/>
  <c r="N50" i="19"/>
  <c r="N49" i="19"/>
  <c r="N48" i="19"/>
  <c r="M48" i="19" s="1"/>
  <c r="N47" i="19"/>
  <c r="M47" i="19" s="1"/>
  <c r="N46" i="19"/>
  <c r="N45" i="19"/>
  <c r="N44" i="19"/>
  <c r="M44" i="19" s="1"/>
  <c r="N43" i="19"/>
  <c r="M43" i="19" s="1"/>
  <c r="N42" i="19"/>
  <c r="N41" i="19"/>
  <c r="N40" i="19"/>
  <c r="M40" i="19" s="1"/>
  <c r="N39" i="19"/>
  <c r="M39" i="19" s="1"/>
  <c r="N38" i="19"/>
  <c r="N37" i="19"/>
  <c r="N36" i="19"/>
  <c r="M36" i="19" s="1"/>
  <c r="N35" i="19"/>
  <c r="M35" i="19" s="1"/>
  <c r="N34" i="19"/>
  <c r="N33" i="19"/>
  <c r="N32" i="19"/>
  <c r="M32" i="19" s="1"/>
  <c r="N31" i="19"/>
  <c r="M31" i="19" s="1"/>
  <c r="N30" i="19"/>
  <c r="N29" i="19"/>
  <c r="N28" i="19"/>
  <c r="M28" i="19" s="1"/>
  <c r="N27" i="19"/>
  <c r="M27" i="19" s="1"/>
  <c r="N26" i="19"/>
  <c r="N25" i="19"/>
  <c r="N24" i="19"/>
  <c r="M24" i="19" s="1"/>
  <c r="N23" i="19"/>
  <c r="M23" i="19" s="1"/>
  <c r="N22" i="19"/>
  <c r="N21" i="19"/>
  <c r="N20" i="19"/>
  <c r="M20" i="19" s="1"/>
  <c r="N19" i="19"/>
  <c r="M19" i="19" s="1"/>
  <c r="N18" i="19"/>
  <c r="N17" i="19"/>
  <c r="N16" i="19"/>
  <c r="N15" i="19"/>
  <c r="N14" i="19"/>
  <c r="N13" i="19"/>
  <c r="N12" i="19"/>
  <c r="N11" i="19"/>
  <c r="M11" i="19" s="1"/>
  <c r="N10" i="19"/>
  <c r="N9" i="19"/>
  <c r="N8" i="19"/>
  <c r="N7" i="19"/>
  <c r="M7" i="19" s="1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U43" i="19" s="1"/>
  <c r="L42" i="19"/>
  <c r="L41" i="19"/>
  <c r="L40" i="19"/>
  <c r="L39" i="19"/>
  <c r="L38" i="19"/>
  <c r="L37" i="19"/>
  <c r="L36" i="19"/>
  <c r="L35" i="19"/>
  <c r="Z35" i="19" s="1"/>
  <c r="L34" i="19"/>
  <c r="L33" i="19"/>
  <c r="L32" i="19"/>
  <c r="L31" i="19"/>
  <c r="L30" i="19"/>
  <c r="L29" i="19"/>
  <c r="L28" i="19"/>
  <c r="L27" i="19"/>
  <c r="U27" i="19" s="1"/>
  <c r="L26" i="19"/>
  <c r="L25" i="19"/>
  <c r="L24" i="19"/>
  <c r="L23" i="19"/>
  <c r="L22" i="19"/>
  <c r="L21" i="19"/>
  <c r="L20" i="19"/>
  <c r="L19" i="19"/>
  <c r="Z19" i="19" s="1"/>
  <c r="L18" i="19"/>
  <c r="L17" i="19"/>
  <c r="L16" i="19"/>
  <c r="L15" i="19"/>
  <c r="L14" i="19"/>
  <c r="L13" i="19"/>
  <c r="L12" i="19"/>
  <c r="L11" i="19"/>
  <c r="L10" i="19"/>
  <c r="L9" i="19"/>
  <c r="L8" i="19"/>
  <c r="L7" i="19"/>
  <c r="K65" i="19"/>
  <c r="K64" i="19"/>
  <c r="K63" i="19"/>
  <c r="K62" i="19"/>
  <c r="K61" i="19"/>
  <c r="K60" i="19"/>
  <c r="K59" i="19"/>
  <c r="K58" i="19"/>
  <c r="K57" i="19"/>
  <c r="K56" i="19"/>
  <c r="K55" i="19"/>
  <c r="K54" i="19"/>
  <c r="K53" i="19"/>
  <c r="K52" i="19"/>
  <c r="K51" i="19"/>
  <c r="K50" i="19"/>
  <c r="K49" i="19"/>
  <c r="K48" i="19"/>
  <c r="K47" i="19"/>
  <c r="K46" i="19"/>
  <c r="K45" i="19"/>
  <c r="K44" i="19"/>
  <c r="K43" i="19"/>
  <c r="K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K22" i="19"/>
  <c r="K21" i="19"/>
  <c r="K20" i="19"/>
  <c r="K19" i="19"/>
  <c r="K18" i="19"/>
  <c r="K17" i="19"/>
  <c r="K16" i="19"/>
  <c r="K15" i="19"/>
  <c r="K14" i="19"/>
  <c r="K13" i="19"/>
  <c r="K12" i="19"/>
  <c r="K11" i="19"/>
  <c r="K10" i="19"/>
  <c r="K9" i="19"/>
  <c r="K8" i="19"/>
  <c r="K7" i="19"/>
  <c r="I65" i="19"/>
  <c r="I64" i="19"/>
  <c r="I63" i="19"/>
  <c r="I62" i="19"/>
  <c r="I61" i="19"/>
  <c r="I60" i="19"/>
  <c r="I59" i="19"/>
  <c r="I58" i="19"/>
  <c r="I57" i="19"/>
  <c r="J57" i="19" s="1"/>
  <c r="I56" i="19"/>
  <c r="I55" i="19"/>
  <c r="I54" i="19"/>
  <c r="I53" i="19"/>
  <c r="J53" i="19" s="1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H118" i="19"/>
  <c r="J118" i="19" s="1"/>
  <c r="T118" i="19" s="1"/>
  <c r="H117" i="19"/>
  <c r="H116" i="19"/>
  <c r="H115" i="19"/>
  <c r="J115" i="19" s="1"/>
  <c r="H114" i="19"/>
  <c r="H113" i="19"/>
  <c r="H112" i="19"/>
  <c r="H111" i="19"/>
  <c r="J111" i="19" s="1"/>
  <c r="H110" i="19"/>
  <c r="H109" i="19"/>
  <c r="J109" i="19" s="1"/>
  <c r="H108" i="19"/>
  <c r="H107" i="19"/>
  <c r="H106" i="19"/>
  <c r="H105" i="19"/>
  <c r="J105" i="19" s="1"/>
  <c r="H104" i="19"/>
  <c r="H103" i="19"/>
  <c r="J103" i="19" s="1"/>
  <c r="H102" i="19"/>
  <c r="H101" i="19"/>
  <c r="J101" i="19" s="1"/>
  <c r="H100" i="19"/>
  <c r="H99" i="19"/>
  <c r="J99" i="19" s="1"/>
  <c r="H98" i="19"/>
  <c r="H97" i="19"/>
  <c r="J97" i="19" s="1"/>
  <c r="H96" i="19"/>
  <c r="H90" i="19"/>
  <c r="J90" i="19" s="1"/>
  <c r="H89" i="19"/>
  <c r="J89" i="19" s="1"/>
  <c r="H88" i="19"/>
  <c r="J88" i="19" s="1"/>
  <c r="H87" i="19"/>
  <c r="H86" i="19"/>
  <c r="J86" i="19" s="1"/>
  <c r="H85" i="19"/>
  <c r="J85" i="19" s="1"/>
  <c r="H84" i="19"/>
  <c r="J84" i="19" s="1"/>
  <c r="H83" i="19"/>
  <c r="H77" i="19"/>
  <c r="H76" i="19"/>
  <c r="H75" i="19"/>
  <c r="J75" i="19" s="1"/>
  <c r="H74" i="19"/>
  <c r="H73" i="19"/>
  <c r="H72" i="19"/>
  <c r="H71" i="19"/>
  <c r="J71" i="19" s="1"/>
  <c r="H65" i="19"/>
  <c r="H64" i="19"/>
  <c r="H63" i="19"/>
  <c r="J63" i="19" s="1"/>
  <c r="H62" i="19"/>
  <c r="H61" i="19"/>
  <c r="H60" i="19"/>
  <c r="H59" i="19"/>
  <c r="J59" i="19" s="1"/>
  <c r="H58" i="19"/>
  <c r="H57" i="19"/>
  <c r="H56" i="19"/>
  <c r="H55" i="19"/>
  <c r="J55" i="19" s="1"/>
  <c r="H54" i="19"/>
  <c r="J54" i="19" s="1"/>
  <c r="H53" i="19"/>
  <c r="H52" i="19"/>
  <c r="H51" i="19"/>
  <c r="J51" i="19" s="1"/>
  <c r="H50" i="19"/>
  <c r="J50" i="19" s="1"/>
  <c r="H49" i="19"/>
  <c r="H48" i="19"/>
  <c r="H47" i="19"/>
  <c r="J47" i="19" s="1"/>
  <c r="H46" i="19"/>
  <c r="J46" i="19" s="1"/>
  <c r="H45" i="19"/>
  <c r="H44" i="19"/>
  <c r="H43" i="19"/>
  <c r="J43" i="19" s="1"/>
  <c r="H42" i="19"/>
  <c r="J42" i="19" s="1"/>
  <c r="H41" i="19"/>
  <c r="H40" i="19"/>
  <c r="H39" i="19"/>
  <c r="J39" i="19" s="1"/>
  <c r="H38" i="19"/>
  <c r="H37" i="19"/>
  <c r="H36" i="19"/>
  <c r="H35" i="19"/>
  <c r="J35" i="19" s="1"/>
  <c r="H34" i="19"/>
  <c r="H33" i="19"/>
  <c r="H32" i="19"/>
  <c r="H31" i="19"/>
  <c r="J31" i="19" s="1"/>
  <c r="H30" i="19"/>
  <c r="H29" i="19"/>
  <c r="H28" i="19"/>
  <c r="H27" i="19"/>
  <c r="J27" i="19" s="1"/>
  <c r="H26" i="19"/>
  <c r="H25" i="19"/>
  <c r="H24" i="19"/>
  <c r="H23" i="19"/>
  <c r="J23" i="19" s="1"/>
  <c r="H22" i="19"/>
  <c r="H21" i="19"/>
  <c r="H20" i="19"/>
  <c r="H19" i="19"/>
  <c r="J19" i="19" s="1"/>
  <c r="H18" i="19"/>
  <c r="H17" i="19"/>
  <c r="H16" i="19"/>
  <c r="H15" i="19"/>
  <c r="J15" i="19" s="1"/>
  <c r="H14" i="19"/>
  <c r="J14" i="19" s="1"/>
  <c r="H13" i="19"/>
  <c r="H12" i="19"/>
  <c r="H11" i="19"/>
  <c r="J11" i="19" s="1"/>
  <c r="H10" i="19"/>
  <c r="J10" i="19" s="1"/>
  <c r="H9" i="19"/>
  <c r="H8" i="19"/>
  <c r="H7" i="19"/>
  <c r="J7" i="19" s="1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0" i="19"/>
  <c r="G89" i="19"/>
  <c r="G88" i="19"/>
  <c r="G87" i="19"/>
  <c r="G86" i="19"/>
  <c r="G85" i="19"/>
  <c r="G84" i="19"/>
  <c r="G83" i="19"/>
  <c r="G77" i="19"/>
  <c r="G76" i="19"/>
  <c r="G75" i="19"/>
  <c r="G74" i="19"/>
  <c r="G73" i="19"/>
  <c r="G72" i="19"/>
  <c r="G71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E65" i="19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48" i="19"/>
  <c r="E47" i="19"/>
  <c r="V47" i="19" s="1"/>
  <c r="W47" i="19" s="1"/>
  <c r="E46" i="19"/>
  <c r="E45" i="19"/>
  <c r="E44" i="19"/>
  <c r="E43" i="19"/>
  <c r="E42" i="19"/>
  <c r="E40" i="19"/>
  <c r="E39" i="19"/>
  <c r="V39" i="19" s="1"/>
  <c r="E38" i="19"/>
  <c r="E37" i="19"/>
  <c r="E36" i="19"/>
  <c r="E35" i="19"/>
  <c r="V35" i="19" s="1"/>
  <c r="W35" i="19" s="1"/>
  <c r="E34" i="19"/>
  <c r="E33" i="19"/>
  <c r="E32" i="19"/>
  <c r="E31" i="19"/>
  <c r="V31" i="19" s="1"/>
  <c r="W31" i="19" s="1"/>
  <c r="E30" i="19"/>
  <c r="E29" i="19"/>
  <c r="E28" i="19"/>
  <c r="E27" i="19"/>
  <c r="V27" i="19" s="1"/>
  <c r="E26" i="19"/>
  <c r="E25" i="19"/>
  <c r="E24" i="19"/>
  <c r="E23" i="19"/>
  <c r="E22" i="19"/>
  <c r="E21" i="19"/>
  <c r="E20" i="19"/>
  <c r="E19" i="19"/>
  <c r="V19" i="19" s="1"/>
  <c r="W19" i="19" s="1"/>
  <c r="E18" i="19"/>
  <c r="V18" i="19" s="1"/>
  <c r="W18" i="19" s="1"/>
  <c r="E17" i="19"/>
  <c r="E16" i="19"/>
  <c r="E15" i="19"/>
  <c r="E14" i="19"/>
  <c r="E13" i="19"/>
  <c r="E12" i="19"/>
  <c r="E11" i="19"/>
  <c r="E10" i="19"/>
  <c r="E9" i="19"/>
  <c r="E8" i="19"/>
  <c r="E7" i="19"/>
  <c r="F65" i="1"/>
  <c r="M111" i="19" l="1"/>
  <c r="V113" i="19"/>
  <c r="W113" i="19" s="1"/>
  <c r="V116" i="19"/>
  <c r="J112" i="19"/>
  <c r="T112" i="19" s="1"/>
  <c r="J116" i="19"/>
  <c r="J113" i="19"/>
  <c r="T113" i="19" s="1"/>
  <c r="M71" i="19"/>
  <c r="Z88" i="19"/>
  <c r="V100" i="19"/>
  <c r="V108" i="19"/>
  <c r="W108" i="19" s="1"/>
  <c r="M101" i="19"/>
  <c r="P101" i="19" s="1"/>
  <c r="M105" i="19"/>
  <c r="Z105" i="19" s="1"/>
  <c r="M103" i="19"/>
  <c r="P103" i="19" s="1"/>
  <c r="T103" i="19" s="1"/>
  <c r="X97" i="19"/>
  <c r="V105" i="19"/>
  <c r="W105" i="19" s="1"/>
  <c r="M75" i="19"/>
  <c r="V96" i="19"/>
  <c r="Y96" i="19" s="1"/>
  <c r="M109" i="19"/>
  <c r="Z109" i="19" s="1"/>
  <c r="M99" i="19"/>
  <c r="J96" i="19"/>
  <c r="J100" i="19"/>
  <c r="J104" i="19"/>
  <c r="T104" i="19" s="1"/>
  <c r="J108" i="19"/>
  <c r="M74" i="19"/>
  <c r="M15" i="19"/>
  <c r="P108" i="19"/>
  <c r="T108" i="19" s="1"/>
  <c r="X108" i="19"/>
  <c r="X116" i="19"/>
  <c r="Z116" i="19"/>
  <c r="P85" i="19"/>
  <c r="X85" i="19"/>
  <c r="Z85" i="19"/>
  <c r="P89" i="19"/>
  <c r="T89" i="19" s="1"/>
  <c r="U89" i="19"/>
  <c r="Z89" i="19"/>
  <c r="Y85" i="19"/>
  <c r="X89" i="19"/>
  <c r="T101" i="19"/>
  <c r="Y117" i="19"/>
  <c r="U112" i="19"/>
  <c r="Z112" i="19"/>
  <c r="X112" i="19"/>
  <c r="Y118" i="19"/>
  <c r="P84" i="19"/>
  <c r="J20" i="19"/>
  <c r="J24" i="19"/>
  <c r="J28" i="19"/>
  <c r="J32" i="19"/>
  <c r="J36" i="19"/>
  <c r="J40" i="19"/>
  <c r="J44" i="19"/>
  <c r="J48" i="19"/>
  <c r="J52" i="19"/>
  <c r="J56" i="19"/>
  <c r="J60" i="19"/>
  <c r="M10" i="19"/>
  <c r="M26" i="19"/>
  <c r="X26" i="19" s="1"/>
  <c r="V14" i="19"/>
  <c r="W14" i="19" s="1"/>
  <c r="V22" i="19"/>
  <c r="W22" i="19" s="1"/>
  <c r="V42" i="19"/>
  <c r="W42" i="19" s="1"/>
  <c r="V89" i="19"/>
  <c r="Y89" i="19" s="1"/>
  <c r="J117" i="19"/>
  <c r="V17" i="19"/>
  <c r="W17" i="19" s="1"/>
  <c r="J9" i="19"/>
  <c r="J13" i="19"/>
  <c r="J17" i="19"/>
  <c r="J61" i="19"/>
  <c r="P9" i="19"/>
  <c r="P13" i="19"/>
  <c r="X14" i="19"/>
  <c r="Z11" i="19"/>
  <c r="M8" i="19"/>
  <c r="P8" i="19" s="1"/>
  <c r="V15" i="19"/>
  <c r="W15" i="19" s="1"/>
  <c r="U87" i="19"/>
  <c r="X113" i="19"/>
  <c r="V99" i="19"/>
  <c r="W99" i="19" s="1"/>
  <c r="V107" i="19"/>
  <c r="W107" i="19" s="1"/>
  <c r="V115" i="19"/>
  <c r="W115" i="19" s="1"/>
  <c r="P14" i="19"/>
  <c r="T14" i="19" s="1"/>
  <c r="M12" i="19"/>
  <c r="M16" i="19"/>
  <c r="X16" i="19" s="1"/>
  <c r="V12" i="19"/>
  <c r="W12" i="19" s="1"/>
  <c r="V16" i="19"/>
  <c r="U12" i="19"/>
  <c r="U16" i="19"/>
  <c r="M17" i="19"/>
  <c r="Z17" i="19" s="1"/>
  <c r="V9" i="19"/>
  <c r="Y9" i="19" s="1"/>
  <c r="V13" i="19"/>
  <c r="J8" i="19"/>
  <c r="J12" i="19"/>
  <c r="J16" i="19"/>
  <c r="Z9" i="19"/>
  <c r="Z13" i="19"/>
  <c r="U17" i="19"/>
  <c r="X10" i="19"/>
  <c r="V10" i="19"/>
  <c r="W10" i="19" s="1"/>
  <c r="X60" i="19"/>
  <c r="V44" i="19"/>
  <c r="Y44" i="19" s="1"/>
  <c r="V56" i="19"/>
  <c r="Y56" i="19" s="1"/>
  <c r="J18" i="19"/>
  <c r="J26" i="19"/>
  <c r="J34" i="19"/>
  <c r="P19" i="19"/>
  <c r="T19" i="19" s="1"/>
  <c r="P27" i="19"/>
  <c r="P35" i="19"/>
  <c r="P43" i="19"/>
  <c r="T43" i="19" s="1"/>
  <c r="P51" i="19"/>
  <c r="T51" i="19" s="1"/>
  <c r="Z60" i="19"/>
  <c r="M25" i="19"/>
  <c r="M33" i="19"/>
  <c r="Y33" i="19" s="1"/>
  <c r="M41" i="19"/>
  <c r="U41" i="19" s="1"/>
  <c r="M49" i="19"/>
  <c r="M61" i="19"/>
  <c r="P61" i="19" s="1"/>
  <c r="T61" i="19" s="1"/>
  <c r="V24" i="19"/>
  <c r="Y24" i="19" s="1"/>
  <c r="V36" i="19"/>
  <c r="Y36" i="19" s="1"/>
  <c r="P20" i="19"/>
  <c r="T20" i="19" s="1"/>
  <c r="P24" i="19"/>
  <c r="T24" i="19" s="1"/>
  <c r="P28" i="19"/>
  <c r="T28" i="19" s="1"/>
  <c r="P32" i="19"/>
  <c r="T32" i="19" s="1"/>
  <c r="P36" i="19"/>
  <c r="T36" i="19" s="1"/>
  <c r="P40" i="19"/>
  <c r="T40" i="19" s="1"/>
  <c r="P44" i="19"/>
  <c r="T44" i="19" s="1"/>
  <c r="P48" i="19"/>
  <c r="T48" i="19" s="1"/>
  <c r="P56" i="19"/>
  <c r="T56" i="19" s="1"/>
  <c r="P60" i="19"/>
  <c r="T60" i="19" s="1"/>
  <c r="U25" i="19"/>
  <c r="Z33" i="19"/>
  <c r="P49" i="19"/>
  <c r="Z61" i="19"/>
  <c r="M18" i="19"/>
  <c r="U18" i="19" s="1"/>
  <c r="M22" i="19"/>
  <c r="Z22" i="19" s="1"/>
  <c r="M30" i="19"/>
  <c r="M34" i="19"/>
  <c r="U34" i="19" s="1"/>
  <c r="M38" i="19"/>
  <c r="Z38" i="19" s="1"/>
  <c r="M42" i="19"/>
  <c r="P42" i="19" s="1"/>
  <c r="T42" i="19" s="1"/>
  <c r="M46" i="19"/>
  <c r="Z46" i="19" s="1"/>
  <c r="M50" i="19"/>
  <c r="U50" i="19" s="1"/>
  <c r="M54" i="19"/>
  <c r="U54" i="19" s="1"/>
  <c r="M62" i="19"/>
  <c r="P62" i="19" s="1"/>
  <c r="M55" i="19"/>
  <c r="X55" i="19" s="1"/>
  <c r="M59" i="19"/>
  <c r="U59" i="19" s="1"/>
  <c r="V26" i="19"/>
  <c r="W26" i="19" s="1"/>
  <c r="V30" i="19"/>
  <c r="W30" i="19" s="1"/>
  <c r="V34" i="19"/>
  <c r="W34" i="19" s="1"/>
  <c r="V38" i="19"/>
  <c r="W38" i="19" s="1"/>
  <c r="V50" i="19"/>
  <c r="W50" i="19" s="1"/>
  <c r="V54" i="19"/>
  <c r="W54" i="19" s="1"/>
  <c r="V58" i="19"/>
  <c r="W58" i="19" s="1"/>
  <c r="V62" i="19"/>
  <c r="W62" i="19" s="1"/>
  <c r="P26" i="19"/>
  <c r="V48" i="19"/>
  <c r="Y48" i="19" s="1"/>
  <c r="V60" i="19"/>
  <c r="Y60" i="19" s="1"/>
  <c r="J22" i="19"/>
  <c r="J30" i="19"/>
  <c r="J38" i="19"/>
  <c r="P23" i="19"/>
  <c r="P31" i="19"/>
  <c r="P39" i="19"/>
  <c r="T39" i="19" s="1"/>
  <c r="P47" i="19"/>
  <c r="M21" i="19"/>
  <c r="Z21" i="19" s="1"/>
  <c r="M29" i="19"/>
  <c r="Z29" i="19" s="1"/>
  <c r="M37" i="19"/>
  <c r="Z37" i="19" s="1"/>
  <c r="M45" i="19"/>
  <c r="P45" i="19" s="1"/>
  <c r="M53" i="19"/>
  <c r="Z53" i="19" s="1"/>
  <c r="M57" i="19"/>
  <c r="Z57" i="19" s="1"/>
  <c r="J21" i="19"/>
  <c r="J25" i="19"/>
  <c r="J29" i="19"/>
  <c r="J33" i="19"/>
  <c r="J37" i="19"/>
  <c r="J41" i="19"/>
  <c r="J45" i="19"/>
  <c r="J49" i="19"/>
  <c r="T49" i="19" s="1"/>
  <c r="P21" i="19"/>
  <c r="P25" i="19"/>
  <c r="P29" i="19"/>
  <c r="P33" i="19"/>
  <c r="P37" i="19"/>
  <c r="Z27" i="19"/>
  <c r="Z31" i="19"/>
  <c r="Z47" i="19"/>
  <c r="V23" i="19"/>
  <c r="V43" i="19"/>
  <c r="V51" i="19"/>
  <c r="W51" i="19" s="1"/>
  <c r="V55" i="19"/>
  <c r="Y55" i="19" s="1"/>
  <c r="V59" i="19"/>
  <c r="J76" i="19"/>
  <c r="J62" i="19"/>
  <c r="T62" i="19" s="1"/>
  <c r="M65" i="19"/>
  <c r="P65" i="19" s="1"/>
  <c r="M64" i="19"/>
  <c r="P64" i="19" s="1"/>
  <c r="T64" i="19" s="1"/>
  <c r="J64" i="19"/>
  <c r="Z62" i="19"/>
  <c r="M72" i="19"/>
  <c r="Z72" i="19" s="1"/>
  <c r="M63" i="19"/>
  <c r="Z63" i="19" s="1"/>
  <c r="X75" i="19"/>
  <c r="V65" i="19"/>
  <c r="J65" i="19"/>
  <c r="Z64" i="19"/>
  <c r="Z104" i="19"/>
  <c r="U104" i="19"/>
  <c r="Z100" i="19"/>
  <c r="U100" i="19"/>
  <c r="X104" i="19"/>
  <c r="J98" i="19"/>
  <c r="J102" i="19"/>
  <c r="J106" i="19"/>
  <c r="J110" i="19"/>
  <c r="V98" i="19"/>
  <c r="W98" i="19" s="1"/>
  <c r="V102" i="19"/>
  <c r="W102" i="19" s="1"/>
  <c r="V106" i="19"/>
  <c r="W106" i="19" s="1"/>
  <c r="V110" i="19"/>
  <c r="W110" i="19" s="1"/>
  <c r="V104" i="19"/>
  <c r="Y104" i="19" s="1"/>
  <c r="Z71" i="19"/>
  <c r="X71" i="19"/>
  <c r="P77" i="19"/>
  <c r="U77" i="19"/>
  <c r="X65" i="19"/>
  <c r="J72" i="19"/>
  <c r="J73" i="19"/>
  <c r="U76" i="19"/>
  <c r="V73" i="19"/>
  <c r="J77" i="19"/>
  <c r="M73" i="19"/>
  <c r="X73" i="19" s="1"/>
  <c r="X77" i="19"/>
  <c r="V71" i="19"/>
  <c r="W71" i="19" s="1"/>
  <c r="U65" i="19"/>
  <c r="J83" i="19"/>
  <c r="V83" i="19"/>
  <c r="W83" i="19" s="1"/>
  <c r="P18" i="19"/>
  <c r="T18" i="19" s="1"/>
  <c r="P30" i="19"/>
  <c r="P34" i="19"/>
  <c r="P38" i="19"/>
  <c r="P46" i="19"/>
  <c r="T46" i="19" s="1"/>
  <c r="P50" i="19"/>
  <c r="Z55" i="19"/>
  <c r="X20" i="19"/>
  <c r="X28" i="19"/>
  <c r="X32" i="19"/>
  <c r="X36" i="19"/>
  <c r="Y40" i="19"/>
  <c r="X44" i="19"/>
  <c r="X48" i="19"/>
  <c r="X56" i="19"/>
  <c r="U30" i="19"/>
  <c r="X30" i="19"/>
  <c r="Y27" i="19"/>
  <c r="W27" i="19"/>
  <c r="Y39" i="19"/>
  <c r="W39" i="19"/>
  <c r="P55" i="19"/>
  <c r="T55" i="19" s="1"/>
  <c r="U20" i="19"/>
  <c r="U24" i="19"/>
  <c r="U28" i="19"/>
  <c r="U32" i="19"/>
  <c r="Z36" i="19"/>
  <c r="U40" i="19"/>
  <c r="Z44" i="19"/>
  <c r="Z48" i="19"/>
  <c r="Z56" i="19"/>
  <c r="W21" i="19"/>
  <c r="Y21" i="19"/>
  <c r="X25" i="19"/>
  <c r="W29" i="19"/>
  <c r="Y29" i="19"/>
  <c r="W33" i="19"/>
  <c r="X49" i="19"/>
  <c r="W53" i="19"/>
  <c r="X61" i="19"/>
  <c r="Z54" i="19"/>
  <c r="P54" i="19"/>
  <c r="T54" i="19" s="1"/>
  <c r="X59" i="19"/>
  <c r="X46" i="19"/>
  <c r="Z26" i="19"/>
  <c r="Y19" i="19"/>
  <c r="X23" i="19"/>
  <c r="Z23" i="19"/>
  <c r="U23" i="19"/>
  <c r="Y35" i="19"/>
  <c r="X39" i="19"/>
  <c r="Z39" i="19"/>
  <c r="U39" i="19"/>
  <c r="Z43" i="19"/>
  <c r="X43" i="19"/>
  <c r="Y51" i="19"/>
  <c r="Z51" i="19"/>
  <c r="W23" i="19"/>
  <c r="Y23" i="19"/>
  <c r="X27" i="19"/>
  <c r="X31" i="19"/>
  <c r="Y43" i="19"/>
  <c r="W43" i="19"/>
  <c r="X47" i="19"/>
  <c r="W59" i="19"/>
  <c r="Z20" i="19"/>
  <c r="X21" i="19"/>
  <c r="V25" i="19"/>
  <c r="Z25" i="19"/>
  <c r="Z28" i="19"/>
  <c r="X29" i="19"/>
  <c r="Z32" i="19"/>
  <c r="U36" i="19"/>
  <c r="U37" i="19"/>
  <c r="X40" i="19"/>
  <c r="U44" i="19"/>
  <c r="U48" i="19"/>
  <c r="U49" i="19"/>
  <c r="U56" i="19"/>
  <c r="U60" i="19"/>
  <c r="U61" i="19"/>
  <c r="M58" i="19"/>
  <c r="P58" i="19" s="1"/>
  <c r="U21" i="19"/>
  <c r="X24" i="19"/>
  <c r="U29" i="19"/>
  <c r="V37" i="19"/>
  <c r="Z40" i="19"/>
  <c r="V45" i="19"/>
  <c r="V49" i="19"/>
  <c r="Z49" i="19"/>
  <c r="V57" i="19"/>
  <c r="V61" i="19"/>
  <c r="V20" i="19"/>
  <c r="Y20" i="19" s="1"/>
  <c r="Z24" i="19"/>
  <c r="V28" i="19"/>
  <c r="Y28" i="19" s="1"/>
  <c r="V32" i="19"/>
  <c r="Y32" i="19" s="1"/>
  <c r="V41" i="19"/>
  <c r="V46" i="19"/>
  <c r="W46" i="19" s="1"/>
  <c r="U53" i="19"/>
  <c r="U55" i="19"/>
  <c r="J58" i="19"/>
  <c r="U52" i="19"/>
  <c r="Z41" i="19"/>
  <c r="W9" i="19"/>
  <c r="Y13" i="19"/>
  <c r="W13" i="19"/>
  <c r="P10" i="19"/>
  <c r="Z15" i="19"/>
  <c r="P15" i="19"/>
  <c r="T15" i="19" s="1"/>
  <c r="U8" i="19"/>
  <c r="Z8" i="19"/>
  <c r="X7" i="19"/>
  <c r="Z7" i="19"/>
  <c r="P12" i="19"/>
  <c r="T12" i="19" s="1"/>
  <c r="Z12" i="19"/>
  <c r="X12" i="19"/>
  <c r="Z16" i="19"/>
  <c r="U9" i="19"/>
  <c r="X9" i="19"/>
  <c r="X8" i="19"/>
  <c r="Y12" i="19"/>
  <c r="V7" i="19"/>
  <c r="Z10" i="19"/>
  <c r="X15" i="19"/>
  <c r="P7" i="19"/>
  <c r="T7" i="19" s="1"/>
  <c r="U14" i="19"/>
  <c r="V11" i="19"/>
  <c r="Y11" i="19" s="1"/>
  <c r="P11" i="19"/>
  <c r="V8" i="19"/>
  <c r="Y8" i="19" s="1"/>
  <c r="U13" i="19"/>
  <c r="U7" i="19"/>
  <c r="X11" i="19"/>
  <c r="U11" i="19"/>
  <c r="Z52" i="19"/>
  <c r="X52" i="19"/>
  <c r="P52" i="19"/>
  <c r="T52" i="19" s="1"/>
  <c r="V52" i="19"/>
  <c r="Y52" i="19" s="1"/>
  <c r="X58" i="19"/>
  <c r="X64" i="19"/>
  <c r="U64" i="19"/>
  <c r="X63" i="19"/>
  <c r="V63" i="19"/>
  <c r="W63" i="19" s="1"/>
  <c r="V64" i="19"/>
  <c r="V77" i="19"/>
  <c r="Y77" i="19" s="1"/>
  <c r="V75" i="19"/>
  <c r="W75" i="19" s="1"/>
  <c r="P75" i="19"/>
  <c r="T75" i="19" s="1"/>
  <c r="V76" i="19"/>
  <c r="Y76" i="19" s="1"/>
  <c r="J74" i="19"/>
  <c r="Z77" i="19"/>
  <c r="X76" i="19"/>
  <c r="J87" i="19"/>
  <c r="T85" i="19"/>
  <c r="P112" i="19"/>
  <c r="Z108" i="19"/>
  <c r="U108" i="19"/>
  <c r="J114" i="19"/>
  <c r="M115" i="19"/>
  <c r="V87" i="19"/>
  <c r="W87" i="19" s="1"/>
  <c r="V74" i="19"/>
  <c r="W74" i="19" s="1"/>
  <c r="T117" i="19"/>
  <c r="W117" i="19"/>
  <c r="X99" i="19"/>
  <c r="X115" i="19"/>
  <c r="P100" i="19"/>
  <c r="X100" i="19"/>
  <c r="Y105" i="19"/>
  <c r="Y116" i="19"/>
  <c r="M98" i="19"/>
  <c r="Y98" i="19" s="1"/>
  <c r="M102" i="19"/>
  <c r="P102" i="19" s="1"/>
  <c r="M106" i="19"/>
  <c r="P106" i="19" s="1"/>
  <c r="T106" i="19" s="1"/>
  <c r="M110" i="19"/>
  <c r="Y110" i="19" s="1"/>
  <c r="M114" i="19"/>
  <c r="X114" i="19" s="1"/>
  <c r="Y100" i="19"/>
  <c r="U116" i="19"/>
  <c r="P116" i="19"/>
  <c r="T116" i="19" s="1"/>
  <c r="Y112" i="19"/>
  <c r="X96" i="19"/>
  <c r="Z96" i="19"/>
  <c r="U96" i="19"/>
  <c r="P96" i="19"/>
  <c r="T96" i="19" s="1"/>
  <c r="U97" i="19"/>
  <c r="Z97" i="19"/>
  <c r="X101" i="19"/>
  <c r="U113" i="19"/>
  <c r="Z113" i="19"/>
  <c r="P105" i="19"/>
  <c r="T105" i="19" s="1"/>
  <c r="Y97" i="19"/>
  <c r="U101" i="19"/>
  <c r="Z101" i="19"/>
  <c r="X105" i="19"/>
  <c r="Y113" i="19"/>
  <c r="X117" i="19"/>
  <c r="Y101" i="19"/>
  <c r="U105" i="19"/>
  <c r="U117" i="19"/>
  <c r="Z117" i="19"/>
  <c r="P99" i="19"/>
  <c r="T99" i="19" s="1"/>
  <c r="P107" i="19"/>
  <c r="T107" i="19" s="1"/>
  <c r="P111" i="19"/>
  <c r="T111" i="19" s="1"/>
  <c r="U110" i="19"/>
  <c r="X110" i="19"/>
  <c r="Z103" i="19"/>
  <c r="X111" i="19"/>
  <c r="Z99" i="19"/>
  <c r="Y107" i="19"/>
  <c r="Z111" i="19"/>
  <c r="Z115" i="19"/>
  <c r="U107" i="19"/>
  <c r="T97" i="19"/>
  <c r="Y84" i="19"/>
  <c r="X88" i="19"/>
  <c r="P83" i="19"/>
  <c r="T83" i="19" s="1"/>
  <c r="P88" i="19"/>
  <c r="T88" i="19" s="1"/>
  <c r="X84" i="19"/>
  <c r="P87" i="19"/>
  <c r="T87" i="19" s="1"/>
  <c r="Z84" i="19"/>
  <c r="Y88" i="19"/>
  <c r="Z86" i="19"/>
  <c r="Y90" i="19"/>
  <c r="X86" i="19"/>
  <c r="U86" i="19"/>
  <c r="Y86" i="19"/>
  <c r="Z87" i="19"/>
  <c r="X90" i="19"/>
  <c r="T84" i="19"/>
  <c r="X83" i="19"/>
  <c r="P86" i="19"/>
  <c r="T86" i="19" s="1"/>
  <c r="P90" i="19"/>
  <c r="T90" i="19" s="1"/>
  <c r="U84" i="19"/>
  <c r="U90" i="19"/>
  <c r="Y72" i="19"/>
  <c r="P76" i="19"/>
  <c r="T76" i="19" s="1"/>
  <c r="Z76" i="19"/>
  <c r="P71" i="19"/>
  <c r="T71" i="19" s="1"/>
  <c r="U74" i="19"/>
  <c r="U71" i="19"/>
  <c r="U75" i="19"/>
  <c r="Z75" i="19"/>
  <c r="P74" i="19"/>
  <c r="Z74" i="19"/>
  <c r="T47" i="19"/>
  <c r="T35" i="19"/>
  <c r="T31" i="19"/>
  <c r="T27" i="19"/>
  <c r="T23" i="19"/>
  <c r="T11" i="19"/>
  <c r="T50" i="19"/>
  <c r="T26" i="19"/>
  <c r="T10" i="19"/>
  <c r="U99" i="19"/>
  <c r="X107" i="19"/>
  <c r="Y111" i="19"/>
  <c r="U111" i="19"/>
  <c r="U83" i="19"/>
  <c r="Z83" i="19"/>
  <c r="X87" i="19"/>
  <c r="X74" i="19"/>
  <c r="U10" i="19"/>
  <c r="Z30" i="19"/>
  <c r="X50" i="19"/>
  <c r="U15" i="19"/>
  <c r="U31" i="19"/>
  <c r="Z34" i="19"/>
  <c r="X35" i="19"/>
  <c r="X38" i="19"/>
  <c r="U46" i="19"/>
  <c r="U47" i="19"/>
  <c r="Y47" i="19"/>
  <c r="Z50" i="19"/>
  <c r="X51" i="19"/>
  <c r="U63" i="19"/>
  <c r="Z14" i="19"/>
  <c r="U26" i="19"/>
  <c r="X34" i="19"/>
  <c r="U42" i="19"/>
  <c r="Y15" i="19"/>
  <c r="X19" i="19"/>
  <c r="Y31" i="19"/>
  <c r="U19" i="19"/>
  <c r="U35" i="19"/>
  <c r="U51" i="19"/>
  <c r="W96" i="19"/>
  <c r="W100" i="19"/>
  <c r="W104" i="19"/>
  <c r="W112" i="19"/>
  <c r="W116" i="19"/>
  <c r="W85" i="19"/>
  <c r="W72" i="19"/>
  <c r="W76" i="19"/>
  <c r="W8" i="19"/>
  <c r="Y10" i="19"/>
  <c r="W24" i="19"/>
  <c r="W32" i="19"/>
  <c r="Y34" i="19"/>
  <c r="Y38" i="19"/>
  <c r="W40" i="19"/>
  <c r="Y46" i="19"/>
  <c r="W48" i="19"/>
  <c r="W60" i="19"/>
  <c r="F37" i="16"/>
  <c r="F65" i="16" s="1"/>
  <c r="U114" i="19" l="1"/>
  <c r="Z114" i="19"/>
  <c r="P114" i="19"/>
  <c r="T114" i="19" s="1"/>
  <c r="Y115" i="19"/>
  <c r="Y108" i="19"/>
  <c r="P73" i="19"/>
  <c r="T73" i="19" s="1"/>
  <c r="Y102" i="19"/>
  <c r="X102" i="19"/>
  <c r="U106" i="19"/>
  <c r="Y109" i="19"/>
  <c r="T100" i="19"/>
  <c r="Y103" i="19"/>
  <c r="U73" i="19"/>
  <c r="U109" i="19"/>
  <c r="Y106" i="19"/>
  <c r="Y99" i="19"/>
  <c r="P109" i="19"/>
  <c r="T109" i="19" s="1"/>
  <c r="W89" i="19"/>
  <c r="U102" i="19"/>
  <c r="U103" i="19"/>
  <c r="X103" i="19"/>
  <c r="Z102" i="19"/>
  <c r="X109" i="19"/>
  <c r="Z73" i="19"/>
  <c r="Z59" i="19"/>
  <c r="X57" i="19"/>
  <c r="U57" i="19"/>
  <c r="Y59" i="19"/>
  <c r="Y64" i="19"/>
  <c r="P57" i="19"/>
  <c r="T57" i="19" s="1"/>
  <c r="P59" i="19"/>
  <c r="T59" i="19" s="1"/>
  <c r="P53" i="19"/>
  <c r="T53" i="19" s="1"/>
  <c r="Y53" i="19"/>
  <c r="X53" i="19"/>
  <c r="T45" i="19"/>
  <c r="X17" i="19"/>
  <c r="Y14" i="19"/>
  <c r="P16" i="19"/>
  <c r="T16" i="19" s="1"/>
  <c r="Y16" i="19"/>
  <c r="T38" i="19"/>
  <c r="T9" i="19"/>
  <c r="Y114" i="19"/>
  <c r="T77" i="19"/>
  <c r="Z65" i="19"/>
  <c r="Y87" i="19"/>
  <c r="Y73" i="19"/>
  <c r="T102" i="19"/>
  <c r="T8" i="19"/>
  <c r="T58" i="19"/>
  <c r="T34" i="19"/>
  <c r="T13" i="19"/>
  <c r="W16" i="19"/>
  <c r="P17" i="19"/>
  <c r="T17" i="19" s="1"/>
  <c r="Y17" i="19"/>
  <c r="T21" i="19"/>
  <c r="Y30" i="19"/>
  <c r="X22" i="19"/>
  <c r="U45" i="19"/>
  <c r="U22" i="19"/>
  <c r="X45" i="19"/>
  <c r="Y54" i="19"/>
  <c r="W44" i="19"/>
  <c r="W36" i="19"/>
  <c r="W28" i="19"/>
  <c r="Y18" i="19"/>
  <c r="U62" i="19"/>
  <c r="Z18" i="19"/>
  <c r="Y41" i="19"/>
  <c r="Z45" i="19"/>
  <c r="U33" i="19"/>
  <c r="X33" i="19"/>
  <c r="X41" i="19"/>
  <c r="W55" i="19"/>
  <c r="Z42" i="19"/>
  <c r="X37" i="19"/>
  <c r="T30" i="19"/>
  <c r="T29" i="19"/>
  <c r="T37" i="19"/>
  <c r="W56" i="19"/>
  <c r="Y22" i="19"/>
  <c r="T33" i="19"/>
  <c r="Y62" i="19"/>
  <c r="Y50" i="19"/>
  <c r="Y42" i="19"/>
  <c r="Y26" i="19"/>
  <c r="X18" i="19"/>
  <c r="X54" i="19"/>
  <c r="P41" i="19"/>
  <c r="T41" i="19" s="1"/>
  <c r="U38" i="19"/>
  <c r="X42" i="19"/>
  <c r="P22" i="19"/>
  <c r="T22" i="19" s="1"/>
  <c r="X62" i="19"/>
  <c r="T25" i="19"/>
  <c r="Y74" i="19"/>
  <c r="T65" i="19"/>
  <c r="Y65" i="19"/>
  <c r="Y71" i="19"/>
  <c r="X72" i="19"/>
  <c r="W65" i="19"/>
  <c r="P63" i="19"/>
  <c r="T63" i="19" s="1"/>
  <c r="Y63" i="19"/>
  <c r="P72" i="19"/>
  <c r="T72" i="19" s="1"/>
  <c r="W73" i="19"/>
  <c r="U72" i="19"/>
  <c r="Z98" i="19"/>
  <c r="U98" i="19"/>
  <c r="P98" i="19"/>
  <c r="T98" i="19" s="1"/>
  <c r="X98" i="19"/>
  <c r="T74" i="19"/>
  <c r="Y75" i="19"/>
  <c r="Y83" i="19"/>
  <c r="W61" i="19"/>
  <c r="Y61" i="19"/>
  <c r="W49" i="19"/>
  <c r="Y49" i="19"/>
  <c r="W52" i="19"/>
  <c r="W20" i="19"/>
  <c r="U58" i="19"/>
  <c r="W45" i="19"/>
  <c r="Y45" i="19"/>
  <c r="Y25" i="19"/>
  <c r="W25" i="19"/>
  <c r="W37" i="19"/>
  <c r="Y37" i="19"/>
  <c r="W41" i="19"/>
  <c r="W57" i="19"/>
  <c r="Y57" i="19"/>
  <c r="Y58" i="19"/>
  <c r="Z58" i="19"/>
  <c r="W11" i="19"/>
  <c r="Y7" i="19"/>
  <c r="W7" i="19"/>
  <c r="W64" i="19"/>
  <c r="W77" i="19"/>
  <c r="U115" i="19"/>
  <c r="P115" i="19"/>
  <c r="T115" i="19" s="1"/>
  <c r="P110" i="19"/>
  <c r="T110" i="19" s="1"/>
  <c r="Z106" i="19"/>
  <c r="X106" i="19"/>
  <c r="Z110" i="19"/>
  <c r="S120" i="16" l="1"/>
  <c r="V120" i="16" s="1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S120" i="1"/>
  <c r="R120" i="1"/>
  <c r="Q120" i="1"/>
  <c r="P120" i="1"/>
  <c r="O120" i="1"/>
  <c r="N120" i="1"/>
  <c r="M120" i="1"/>
  <c r="L120" i="1"/>
  <c r="K120" i="1"/>
  <c r="J120" i="1"/>
  <c r="T120" i="1" s="1"/>
  <c r="I120" i="1"/>
  <c r="H120" i="1"/>
  <c r="G120" i="1"/>
  <c r="F120" i="1"/>
  <c r="S118" i="1"/>
  <c r="V118" i="1" s="1"/>
  <c r="R118" i="1"/>
  <c r="Q118" i="1"/>
  <c r="O118" i="1"/>
  <c r="N118" i="1"/>
  <c r="L118" i="1"/>
  <c r="K118" i="1"/>
  <c r="I118" i="1"/>
  <c r="H118" i="1"/>
  <c r="G118" i="1"/>
  <c r="F118" i="1"/>
  <c r="S35" i="15"/>
  <c r="R35" i="15"/>
  <c r="Q35" i="15"/>
  <c r="O35" i="15"/>
  <c r="N35" i="15"/>
  <c r="L35" i="15"/>
  <c r="K35" i="15"/>
  <c r="I35" i="15"/>
  <c r="J35" i="15" s="1"/>
  <c r="H35" i="15"/>
  <c r="G35" i="15"/>
  <c r="F35" i="15"/>
  <c r="V35" i="15"/>
  <c r="M35" i="15"/>
  <c r="S33" i="15"/>
  <c r="R33" i="15"/>
  <c r="Q33" i="15"/>
  <c r="O33" i="15"/>
  <c r="N33" i="15"/>
  <c r="L33" i="15"/>
  <c r="K33" i="15"/>
  <c r="I33" i="15"/>
  <c r="H33" i="15"/>
  <c r="G33" i="15"/>
  <c r="F33" i="15"/>
  <c r="S27" i="15"/>
  <c r="R27" i="15"/>
  <c r="Q27" i="15"/>
  <c r="O27" i="15"/>
  <c r="N27" i="15"/>
  <c r="L27" i="15"/>
  <c r="K27" i="15"/>
  <c r="I27" i="15"/>
  <c r="H27" i="15"/>
  <c r="G27" i="15"/>
  <c r="F27" i="15"/>
  <c r="F21" i="15"/>
  <c r="V33" i="15"/>
  <c r="M33" i="15"/>
  <c r="M27" i="15"/>
  <c r="P27" i="15" s="1"/>
  <c r="J27" i="15"/>
  <c r="E27" i="15"/>
  <c r="V27" i="15" s="1"/>
  <c r="S21" i="15"/>
  <c r="R21" i="15"/>
  <c r="Q21" i="15"/>
  <c r="O21" i="15"/>
  <c r="N21" i="15"/>
  <c r="L21" i="15"/>
  <c r="K21" i="15"/>
  <c r="I21" i="15"/>
  <c r="H21" i="15"/>
  <c r="G21" i="15"/>
  <c r="M21" i="15"/>
  <c r="J21" i="15"/>
  <c r="E21" i="15"/>
  <c r="V21" i="15" s="1"/>
  <c r="S85" i="15"/>
  <c r="R85" i="15"/>
  <c r="Q85" i="15"/>
  <c r="O85" i="15"/>
  <c r="N85" i="15"/>
  <c r="L85" i="15"/>
  <c r="K85" i="15"/>
  <c r="I85" i="15"/>
  <c r="H85" i="15"/>
  <c r="G85" i="15"/>
  <c r="F85" i="15"/>
  <c r="F91" i="15" s="1"/>
  <c r="S73" i="15"/>
  <c r="R73" i="15"/>
  <c r="Q73" i="15"/>
  <c r="O73" i="15"/>
  <c r="N73" i="15"/>
  <c r="L73" i="15"/>
  <c r="K73" i="15"/>
  <c r="I73" i="15"/>
  <c r="H73" i="15"/>
  <c r="G73" i="15"/>
  <c r="F73" i="15"/>
  <c r="S118" i="15"/>
  <c r="R118" i="15"/>
  <c r="Q118" i="15"/>
  <c r="O118" i="15"/>
  <c r="N118" i="15"/>
  <c r="L118" i="15"/>
  <c r="K118" i="15"/>
  <c r="I118" i="15"/>
  <c r="H118" i="15"/>
  <c r="G118" i="15"/>
  <c r="E118" i="15"/>
  <c r="S117" i="15"/>
  <c r="R117" i="15"/>
  <c r="Q117" i="15"/>
  <c r="O117" i="15"/>
  <c r="N117" i="15"/>
  <c r="L117" i="15"/>
  <c r="K117" i="15"/>
  <c r="I117" i="15"/>
  <c r="H117" i="15"/>
  <c r="G117" i="15"/>
  <c r="E117" i="15"/>
  <c r="S116" i="15"/>
  <c r="R116" i="15"/>
  <c r="Q116" i="15"/>
  <c r="O116" i="15"/>
  <c r="N116" i="15"/>
  <c r="L116" i="15"/>
  <c r="K116" i="15"/>
  <c r="I116" i="15"/>
  <c r="H116" i="15"/>
  <c r="G116" i="15"/>
  <c r="E116" i="15"/>
  <c r="S115" i="15"/>
  <c r="R115" i="15"/>
  <c r="Q115" i="15"/>
  <c r="O115" i="15"/>
  <c r="N115" i="15"/>
  <c r="L115" i="15"/>
  <c r="K115" i="15"/>
  <c r="I115" i="15"/>
  <c r="H115" i="15"/>
  <c r="G115" i="15"/>
  <c r="E115" i="15"/>
  <c r="S114" i="15"/>
  <c r="R114" i="15"/>
  <c r="Q114" i="15"/>
  <c r="O114" i="15"/>
  <c r="N114" i="15"/>
  <c r="L114" i="15"/>
  <c r="K114" i="15"/>
  <c r="I114" i="15"/>
  <c r="H114" i="15"/>
  <c r="G114" i="15"/>
  <c r="E114" i="15"/>
  <c r="S113" i="15"/>
  <c r="R113" i="15"/>
  <c r="Q113" i="15"/>
  <c r="O113" i="15"/>
  <c r="N113" i="15"/>
  <c r="L113" i="15"/>
  <c r="K113" i="15"/>
  <c r="I113" i="15"/>
  <c r="H113" i="15"/>
  <c r="G113" i="15"/>
  <c r="E113" i="15"/>
  <c r="S112" i="15"/>
  <c r="R112" i="15"/>
  <c r="Q112" i="15"/>
  <c r="O112" i="15"/>
  <c r="N112" i="15"/>
  <c r="L112" i="15"/>
  <c r="K112" i="15"/>
  <c r="I112" i="15"/>
  <c r="H112" i="15"/>
  <c r="G112" i="15"/>
  <c r="E112" i="15"/>
  <c r="S111" i="15"/>
  <c r="R111" i="15"/>
  <c r="Q111" i="15"/>
  <c r="O111" i="15"/>
  <c r="N111" i="15"/>
  <c r="L111" i="15"/>
  <c r="K111" i="15"/>
  <c r="I111" i="15"/>
  <c r="H111" i="15"/>
  <c r="G111" i="15"/>
  <c r="E111" i="15"/>
  <c r="S110" i="15"/>
  <c r="R110" i="15"/>
  <c r="Q110" i="15"/>
  <c r="O110" i="15"/>
  <c r="N110" i="15"/>
  <c r="L110" i="15"/>
  <c r="K110" i="15"/>
  <c r="I110" i="15"/>
  <c r="H110" i="15"/>
  <c r="G110" i="15"/>
  <c r="E110" i="15"/>
  <c r="S109" i="15"/>
  <c r="R109" i="15"/>
  <c r="Q109" i="15"/>
  <c r="O109" i="15"/>
  <c r="N109" i="15"/>
  <c r="L109" i="15"/>
  <c r="K109" i="15"/>
  <c r="I109" i="15"/>
  <c r="H109" i="15"/>
  <c r="G109" i="15"/>
  <c r="E109" i="15"/>
  <c r="S108" i="15"/>
  <c r="R108" i="15"/>
  <c r="Q108" i="15"/>
  <c r="O108" i="15"/>
  <c r="N108" i="15"/>
  <c r="L108" i="15"/>
  <c r="K108" i="15"/>
  <c r="I108" i="15"/>
  <c r="H108" i="15"/>
  <c r="G108" i="15"/>
  <c r="E108" i="15"/>
  <c r="S107" i="15"/>
  <c r="R107" i="15"/>
  <c r="Q107" i="15"/>
  <c r="O107" i="15"/>
  <c r="N107" i="15"/>
  <c r="L107" i="15"/>
  <c r="K107" i="15"/>
  <c r="I107" i="15"/>
  <c r="H107" i="15"/>
  <c r="G107" i="15"/>
  <c r="E107" i="15"/>
  <c r="S106" i="15"/>
  <c r="R106" i="15"/>
  <c r="Q106" i="15"/>
  <c r="O106" i="15"/>
  <c r="N106" i="15"/>
  <c r="L106" i="15"/>
  <c r="K106" i="15"/>
  <c r="I106" i="15"/>
  <c r="H106" i="15"/>
  <c r="G106" i="15"/>
  <c r="E106" i="15"/>
  <c r="S105" i="15"/>
  <c r="R105" i="15"/>
  <c r="Q105" i="15"/>
  <c r="O105" i="15"/>
  <c r="N105" i="15"/>
  <c r="L105" i="15"/>
  <c r="K105" i="15"/>
  <c r="I105" i="15"/>
  <c r="H105" i="15"/>
  <c r="G105" i="15"/>
  <c r="E105" i="15"/>
  <c r="S104" i="15"/>
  <c r="R104" i="15"/>
  <c r="Q104" i="15"/>
  <c r="O104" i="15"/>
  <c r="N104" i="15"/>
  <c r="L104" i="15"/>
  <c r="K104" i="15"/>
  <c r="I104" i="15"/>
  <c r="H104" i="15"/>
  <c r="G104" i="15"/>
  <c r="E104" i="15"/>
  <c r="S103" i="15"/>
  <c r="R103" i="15"/>
  <c r="Q103" i="15"/>
  <c r="O103" i="15"/>
  <c r="N103" i="15"/>
  <c r="L103" i="15"/>
  <c r="K103" i="15"/>
  <c r="I103" i="15"/>
  <c r="H103" i="15"/>
  <c r="G103" i="15"/>
  <c r="E103" i="15"/>
  <c r="S102" i="15"/>
  <c r="R102" i="15"/>
  <c r="Q102" i="15"/>
  <c r="O102" i="15"/>
  <c r="N102" i="15"/>
  <c r="L102" i="15"/>
  <c r="K102" i="15"/>
  <c r="I102" i="15"/>
  <c r="H102" i="15"/>
  <c r="G102" i="15"/>
  <c r="E102" i="15"/>
  <c r="S101" i="15"/>
  <c r="R101" i="15"/>
  <c r="Q101" i="15"/>
  <c r="O101" i="15"/>
  <c r="N101" i="15"/>
  <c r="L101" i="15"/>
  <c r="K101" i="15"/>
  <c r="I101" i="15"/>
  <c r="H101" i="15"/>
  <c r="G101" i="15"/>
  <c r="E101" i="15"/>
  <c r="S100" i="15"/>
  <c r="R100" i="15"/>
  <c r="Q100" i="15"/>
  <c r="O100" i="15"/>
  <c r="N100" i="15"/>
  <c r="L100" i="15"/>
  <c r="K100" i="15"/>
  <c r="I100" i="15"/>
  <c r="H100" i="15"/>
  <c r="G100" i="15"/>
  <c r="E100" i="15"/>
  <c r="S99" i="15"/>
  <c r="R99" i="15"/>
  <c r="Q99" i="15"/>
  <c r="O99" i="15"/>
  <c r="N99" i="15"/>
  <c r="L99" i="15"/>
  <c r="K99" i="15"/>
  <c r="I99" i="15"/>
  <c r="H99" i="15"/>
  <c r="G99" i="15"/>
  <c r="E99" i="15"/>
  <c r="S98" i="15"/>
  <c r="R98" i="15"/>
  <c r="Q98" i="15"/>
  <c r="O98" i="15"/>
  <c r="N98" i="15"/>
  <c r="L98" i="15"/>
  <c r="K98" i="15"/>
  <c r="I98" i="15"/>
  <c r="H98" i="15"/>
  <c r="G98" i="15"/>
  <c r="E98" i="15"/>
  <c r="S97" i="15"/>
  <c r="R97" i="15"/>
  <c r="Q97" i="15"/>
  <c r="O97" i="15"/>
  <c r="N97" i="15"/>
  <c r="L97" i="15"/>
  <c r="K97" i="15"/>
  <c r="I97" i="15"/>
  <c r="H97" i="15"/>
  <c r="G97" i="15"/>
  <c r="E97" i="15"/>
  <c r="E91" i="15"/>
  <c r="S90" i="15"/>
  <c r="R90" i="15"/>
  <c r="Q90" i="15"/>
  <c r="O90" i="15"/>
  <c r="N90" i="15"/>
  <c r="L90" i="15"/>
  <c r="K90" i="15"/>
  <c r="I90" i="15"/>
  <c r="H90" i="15"/>
  <c r="G90" i="15"/>
  <c r="E90" i="15"/>
  <c r="S89" i="15"/>
  <c r="R89" i="15"/>
  <c r="Q89" i="15"/>
  <c r="O89" i="15"/>
  <c r="N89" i="15"/>
  <c r="L89" i="15"/>
  <c r="K89" i="15"/>
  <c r="I89" i="15"/>
  <c r="H89" i="15"/>
  <c r="G89" i="15"/>
  <c r="E89" i="15"/>
  <c r="S88" i="15"/>
  <c r="R88" i="15"/>
  <c r="Q88" i="15"/>
  <c r="O88" i="15"/>
  <c r="N88" i="15"/>
  <c r="L88" i="15"/>
  <c r="K88" i="15"/>
  <c r="I88" i="15"/>
  <c r="H88" i="15"/>
  <c r="G88" i="15"/>
  <c r="E88" i="15"/>
  <c r="S87" i="15"/>
  <c r="R87" i="15"/>
  <c r="Q87" i="15"/>
  <c r="O87" i="15"/>
  <c r="N87" i="15"/>
  <c r="L87" i="15"/>
  <c r="K87" i="15"/>
  <c r="I87" i="15"/>
  <c r="H87" i="15"/>
  <c r="G87" i="15"/>
  <c r="E87" i="15"/>
  <c r="S86" i="15"/>
  <c r="R86" i="15"/>
  <c r="Q86" i="15"/>
  <c r="O86" i="15"/>
  <c r="N86" i="15"/>
  <c r="L86" i="15"/>
  <c r="K86" i="15"/>
  <c r="I86" i="15"/>
  <c r="H86" i="15"/>
  <c r="S80" i="15"/>
  <c r="R80" i="15"/>
  <c r="Q80" i="15"/>
  <c r="O80" i="15"/>
  <c r="N80" i="15"/>
  <c r="L80" i="15"/>
  <c r="K80" i="15"/>
  <c r="I80" i="15"/>
  <c r="H80" i="15"/>
  <c r="G80" i="15"/>
  <c r="E80" i="15"/>
  <c r="S79" i="15"/>
  <c r="R79" i="15"/>
  <c r="Q79" i="15"/>
  <c r="O79" i="15"/>
  <c r="N79" i="15"/>
  <c r="L79" i="15"/>
  <c r="K79" i="15"/>
  <c r="I79" i="15"/>
  <c r="H79" i="15"/>
  <c r="G79" i="15"/>
  <c r="E79" i="15"/>
  <c r="X120" i="1" l="1"/>
  <c r="Z120" i="1"/>
  <c r="V120" i="1"/>
  <c r="W120" i="1" s="1"/>
  <c r="Y120" i="1"/>
  <c r="U120" i="1"/>
  <c r="Z120" i="16"/>
  <c r="T120" i="16"/>
  <c r="W120" i="16"/>
  <c r="Y120" i="16"/>
  <c r="X120" i="16"/>
  <c r="U120" i="16"/>
  <c r="J118" i="1"/>
  <c r="M118" i="1"/>
  <c r="P118" i="1" s="1"/>
  <c r="Y118" i="1"/>
  <c r="W118" i="1"/>
  <c r="W35" i="15"/>
  <c r="Y35" i="15"/>
  <c r="P35" i="15"/>
  <c r="T35" i="15" s="1"/>
  <c r="Z35" i="15"/>
  <c r="X35" i="15"/>
  <c r="U35" i="15"/>
  <c r="Y27" i="15"/>
  <c r="P33" i="15"/>
  <c r="J33" i="15"/>
  <c r="W33" i="15"/>
  <c r="W27" i="15"/>
  <c r="Y33" i="15"/>
  <c r="Z33" i="15"/>
  <c r="X33" i="15"/>
  <c r="U33" i="15"/>
  <c r="T27" i="15"/>
  <c r="Z27" i="15"/>
  <c r="U27" i="15"/>
  <c r="X27" i="15"/>
  <c r="Y21" i="15"/>
  <c r="W21" i="15"/>
  <c r="P21" i="15"/>
  <c r="T21" i="15"/>
  <c r="Z21" i="15"/>
  <c r="X21" i="15"/>
  <c r="U21" i="15"/>
  <c r="M102" i="15"/>
  <c r="U102" i="15" s="1"/>
  <c r="M105" i="15"/>
  <c r="Z105" i="15" s="1"/>
  <c r="J109" i="15"/>
  <c r="M113" i="15"/>
  <c r="Z113" i="15" s="1"/>
  <c r="J117" i="15"/>
  <c r="V80" i="15"/>
  <c r="W80" i="15" s="1"/>
  <c r="V102" i="15"/>
  <c r="Y102" i="15" s="1"/>
  <c r="V118" i="15"/>
  <c r="W118" i="15" s="1"/>
  <c r="G91" i="15"/>
  <c r="L91" i="15"/>
  <c r="R91" i="15"/>
  <c r="M88" i="15"/>
  <c r="Z88" i="15" s="1"/>
  <c r="M107" i="15"/>
  <c r="U107" i="15" s="1"/>
  <c r="J114" i="15"/>
  <c r="K91" i="15"/>
  <c r="Q91" i="15"/>
  <c r="M89" i="15"/>
  <c r="Z89" i="15" s="1"/>
  <c r="I91" i="15"/>
  <c r="O91" i="15"/>
  <c r="H91" i="15"/>
  <c r="N91" i="15"/>
  <c r="S91" i="15"/>
  <c r="J87" i="15"/>
  <c r="U88" i="15"/>
  <c r="J79" i="15"/>
  <c r="V107" i="15"/>
  <c r="M108" i="15"/>
  <c r="Z108" i="15" s="1"/>
  <c r="V109" i="15"/>
  <c r="W109" i="15" s="1"/>
  <c r="M111" i="15"/>
  <c r="X111" i="15" s="1"/>
  <c r="M115" i="15"/>
  <c r="X115" i="15" s="1"/>
  <c r="J118" i="15"/>
  <c r="M80" i="15"/>
  <c r="U80" i="15" s="1"/>
  <c r="J97" i="15"/>
  <c r="M98" i="15"/>
  <c r="U98" i="15" s="1"/>
  <c r="J101" i="15"/>
  <c r="M110" i="15"/>
  <c r="U110" i="15" s="1"/>
  <c r="V79" i="15"/>
  <c r="W79" i="15" s="1"/>
  <c r="V88" i="15"/>
  <c r="M97" i="15"/>
  <c r="Z97" i="15" s="1"/>
  <c r="J98" i="15"/>
  <c r="M103" i="15"/>
  <c r="X103" i="15" s="1"/>
  <c r="J105" i="15"/>
  <c r="M106" i="15"/>
  <c r="U106" i="15" s="1"/>
  <c r="M112" i="15"/>
  <c r="P112" i="15" s="1"/>
  <c r="V112" i="15"/>
  <c r="W112" i="15" s="1"/>
  <c r="V87" i="15"/>
  <c r="J108" i="15"/>
  <c r="V115" i="15"/>
  <c r="M90" i="15"/>
  <c r="P90" i="15" s="1"/>
  <c r="V90" i="15"/>
  <c r="W90" i="15" s="1"/>
  <c r="M99" i="15"/>
  <c r="X99" i="15" s="1"/>
  <c r="V99" i="15"/>
  <c r="W99" i="15" s="1"/>
  <c r="M100" i="15"/>
  <c r="X100" i="15" s="1"/>
  <c r="V101" i="15"/>
  <c r="W101" i="15" s="1"/>
  <c r="M104" i="15"/>
  <c r="Z104" i="15" s="1"/>
  <c r="J107" i="15"/>
  <c r="V110" i="15"/>
  <c r="W110" i="15" s="1"/>
  <c r="J113" i="15"/>
  <c r="M114" i="15"/>
  <c r="U114" i="15" s="1"/>
  <c r="M87" i="15"/>
  <c r="Z87" i="15" s="1"/>
  <c r="J88" i="15"/>
  <c r="V89" i="15"/>
  <c r="W89" i="15" s="1"/>
  <c r="V97" i="15"/>
  <c r="W97" i="15" s="1"/>
  <c r="V98" i="15"/>
  <c r="W98" i="15" s="1"/>
  <c r="J103" i="15"/>
  <c r="J104" i="15"/>
  <c r="V108" i="15"/>
  <c r="W108" i="15" s="1"/>
  <c r="M109" i="15"/>
  <c r="Z109" i="15" s="1"/>
  <c r="J110" i="15"/>
  <c r="V111" i="15"/>
  <c r="V113" i="15"/>
  <c r="W113" i="15" s="1"/>
  <c r="V114" i="15"/>
  <c r="W114" i="15" s="1"/>
  <c r="J73" i="15"/>
  <c r="P88" i="15"/>
  <c r="J99" i="15"/>
  <c r="J100" i="15"/>
  <c r="V104" i="15"/>
  <c r="W104" i="15" s="1"/>
  <c r="J106" i="15"/>
  <c r="J115" i="15"/>
  <c r="J116" i="15"/>
  <c r="P102" i="15"/>
  <c r="M73" i="15"/>
  <c r="Z73" i="15" s="1"/>
  <c r="V73" i="15"/>
  <c r="W73" i="15" s="1"/>
  <c r="M79" i="15"/>
  <c r="Z79" i="15" s="1"/>
  <c r="J80" i="15"/>
  <c r="J89" i="15"/>
  <c r="J90" i="15"/>
  <c r="V100" i="15"/>
  <c r="W100" i="15" s="1"/>
  <c r="M101" i="15"/>
  <c r="Z101" i="15" s="1"/>
  <c r="J102" i="15"/>
  <c r="V103" i="15"/>
  <c r="W103" i="15" s="1"/>
  <c r="V105" i="15"/>
  <c r="W105" i="15" s="1"/>
  <c r="V106" i="15"/>
  <c r="W106" i="15" s="1"/>
  <c r="J111" i="15"/>
  <c r="J112" i="15"/>
  <c r="M116" i="15"/>
  <c r="Z116" i="15" s="1"/>
  <c r="V116" i="15"/>
  <c r="W116" i="15" s="1"/>
  <c r="M117" i="15"/>
  <c r="P117" i="15" s="1"/>
  <c r="M118" i="15"/>
  <c r="X118" i="15" s="1"/>
  <c r="Z102" i="15"/>
  <c r="Z111" i="15"/>
  <c r="Y87" i="15" l="1"/>
  <c r="W102" i="15"/>
  <c r="U99" i="15"/>
  <c r="X107" i="15"/>
  <c r="X88" i="15"/>
  <c r="Y88" i="15"/>
  <c r="J91" i="15"/>
  <c r="U113" i="15"/>
  <c r="P106" i="15"/>
  <c r="T106" i="15" s="1"/>
  <c r="X106" i="15"/>
  <c r="X113" i="15"/>
  <c r="P97" i="15"/>
  <c r="T97" i="15" s="1"/>
  <c r="X118" i="1"/>
  <c r="Z118" i="1"/>
  <c r="U118" i="1"/>
  <c r="T118" i="1"/>
  <c r="T117" i="15"/>
  <c r="X102" i="15"/>
  <c r="Z103" i="15"/>
  <c r="U115" i="15"/>
  <c r="P87" i="15"/>
  <c r="T87" i="15" s="1"/>
  <c r="W87" i="15"/>
  <c r="X87" i="15"/>
  <c r="X79" i="15"/>
  <c r="W88" i="15"/>
  <c r="P113" i="15"/>
  <c r="T113" i="15" s="1"/>
  <c r="T33" i="15"/>
  <c r="U108" i="15"/>
  <c r="P105" i="15"/>
  <c r="T105" i="15" s="1"/>
  <c r="Y101" i="15"/>
  <c r="P107" i="15"/>
  <c r="T107" i="15" s="1"/>
  <c r="Z107" i="15"/>
  <c r="X108" i="15"/>
  <c r="U89" i="15"/>
  <c r="P108" i="15"/>
  <c r="T108" i="15" s="1"/>
  <c r="U105" i="15"/>
  <c r="Y107" i="15"/>
  <c r="X89" i="15"/>
  <c r="P89" i="15"/>
  <c r="T89" i="15" s="1"/>
  <c r="Z80" i="15"/>
  <c r="X105" i="15"/>
  <c r="Y105" i="15"/>
  <c r="U87" i="15"/>
  <c r="X114" i="15"/>
  <c r="W107" i="15"/>
  <c r="P115" i="15"/>
  <c r="T115" i="15" s="1"/>
  <c r="Z115" i="15"/>
  <c r="Z98" i="15"/>
  <c r="P98" i="15"/>
  <c r="T98" i="15" s="1"/>
  <c r="M91" i="15"/>
  <c r="U91" i="15" s="1"/>
  <c r="X104" i="15"/>
  <c r="P104" i="15"/>
  <c r="T104" i="15" s="1"/>
  <c r="X98" i="15"/>
  <c r="Y115" i="15"/>
  <c r="P99" i="15"/>
  <c r="T99" i="15" s="1"/>
  <c r="U100" i="15"/>
  <c r="Y100" i="15"/>
  <c r="Y113" i="15"/>
  <c r="W115" i="15"/>
  <c r="Z90" i="15"/>
  <c r="Y98" i="15"/>
  <c r="T88" i="15"/>
  <c r="P111" i="15"/>
  <c r="T111" i="15" s="1"/>
  <c r="P110" i="15"/>
  <c r="T110" i="15" s="1"/>
  <c r="Y111" i="15"/>
  <c r="U118" i="15"/>
  <c r="Z110" i="15"/>
  <c r="Y80" i="15"/>
  <c r="X80" i="15"/>
  <c r="X110" i="15"/>
  <c r="T112" i="15"/>
  <c r="U111" i="15"/>
  <c r="X109" i="15"/>
  <c r="U101" i="15"/>
  <c r="P80" i="15"/>
  <c r="T80" i="15" s="1"/>
  <c r="Z99" i="15"/>
  <c r="U103" i="15"/>
  <c r="Y99" i="15"/>
  <c r="P103" i="15"/>
  <c r="T103" i="15" s="1"/>
  <c r="U104" i="15"/>
  <c r="Y106" i="15"/>
  <c r="X101" i="15"/>
  <c r="Y104" i="15"/>
  <c r="Y79" i="15"/>
  <c r="P114" i="15"/>
  <c r="T114" i="15" s="1"/>
  <c r="Z114" i="15"/>
  <c r="Y114" i="15"/>
  <c r="Y109" i="15"/>
  <c r="P109" i="15"/>
  <c r="T109" i="15" s="1"/>
  <c r="U109" i="15"/>
  <c r="Z112" i="15"/>
  <c r="Y103" i="15"/>
  <c r="T90" i="15"/>
  <c r="Z100" i="15"/>
  <c r="U112" i="15"/>
  <c r="U90" i="15"/>
  <c r="X112" i="15"/>
  <c r="X90" i="15"/>
  <c r="Y116" i="15"/>
  <c r="U97" i="15"/>
  <c r="Y110" i="15"/>
  <c r="P100" i="15"/>
  <c r="T100" i="15" s="1"/>
  <c r="Y112" i="15"/>
  <c r="X97" i="15"/>
  <c r="T102" i="15"/>
  <c r="Z106" i="15"/>
  <c r="Y97" i="15"/>
  <c r="Y90" i="15"/>
  <c r="P101" i="15"/>
  <c r="T101" i="15" s="1"/>
  <c r="P79" i="15"/>
  <c r="T79" i="15" s="1"/>
  <c r="P73" i="15"/>
  <c r="T73" i="15" s="1"/>
  <c r="X73" i="15"/>
  <c r="U73" i="15"/>
  <c r="Y73" i="15"/>
  <c r="P116" i="15"/>
  <c r="T116" i="15" s="1"/>
  <c r="Y108" i="15"/>
  <c r="Y89" i="15"/>
  <c r="U116" i="15"/>
  <c r="W111" i="15"/>
  <c r="Y118" i="15"/>
  <c r="U117" i="15"/>
  <c r="U79" i="15"/>
  <c r="P118" i="15"/>
  <c r="T118" i="15" s="1"/>
  <c r="Z118" i="15"/>
  <c r="X116" i="15"/>
  <c r="P91" i="15" l="1"/>
  <c r="T91" i="15" s="1"/>
  <c r="AC26" i="11"/>
  <c r="AB26" i="11"/>
  <c r="AA26" i="11"/>
  <c r="AC30" i="10" l="1"/>
  <c r="AB30" i="10"/>
  <c r="AA30" i="10"/>
  <c r="S119" i="10"/>
  <c r="K119" i="10"/>
  <c r="I119" i="10"/>
  <c r="H119" i="10"/>
  <c r="O119" i="10"/>
  <c r="N119" i="10"/>
  <c r="P17" i="10"/>
  <c r="J17" i="10"/>
  <c r="T17" i="10" l="1"/>
  <c r="F119" i="9" l="1"/>
  <c r="AB13" i="8" l="1"/>
  <c r="AB10" i="8"/>
  <c r="AB8" i="8"/>
  <c r="AB21" i="8"/>
  <c r="F119" i="4"/>
  <c r="AB23" i="8" l="1"/>
  <c r="AA34" i="6" l="1"/>
  <c r="AA32" i="6"/>
  <c r="AA30" i="6"/>
  <c r="AB46" i="6"/>
  <c r="N126" i="6"/>
  <c r="Q123" i="3" l="1"/>
  <c r="Q122" i="3"/>
  <c r="AA8" i="3"/>
  <c r="C145" i="3"/>
  <c r="AE21" i="3"/>
  <c r="AE20" i="3"/>
  <c r="AE19" i="3"/>
  <c r="AE13" i="3"/>
  <c r="T119" i="3" l="1"/>
  <c r="T120" i="3" s="1"/>
  <c r="S119" i="3"/>
  <c r="S120" i="3" s="1"/>
  <c r="Q119" i="3"/>
  <c r="Q120" i="3" s="1"/>
  <c r="L119" i="3"/>
  <c r="L120" i="3" s="1"/>
  <c r="K119" i="3"/>
  <c r="K120" i="3" s="1"/>
  <c r="I119" i="3"/>
  <c r="I120" i="3" s="1"/>
  <c r="H119" i="3"/>
  <c r="H120" i="3" s="1"/>
  <c r="E122" i="3" l="1"/>
  <c r="E121" i="3"/>
  <c r="AA14" i="3" l="1"/>
  <c r="AH17" i="3"/>
  <c r="AG17" i="3"/>
  <c r="AF17" i="3"/>
  <c r="AE17" i="3"/>
  <c r="AD17" i="3"/>
  <c r="AC17" i="3"/>
  <c r="AB17" i="3"/>
  <c r="AA17" i="3"/>
  <c r="AF108" i="2"/>
  <c r="AE108" i="2"/>
  <c r="AD108" i="2"/>
  <c r="AC108" i="2"/>
  <c r="AB108" i="2"/>
  <c r="AF104" i="2"/>
  <c r="AE104" i="2"/>
  <c r="AD104" i="2"/>
  <c r="AC104" i="2"/>
  <c r="AB104" i="2"/>
  <c r="AF102" i="2"/>
  <c r="AE102" i="2"/>
  <c r="AD102" i="2"/>
  <c r="AC102" i="2"/>
  <c r="AB102" i="2"/>
  <c r="AF100" i="2"/>
  <c r="AE100" i="2"/>
  <c r="AD100" i="2"/>
  <c r="AC100" i="2"/>
  <c r="AB100" i="2"/>
  <c r="AF98" i="2"/>
  <c r="AE98" i="2"/>
  <c r="AD98" i="2"/>
  <c r="AC98" i="2"/>
  <c r="AB98" i="2"/>
  <c r="AF85" i="2"/>
  <c r="AE85" i="2"/>
  <c r="AD85" i="2"/>
  <c r="AC85" i="2"/>
  <c r="AB85" i="2"/>
  <c r="AA108" i="2"/>
  <c r="AA104" i="2"/>
  <c r="AA102" i="2"/>
  <c r="AA100" i="2"/>
  <c r="AA98" i="2"/>
  <c r="AA85" i="2"/>
  <c r="AF62" i="2"/>
  <c r="AE62" i="2"/>
  <c r="AD62" i="2"/>
  <c r="AC62" i="2"/>
  <c r="AB62" i="2"/>
  <c r="AA62" i="2"/>
  <c r="AF17" i="2"/>
  <c r="AE17" i="2"/>
  <c r="AD17" i="2"/>
  <c r="AC17" i="2"/>
  <c r="AB17" i="2"/>
  <c r="AA17" i="2"/>
  <c r="T141" i="2"/>
  <c r="S135" i="2"/>
  <c r="S122" i="2"/>
  <c r="S133" i="2"/>
  <c r="H133" i="2"/>
  <c r="AA45" i="2"/>
  <c r="T120" i="2"/>
  <c r="S120" i="2"/>
  <c r="Q120" i="2"/>
  <c r="L120" i="2"/>
  <c r="K120" i="2"/>
  <c r="I120" i="2"/>
  <c r="H120" i="2"/>
  <c r="AE120" i="2" l="1"/>
  <c r="AC120" i="2"/>
  <c r="AD120" i="2"/>
  <c r="AA120" i="2"/>
  <c r="AB120" i="2"/>
  <c r="AF120" i="2"/>
</calcChain>
</file>

<file path=xl/sharedStrings.xml><?xml version="1.0" encoding="utf-8"?>
<sst xmlns="http://schemas.openxmlformats.org/spreadsheetml/2006/main" count="4666" uniqueCount="135">
  <si>
    <t>DATA PELAYANAN RI RSD Dr.SOEBANDI JEMBER</t>
  </si>
  <si>
    <t>NO</t>
  </si>
  <si>
    <t>PELAYANAN</t>
  </si>
  <si>
    <t>RAWAT INAP</t>
  </si>
  <si>
    <t>KLAS PERAWATAN</t>
  </si>
  <si>
    <t>PERIODE</t>
  </si>
  <si>
    <t>TT (T)</t>
  </si>
  <si>
    <t>PX AWAL</t>
  </si>
  <si>
    <t>PX MASUK</t>
  </si>
  <si>
    <t>PX PINDAHAN</t>
  </si>
  <si>
    <t>JUMLAH (1+2+3)</t>
  </si>
  <si>
    <t>PX DI PINDAHKAN</t>
  </si>
  <si>
    <t>PX KELUAR HIDUP</t>
  </si>
  <si>
    <t>PX MATI</t>
  </si>
  <si>
    <t>KURANG 48 JAM</t>
  </si>
  <si>
    <t>LEBIH 48 JAM</t>
  </si>
  <si>
    <t>JUMLAH (5+6+7)</t>
  </si>
  <si>
    <t>LAMA DI RAWAT</t>
  </si>
  <si>
    <t>PX KELUAR/MASUK HR SAMA</t>
  </si>
  <si>
    <t>HARI PERAWATAN</t>
  </si>
  <si>
    <t xml:space="preserve">Px AKHIR </t>
  </si>
  <si>
    <t>KUNJUNGN</t>
  </si>
  <si>
    <t xml:space="preserve">O               </t>
  </si>
  <si>
    <t>BOR (O/T)</t>
  </si>
  <si>
    <t xml:space="preserve">LOS            </t>
  </si>
  <si>
    <t xml:space="preserve">TOI            </t>
  </si>
  <si>
    <t xml:space="preserve">BTO           </t>
  </si>
  <si>
    <t xml:space="preserve"> (TT terpakai)</t>
  </si>
  <si>
    <t>(75%-85%)</t>
  </si>
  <si>
    <t>(3-12 hari)</t>
  </si>
  <si>
    <t xml:space="preserve"> (1-3 hr)</t>
  </si>
  <si>
    <t>(30 px)</t>
  </si>
  <si>
    <t>RAWAT INAP UMUM</t>
  </si>
  <si>
    <t>ADENIUM/ASTER II</t>
  </si>
  <si>
    <t>III</t>
  </si>
  <si>
    <t>ADENIUM</t>
  </si>
  <si>
    <t>ANTURIUM</t>
  </si>
  <si>
    <t>TULIP</t>
  </si>
  <si>
    <t>II</t>
  </si>
  <si>
    <t>ASTER</t>
  </si>
  <si>
    <t>ISOLASI</t>
  </si>
  <si>
    <t>MELATI</t>
  </si>
  <si>
    <t>ATAS III</t>
  </si>
  <si>
    <t>BAWAH III</t>
  </si>
  <si>
    <t>SERUNI</t>
  </si>
  <si>
    <t>MAWAR</t>
  </si>
  <si>
    <t>GARDENA</t>
  </si>
  <si>
    <t>BOGENVILE</t>
  </si>
  <si>
    <t>I</t>
  </si>
  <si>
    <t>ALAMANDA</t>
  </si>
  <si>
    <t>CATHALIA</t>
  </si>
  <si>
    <t>CA ISOLASI</t>
  </si>
  <si>
    <t>CATALYA ATAS</t>
  </si>
  <si>
    <t>CATALYA BAWAH</t>
  </si>
  <si>
    <t>NUSA INDAH</t>
  </si>
  <si>
    <t>VIP</t>
  </si>
  <si>
    <t>SAKURA NON COVID</t>
  </si>
  <si>
    <t>TB MDR II</t>
  </si>
  <si>
    <t>TB MDR III</t>
  </si>
  <si>
    <t>TB PARU II</t>
  </si>
  <si>
    <t>TB PARU III</t>
  </si>
  <si>
    <t>SAKURA</t>
  </si>
  <si>
    <t>ANGGREK</t>
  </si>
  <si>
    <t>LAVENDER</t>
  </si>
  <si>
    <t>DAHLIA IBU</t>
  </si>
  <si>
    <t>TOTAL RAWAT INAP UMUM</t>
  </si>
  <si>
    <t>SK KHUSUS COVID</t>
  </si>
  <si>
    <t>TT</t>
  </si>
  <si>
    <t xml:space="preserve">BOR       </t>
  </si>
  <si>
    <t>PERINATOLOGI</t>
  </si>
  <si>
    <t>RICU ED</t>
  </si>
  <si>
    <t>TOTAL ISOLASI</t>
  </si>
  <si>
    <t>PERISTI</t>
  </si>
  <si>
    <t>DAHLIA BAYI</t>
  </si>
  <si>
    <t>TOTAL PERISTI</t>
  </si>
  <si>
    <t>INTENSIVE</t>
  </si>
  <si>
    <t>ICU</t>
  </si>
  <si>
    <t>ICCU</t>
  </si>
  <si>
    <t>PICU</t>
  </si>
  <si>
    <t>NICU</t>
  </si>
  <si>
    <t>ICU MEDICAL</t>
  </si>
  <si>
    <t>HCU PERIN</t>
  </si>
  <si>
    <t>BERSALIN</t>
  </si>
  <si>
    <t>ROI</t>
  </si>
  <si>
    <t>TOTAL INTENSIVE</t>
  </si>
  <si>
    <t>TOTAL RS</t>
  </si>
  <si>
    <t>JEMBER, 1 MARET 2024</t>
  </si>
  <si>
    <t>MENGETAHUI</t>
  </si>
  <si>
    <t>Plt. DIREKTUR,</t>
  </si>
  <si>
    <t>dr. LILIK LAILIYAH. M.Kes</t>
  </si>
  <si>
    <t>NIP. 19651028 199602 2 001</t>
  </si>
  <si>
    <t>s/e</t>
  </si>
  <si>
    <t>v/f*100</t>
  </si>
  <si>
    <t>S/L+M</t>
  </si>
  <si>
    <t>((F-V)*E)/(LM)</t>
  </si>
  <si>
    <t>L+M/F</t>
  </si>
  <si>
    <t>BULAN  : FEBRUARI 2025</t>
  </si>
  <si>
    <t>BULAN  : MARET 2025</t>
  </si>
  <si>
    <t>AWAL</t>
  </si>
  <si>
    <t>MASUK</t>
  </si>
  <si>
    <t>PINDAHAN</t>
  </si>
  <si>
    <t>DIPINDAHKAN</t>
  </si>
  <si>
    <t>KLUAR HIDUP</t>
  </si>
  <si>
    <t>UMUM</t>
  </si>
  <si>
    <t>DIPINDHKAN</t>
  </si>
  <si>
    <t>LD</t>
  </si>
  <si>
    <t>HP</t>
  </si>
  <si>
    <t>AKHIR</t>
  </si>
  <si>
    <t>BULAN  : APRIL 2025</t>
  </si>
  <si>
    <t>BULAN  : JULI 2025</t>
  </si>
  <si>
    <t>BULAN  : AGUSTUS 2025</t>
  </si>
  <si>
    <t>BULAN  : SEPTEMBER 2025</t>
  </si>
  <si>
    <t>PAV</t>
  </si>
  <si>
    <t>BULAN  : OKTOBER 2025</t>
  </si>
  <si>
    <t>BULAN  : NOVEMBER 2025</t>
  </si>
  <si>
    <t>ATAS ISOLASI</t>
  </si>
  <si>
    <t>BULAN  : DESEMBER 2025</t>
  </si>
  <si>
    <t>vip</t>
  </si>
  <si>
    <t>i</t>
  </si>
  <si>
    <t>ii</t>
  </si>
  <si>
    <t>iii</t>
  </si>
  <si>
    <t>PAVILIUN</t>
  </si>
  <si>
    <t>BULAN  : JANUARI - DESEMBER 2025</t>
  </si>
  <si>
    <t>TOTAL NUSA INDAH DAN ANGGREK</t>
  </si>
  <si>
    <t>TOTAL RAWAT INAP UMUM III</t>
  </si>
  <si>
    <t>TOTAL RAWAT INAP UMUM II</t>
  </si>
  <si>
    <t>CATALYA</t>
  </si>
  <si>
    <t>TOTAL RAWAT INAP UMUM I</t>
  </si>
  <si>
    <t>BULAN  : JANUARI 2026</t>
  </si>
  <si>
    <t>BULAN  : FEBRUARI 2026</t>
  </si>
  <si>
    <t>BULAN  : MARET 2026</t>
  </si>
  <si>
    <t>BULAN  : JANUARI - MARET 2026</t>
  </si>
  <si>
    <t>BULAN  : APRIL 2026</t>
  </si>
  <si>
    <t>BULAN  : MEI 2026</t>
  </si>
  <si>
    <t>BULAN  :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</si>
</sst>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1"/>
      <color theme="8" tint="0.59999389629810485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4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2"/>
      <color theme="0"/>
      <name val="Calibri"/>
      <family val="2"/>
      <charset val="1"/>
      <scheme val="minor"/>
    </font>
    <font>
      <b/>
      <sz val="12"/>
      <color theme="0"/>
      <name val="Arial"/>
      <family val="2"/>
    </font>
    <font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2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1" fillId="4" borderId="1" xfId="0" applyNumberFormat="1" applyFont="1" applyFill="1" applyBorder="1" applyAlignment="1">
      <alignment horizontal="center"/>
    </xf>
    <xf numFmtId="2" fontId="12" fillId="5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0" fillId="4" borderId="1" xfId="0" applyNumberFormat="1" applyFont="1" applyFill="1" applyBorder="1" applyAlignment="1">
      <alignment horizontal="center"/>
    </xf>
    <xf numFmtId="2" fontId="10" fillId="5" borderId="1" xfId="0" applyNumberFormat="1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2" fontId="5" fillId="8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2" fontId="1" fillId="0" borderId="1" xfId="0" applyNumberFormat="1" applyFont="1" applyBorder="1" applyAlignment="1" applyProtection="1">
      <alignment horizontal="center" vertical="center"/>
      <protection hidden="1"/>
    </xf>
    <xf numFmtId="2" fontId="5" fillId="4" borderId="1" xfId="0" applyNumberFormat="1" applyFont="1" applyFill="1" applyBorder="1" applyAlignment="1" applyProtection="1">
      <alignment horizontal="center" vertical="center"/>
      <protection hidden="1"/>
    </xf>
    <xf numFmtId="2" fontId="5" fillId="0" borderId="1" xfId="0" applyNumberFormat="1" applyFont="1" applyBorder="1" applyAlignment="1" applyProtection="1">
      <alignment horizontal="center" vertical="center"/>
      <protection hidden="1"/>
    </xf>
    <xf numFmtId="2" fontId="1" fillId="5" borderId="1" xfId="0" applyNumberFormat="1" applyFont="1" applyFill="1" applyBorder="1" applyAlignment="1" applyProtection="1">
      <alignment horizontal="center"/>
      <protection hidden="1"/>
    </xf>
    <xf numFmtId="2" fontId="5" fillId="5" borderId="1" xfId="0" applyNumberFormat="1" applyFont="1" applyFill="1" applyBorder="1" applyAlignment="1" applyProtection="1">
      <alignment horizontal="center"/>
      <protection hidden="1"/>
    </xf>
    <xf numFmtId="2" fontId="1" fillId="0" borderId="1" xfId="0" applyNumberFormat="1" applyFont="1" applyBorder="1" applyAlignment="1" applyProtection="1">
      <alignment horizontal="center"/>
      <protection hidden="1"/>
    </xf>
    <xf numFmtId="2" fontId="5" fillId="4" borderId="1" xfId="0" applyNumberFormat="1" applyFont="1" applyFill="1" applyBorder="1" applyAlignment="1" applyProtection="1">
      <alignment horizontal="center"/>
      <protection hidden="1"/>
    </xf>
    <xf numFmtId="2" fontId="5" fillId="0" borderId="1" xfId="0" applyNumberFormat="1" applyFont="1" applyBorder="1" applyAlignment="1" applyProtection="1">
      <alignment horizontal="center"/>
      <protection hidden="1"/>
    </xf>
    <xf numFmtId="2" fontId="0" fillId="4" borderId="1" xfId="0" applyNumberFormat="1" applyFill="1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2" fontId="1" fillId="3" borderId="1" xfId="0" applyNumberFormat="1" applyFont="1" applyFill="1" applyBorder="1" applyAlignment="1" applyProtection="1">
      <alignment horizontal="center"/>
      <protection hidden="1"/>
    </xf>
    <xf numFmtId="2" fontId="0" fillId="5" borderId="1" xfId="0" applyNumberFormat="1" applyFill="1" applyBorder="1" applyAlignment="1" applyProtection="1">
      <alignment horizontal="center"/>
      <protection hidden="1"/>
    </xf>
    <xf numFmtId="2" fontId="5" fillId="6" borderId="1" xfId="0" applyNumberFormat="1" applyFont="1" applyFill="1" applyBorder="1" applyAlignment="1" applyProtection="1">
      <alignment horizontal="center"/>
      <protection hidden="1"/>
    </xf>
    <xf numFmtId="2" fontId="6" fillId="3" borderId="1" xfId="0" applyNumberFormat="1" applyFont="1" applyFill="1" applyBorder="1" applyAlignment="1" applyProtection="1">
      <alignment horizontal="center" vertical="center" wrapText="1"/>
      <protection hidden="1"/>
    </xf>
    <xf numFmtId="2" fontId="5" fillId="0" borderId="0" xfId="0" applyNumberFormat="1" applyFont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0" borderId="0" xfId="0" applyAlignment="1" applyProtection="1">
      <alignment vertical="center"/>
      <protection hidden="1"/>
    </xf>
    <xf numFmtId="2" fontId="0" fillId="8" borderId="1" xfId="0" applyNumberFormat="1" applyFill="1" applyBorder="1" applyAlignment="1" applyProtection="1">
      <alignment horizontal="center"/>
      <protection hidden="1"/>
    </xf>
    <xf numFmtId="2" fontId="5" fillId="8" borderId="1" xfId="0" applyNumberFormat="1" applyFont="1" applyFill="1" applyBorder="1" applyAlignment="1" applyProtection="1">
      <alignment horizontal="center"/>
      <protection hidden="1"/>
    </xf>
    <xf numFmtId="0" fontId="8" fillId="4" borderId="1" xfId="0" applyFont="1" applyFill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8" fillId="5" borderId="1" xfId="0" applyFont="1" applyFill="1" applyBorder="1" applyAlignment="1" applyProtection="1">
      <alignment horizontal="center"/>
      <protection hidden="1"/>
    </xf>
    <xf numFmtId="0" fontId="8" fillId="4" borderId="1" xfId="0" applyFont="1" applyFill="1" applyBorder="1" applyAlignment="1" applyProtection="1">
      <alignment horizontal="center" vertical="center"/>
      <protection hidden="1"/>
    </xf>
    <xf numFmtId="0" fontId="8" fillId="6" borderId="1" xfId="0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5" fillId="8" borderId="1" xfId="0" applyFont="1" applyFill="1" applyBorder="1" applyAlignment="1" applyProtection="1">
      <alignment horizontal="center"/>
      <protection hidden="1"/>
    </xf>
    <xf numFmtId="0" fontId="8" fillId="8" borderId="1" xfId="0" applyFont="1" applyFill="1" applyBorder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8" fillId="0" borderId="0" xfId="0" applyFont="1" applyAlignment="1" applyProtection="1">
      <alignment horizontal="center"/>
      <protection hidden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19" fillId="4" borderId="0" xfId="0" applyFont="1" applyFill="1"/>
    <xf numFmtId="0" fontId="11" fillId="4" borderId="0" xfId="0" applyFont="1" applyFill="1"/>
    <xf numFmtId="0" fontId="20" fillId="4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6" borderId="0" xfId="0" applyFill="1"/>
    <xf numFmtId="0" fontId="13" fillId="6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2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19" fillId="4" borderId="0" xfId="0" applyFont="1" applyFill="1" applyProtection="1">
      <protection hidden="1"/>
    </xf>
    <xf numFmtId="0" fontId="11" fillId="4" borderId="0" xfId="0" applyFont="1" applyFill="1" applyProtection="1">
      <protection hidden="1"/>
    </xf>
    <xf numFmtId="0" fontId="20" fillId="4" borderId="0" xfId="0" applyFont="1" applyFill="1" applyAlignment="1" applyProtection="1">
      <alignment horizontal="center"/>
      <protection hidden="1"/>
    </xf>
    <xf numFmtId="0" fontId="7" fillId="3" borderId="1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8" fillId="4" borderId="1" xfId="0" applyFont="1" applyFill="1" applyBorder="1" applyAlignment="1" applyProtection="1">
      <alignment horizontal="center" vertical="center" wrapText="1"/>
      <protection hidden="1"/>
    </xf>
    <xf numFmtId="0" fontId="8" fillId="4" borderId="3" xfId="0" applyFont="1" applyFill="1" applyBorder="1" applyAlignment="1" applyProtection="1">
      <alignment horizontal="center"/>
      <protection hidden="1"/>
    </xf>
    <xf numFmtId="0" fontId="9" fillId="0" borderId="1" xfId="0" applyFont="1" applyBorder="1" applyAlignment="1" applyProtection="1">
      <alignment horizontal="center"/>
      <protection hidden="1"/>
    </xf>
    <xf numFmtId="0" fontId="8" fillId="5" borderId="3" xfId="0" applyFont="1" applyFill="1" applyBorder="1" applyAlignment="1" applyProtection="1">
      <alignment horizontal="center"/>
      <protection hidden="1"/>
    </xf>
    <xf numFmtId="0" fontId="8" fillId="3" borderId="1" xfId="0" applyFont="1" applyFill="1" applyBorder="1" applyAlignment="1" applyProtection="1">
      <alignment horizontal="center"/>
      <protection hidden="1"/>
    </xf>
    <xf numFmtId="0" fontId="9" fillId="3" borderId="1" xfId="0" applyFont="1" applyFill="1" applyBorder="1" applyAlignment="1" applyProtection="1">
      <alignment horizontal="center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9" fillId="6" borderId="1" xfId="0" applyFont="1" applyFill="1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/>
      <protection hidden="1"/>
    </xf>
    <xf numFmtId="2" fontId="5" fillId="0" borderId="0" xfId="0" applyNumberFormat="1" applyFont="1" applyAlignment="1" applyProtection="1">
      <alignment horizontal="center"/>
      <protection hidden="1"/>
    </xf>
    <xf numFmtId="0" fontId="9" fillId="8" borderId="1" xfId="0" applyFont="1" applyFill="1" applyBorder="1" applyAlignment="1" applyProtection="1">
      <alignment horizontal="center"/>
      <protection hidden="1"/>
    </xf>
    <xf numFmtId="0" fontId="0" fillId="4" borderId="0" xfId="0" applyFill="1"/>
    <xf numFmtId="0" fontId="0" fillId="0" borderId="6" xfId="0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2" fontId="5" fillId="3" borderId="1" xfId="0" applyNumberFormat="1" applyFont="1" applyFill="1" applyBorder="1" applyAlignment="1" applyProtection="1">
      <alignment horizontal="center"/>
      <protection hidden="1"/>
    </xf>
    <xf numFmtId="2" fontId="1" fillId="6" borderId="1" xfId="0" applyNumberFormat="1" applyFont="1" applyFill="1" applyBorder="1" applyAlignment="1" applyProtection="1">
      <alignment horizontal="center"/>
      <protection hidden="1"/>
    </xf>
    <xf numFmtId="0" fontId="8" fillId="3" borderId="3" xfId="0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8" fillId="6" borderId="3" xfId="0" applyFont="1" applyFill="1" applyBorder="1" applyAlignment="1">
      <alignment horizontal="center"/>
    </xf>
    <xf numFmtId="0" fontId="8" fillId="4" borderId="3" xfId="0" applyFont="1" applyFill="1" applyBorder="1" applyAlignment="1" applyProtection="1">
      <alignment horizontal="center" vertical="center"/>
      <protection hidden="1"/>
    </xf>
    <xf numFmtId="0" fontId="8" fillId="4" borderId="1" xfId="0" applyFont="1" applyFill="1" applyBorder="1" applyAlignment="1" applyProtection="1">
      <alignment vertical="center"/>
      <protection hidden="1"/>
    </xf>
    <xf numFmtId="0" fontId="8" fillId="0" borderId="1" xfId="0" applyFont="1" applyBorder="1" applyProtection="1">
      <protection hidden="1"/>
    </xf>
    <xf numFmtId="0" fontId="8" fillId="0" borderId="8" xfId="0" applyFont="1" applyBorder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vertical="center"/>
      <protection hidden="1"/>
    </xf>
    <xf numFmtId="0" fontId="8" fillId="4" borderId="8" xfId="0" applyFont="1" applyFill="1" applyBorder="1" applyAlignment="1" applyProtection="1">
      <alignment vertical="center"/>
      <protection hidden="1"/>
    </xf>
    <xf numFmtId="0" fontId="8" fillId="4" borderId="6" xfId="0" applyFont="1" applyFill="1" applyBorder="1" applyAlignment="1" applyProtection="1">
      <alignment vertical="center"/>
      <protection hidden="1"/>
    </xf>
    <xf numFmtId="0" fontId="8" fillId="4" borderId="7" xfId="0" applyFont="1" applyFill="1" applyBorder="1" applyAlignment="1" applyProtection="1">
      <alignment vertical="center"/>
      <protection hidden="1"/>
    </xf>
    <xf numFmtId="0" fontId="8" fillId="3" borderId="1" xfId="0" applyFont="1" applyFill="1" applyBorder="1" applyProtection="1">
      <protection hidden="1"/>
    </xf>
    <xf numFmtId="0" fontId="0" fillId="4" borderId="1" xfId="0" applyFill="1" applyBorder="1" applyAlignment="1" applyProtection="1">
      <alignment vertical="center"/>
      <protection hidden="1"/>
    </xf>
    <xf numFmtId="0" fontId="8" fillId="4" borderId="1" xfId="0" applyFont="1" applyFill="1" applyBorder="1" applyAlignment="1" applyProtection="1">
      <alignment vertical="center" wrapText="1"/>
      <protection hidden="1"/>
    </xf>
    <xf numFmtId="0" fontId="8" fillId="5" borderId="1" xfId="0" applyFont="1" applyFill="1" applyBorder="1" applyProtection="1">
      <protection hidden="1"/>
    </xf>
    <xf numFmtId="0" fontId="8" fillId="4" borderId="3" xfId="0" applyFont="1" applyFill="1" applyBorder="1" applyProtection="1">
      <protection hidden="1"/>
    </xf>
    <xf numFmtId="0" fontId="8" fillId="3" borderId="3" xfId="0" applyFont="1" applyFill="1" applyBorder="1" applyProtection="1">
      <protection hidden="1"/>
    </xf>
    <xf numFmtId="0" fontId="8" fillId="4" borderId="1" xfId="0" applyFont="1" applyFill="1" applyBorder="1" applyProtection="1">
      <protection hidden="1"/>
    </xf>
    <xf numFmtId="0" fontId="8" fillId="0" borderId="1" xfId="0" applyFont="1" applyBorder="1" applyAlignment="1" applyProtection="1">
      <alignment vertical="center" wrapText="1"/>
      <protection hidden="1"/>
    </xf>
    <xf numFmtId="2" fontId="5" fillId="5" borderId="1" xfId="0" applyNumberFormat="1" applyFont="1" applyFill="1" applyBorder="1" applyProtection="1">
      <protection hidden="1"/>
    </xf>
    <xf numFmtId="2" fontId="5" fillId="4" borderId="1" xfId="0" applyNumberFormat="1" applyFont="1" applyFill="1" applyBorder="1" applyProtection="1">
      <protection hidden="1"/>
    </xf>
    <xf numFmtId="0" fontId="9" fillId="0" borderId="1" xfId="0" applyFont="1" applyBorder="1" applyProtection="1">
      <protection hidden="1"/>
    </xf>
    <xf numFmtId="0" fontId="9" fillId="3" borderId="1" xfId="0" applyFont="1" applyFill="1" applyBorder="1" applyProtection="1">
      <protection hidden="1"/>
    </xf>
    <xf numFmtId="0" fontId="0" fillId="6" borderId="2" xfId="0" applyFill="1" applyBorder="1" applyProtection="1">
      <protection hidden="1"/>
    </xf>
    <xf numFmtId="0" fontId="0" fillId="6" borderId="4" xfId="0" applyFill="1" applyBorder="1" applyProtection="1">
      <protection hidden="1"/>
    </xf>
    <xf numFmtId="0" fontId="0" fillId="6" borderId="3" xfId="0" applyFill="1" applyBorder="1" applyProtection="1">
      <protection hidden="1"/>
    </xf>
    <xf numFmtId="0" fontId="8" fillId="0" borderId="6" xfId="0" applyFont="1" applyBorder="1" applyAlignment="1" applyProtection="1">
      <alignment vertical="center"/>
      <protection hidden="1"/>
    </xf>
    <xf numFmtId="0" fontId="8" fillId="0" borderId="8" xfId="0" applyFont="1" applyBorder="1" applyProtection="1">
      <protection hidden="1"/>
    </xf>
    <xf numFmtId="0" fontId="8" fillId="0" borderId="3" xfId="0" applyFont="1" applyBorder="1" applyAlignment="1" applyProtection="1">
      <alignment horizontal="center" wrapText="1"/>
      <protection hidden="1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2" fontId="0" fillId="0" borderId="0" xfId="0" applyNumberFormat="1" applyProtection="1">
      <protection hidden="1"/>
    </xf>
    <xf numFmtId="0" fontId="8" fillId="0" borderId="8" xfId="0" applyFont="1" applyBorder="1" applyAlignment="1">
      <alignment vertical="center"/>
    </xf>
    <xf numFmtId="0" fontId="21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3" fillId="6" borderId="1" xfId="0" applyFont="1" applyFill="1" applyBorder="1"/>
    <xf numFmtId="0" fontId="8" fillId="4" borderId="3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 vertical="center"/>
    </xf>
    <xf numFmtId="0" fontId="15" fillId="0" borderId="8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21" fillId="4" borderId="1" xfId="0" applyFont="1" applyFill="1" applyBorder="1" applyAlignment="1">
      <alignment vertical="center"/>
    </xf>
    <xf numFmtId="0" fontId="21" fillId="4" borderId="8" xfId="0" applyFont="1" applyFill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0" fontId="2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3" fillId="6" borderId="1" xfId="0" applyFont="1" applyFill="1" applyBorder="1" applyAlignment="1">
      <alignment horizontal="left"/>
    </xf>
    <xf numFmtId="2" fontId="5" fillId="9" borderId="1" xfId="0" applyNumberFormat="1" applyFont="1" applyFill="1" applyBorder="1" applyAlignment="1">
      <alignment horizontal="center"/>
    </xf>
    <xf numFmtId="0" fontId="8" fillId="4" borderId="8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13" fillId="6" borderId="1" xfId="0" applyFont="1" applyFill="1" applyBorder="1" applyAlignment="1" applyProtection="1">
      <alignment horizontal="center"/>
      <protection hidden="1"/>
    </xf>
    <xf numFmtId="0" fontId="8" fillId="4" borderId="8" xfId="0" applyFont="1" applyFill="1" applyBorder="1" applyAlignment="1" applyProtection="1">
      <alignment vertical="center" wrapText="1"/>
      <protection hidden="1"/>
    </xf>
    <xf numFmtId="0" fontId="8" fillId="4" borderId="6" xfId="0" applyFont="1" applyFill="1" applyBorder="1" applyAlignment="1" applyProtection="1">
      <alignment vertical="center" wrapText="1"/>
      <protection hidden="1"/>
    </xf>
    <xf numFmtId="0" fontId="21" fillId="4" borderId="1" xfId="0" applyFont="1" applyFill="1" applyBorder="1" applyAlignment="1" applyProtection="1">
      <alignment vertical="center"/>
      <protection hidden="1"/>
    </xf>
    <xf numFmtId="0" fontId="21" fillId="4" borderId="8" xfId="0" applyFont="1" applyFill="1" applyBorder="1" applyAlignment="1" applyProtection="1">
      <alignment vertical="center"/>
      <protection hidden="1"/>
    </xf>
    <xf numFmtId="0" fontId="8" fillId="4" borderId="3" xfId="0" applyFont="1" applyFill="1" applyBorder="1" applyAlignment="1" applyProtection="1">
      <alignment horizontal="center" wrapText="1"/>
      <protection hidden="1"/>
    </xf>
    <xf numFmtId="0" fontId="21" fillId="0" borderId="1" xfId="0" applyFont="1" applyBorder="1" applyAlignment="1" applyProtection="1">
      <alignment horizontal="center"/>
      <protection hidden="1"/>
    </xf>
    <xf numFmtId="0" fontId="21" fillId="4" borderId="1" xfId="0" applyFont="1" applyFill="1" applyBorder="1" applyAlignment="1" applyProtection="1">
      <alignment horizontal="center"/>
      <protection hidden="1"/>
    </xf>
    <xf numFmtId="0" fontId="21" fillId="0" borderId="1" xfId="0" applyFont="1" applyBorder="1" applyAlignment="1" applyProtection="1">
      <alignment vertical="center" wrapText="1"/>
      <protection hidden="1"/>
    </xf>
    <xf numFmtId="0" fontId="8" fillId="0" borderId="6" xfId="0" applyFont="1" applyBorder="1" applyAlignment="1" applyProtection="1">
      <alignment vertical="center" wrapText="1"/>
      <protection hidden="1"/>
    </xf>
    <xf numFmtId="0" fontId="21" fillId="0" borderId="8" xfId="0" applyFont="1" applyBorder="1" applyAlignment="1" applyProtection="1">
      <alignment vertical="center"/>
      <protection hidden="1"/>
    </xf>
    <xf numFmtId="0" fontId="8" fillId="4" borderId="7" xfId="0" applyFont="1" applyFill="1" applyBorder="1" applyAlignment="1" applyProtection="1">
      <alignment vertical="center" wrapText="1"/>
      <protection hidden="1"/>
    </xf>
    <xf numFmtId="0" fontId="8" fillId="4" borderId="7" xfId="0" applyFont="1" applyFill="1" applyBorder="1" applyAlignment="1" applyProtection="1">
      <alignment horizontal="center"/>
      <protection hidden="1"/>
    </xf>
    <xf numFmtId="0" fontId="8" fillId="0" borderId="8" xfId="0" applyFont="1" applyBorder="1" applyAlignment="1" applyProtection="1">
      <alignment horizontal="center"/>
      <protection hidden="1"/>
    </xf>
    <xf numFmtId="0" fontId="13" fillId="6" borderId="1" xfId="0" applyFont="1" applyFill="1" applyBorder="1" applyAlignment="1" applyProtection="1">
      <alignment horizontal="left"/>
      <protection hidden="1"/>
    </xf>
    <xf numFmtId="0" fontId="15" fillId="0" borderId="8" xfId="0" applyFont="1" applyBorder="1" applyAlignment="1" applyProtection="1">
      <alignment vertical="center"/>
      <protection hidden="1"/>
    </xf>
    <xf numFmtId="0" fontId="15" fillId="0" borderId="6" xfId="0" applyFont="1" applyBorder="1" applyAlignment="1" applyProtection="1">
      <alignment vertical="center"/>
      <protection hidden="1"/>
    </xf>
    <xf numFmtId="0" fontId="15" fillId="0" borderId="7" xfId="0" applyFont="1" applyBorder="1" applyAlignment="1" applyProtection="1">
      <alignment vertical="center"/>
      <protection hidden="1"/>
    </xf>
    <xf numFmtId="2" fontId="1" fillId="8" borderId="1" xfId="0" applyNumberFormat="1" applyFont="1" applyFill="1" applyBorder="1" applyAlignment="1" applyProtection="1">
      <alignment horizont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0" fontId="5" fillId="4" borderId="1" xfId="0" applyFont="1" applyFill="1" applyBorder="1" applyAlignment="1">
      <alignment horizontal="center"/>
    </xf>
    <xf numFmtId="0" fontId="0" fillId="4" borderId="0" xfId="0" applyFill="1" applyProtection="1">
      <protection hidden="1"/>
    </xf>
    <xf numFmtId="0" fontId="0" fillId="0" borderId="1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0" fontId="6" fillId="3" borderId="1" xfId="0" applyFont="1" applyFill="1" applyBorder="1" applyAlignment="1" applyProtection="1">
      <alignment horizontal="center" vertical="center" textRotation="90" wrapText="1"/>
      <protection hidden="1"/>
    </xf>
    <xf numFmtId="0" fontId="6" fillId="3" borderId="1" xfId="0" applyFont="1" applyFill="1" applyBorder="1" applyAlignment="1" applyProtection="1">
      <alignment horizontal="center" vertical="center"/>
      <protection hidden="1"/>
    </xf>
    <xf numFmtId="0" fontId="8" fillId="4" borderId="8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 vertical="center"/>
      <protection hidden="1"/>
    </xf>
    <xf numFmtId="0" fontId="8" fillId="4" borderId="7" xfId="0" applyFont="1" applyFill="1" applyBorder="1" applyAlignment="1" applyProtection="1">
      <alignment horizontal="center" vertical="center"/>
      <protection hidden="1"/>
    </xf>
    <xf numFmtId="0" fontId="8" fillId="4" borderId="1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8" fillId="0" borderId="6" xfId="0" applyFont="1" applyBorder="1" applyAlignment="1" applyProtection="1">
      <alignment horizontal="center" vertical="center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2" fontId="6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 textRotation="90" wrapText="1"/>
      <protection hidden="1"/>
    </xf>
    <xf numFmtId="0" fontId="7" fillId="3" borderId="1" xfId="0" applyFont="1" applyFill="1" applyBorder="1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 wrapText="1"/>
      <protection hidden="1"/>
    </xf>
    <xf numFmtId="0" fontId="6" fillId="3" borderId="6" xfId="0" applyFont="1" applyFill="1" applyBorder="1" applyAlignment="1" applyProtection="1">
      <alignment horizontal="center" vertical="center" wrapText="1"/>
      <protection hidden="1"/>
    </xf>
    <xf numFmtId="0" fontId="6" fillId="3" borderId="7" xfId="0" applyFont="1" applyFill="1" applyBorder="1" applyAlignment="1" applyProtection="1">
      <alignment horizontal="center" vertical="center" wrapText="1"/>
      <protection hidden="1"/>
    </xf>
    <xf numFmtId="0" fontId="0" fillId="6" borderId="2" xfId="0" applyFill="1" applyBorder="1" applyAlignment="1" applyProtection="1">
      <alignment horizontal="center" vertical="center"/>
      <protection hidden="1"/>
    </xf>
    <xf numFmtId="0" fontId="0" fillId="6" borderId="4" xfId="0" applyFill="1" applyBorder="1" applyAlignment="1" applyProtection="1">
      <alignment horizontal="center" vertical="center"/>
      <protection hidden="1"/>
    </xf>
    <xf numFmtId="0" fontId="0" fillId="6" borderId="3" xfId="0" applyFill="1" applyBorder="1" applyAlignment="1" applyProtection="1">
      <alignment horizontal="center" vertical="center"/>
      <protection hidden="1"/>
    </xf>
    <xf numFmtId="0" fontId="16" fillId="8" borderId="2" xfId="0" applyFont="1" applyFill="1" applyBorder="1" applyAlignment="1" applyProtection="1">
      <alignment horizontal="center" vertical="center"/>
      <protection hidden="1"/>
    </xf>
    <xf numFmtId="0" fontId="16" fillId="8" borderId="4" xfId="0" applyFont="1" applyFill="1" applyBorder="1" applyAlignment="1" applyProtection="1">
      <alignment horizontal="center" vertical="center"/>
      <protection hidden="1"/>
    </xf>
    <xf numFmtId="0" fontId="16" fillId="8" borderId="3" xfId="0" applyFont="1" applyFill="1" applyBorder="1" applyAlignment="1" applyProtection="1">
      <alignment horizontal="center" vertical="center"/>
      <protection hidden="1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16" fillId="8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6" fillId="3" borderId="8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textRotation="90" wrapText="1"/>
    </xf>
    <xf numFmtId="0" fontId="7" fillId="3" borderId="6" xfId="0" applyFont="1" applyFill="1" applyBorder="1" applyAlignment="1">
      <alignment horizontal="center" vertical="center" textRotation="90" wrapText="1"/>
    </xf>
    <xf numFmtId="0" fontId="7" fillId="3" borderId="7" xfId="0" applyFont="1" applyFill="1" applyBorder="1" applyAlignment="1">
      <alignment horizontal="center" vertical="center" textRotation="90" wrapText="1"/>
    </xf>
    <xf numFmtId="2" fontId="6" fillId="3" borderId="8" xfId="0" applyNumberFormat="1" applyFont="1" applyFill="1" applyBorder="1" applyAlignment="1">
      <alignment horizontal="center" vertical="center" wrapText="1"/>
    </xf>
    <xf numFmtId="2" fontId="6" fillId="3" borderId="7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8" borderId="1" xfId="0" applyFont="1" applyFill="1" applyBorder="1" applyAlignment="1" applyProtection="1">
      <alignment horizontal="center" vertical="center"/>
      <protection hidden="1"/>
    </xf>
    <xf numFmtId="0" fontId="0" fillId="6" borderId="2" xfId="0" applyFill="1" applyBorder="1" applyAlignment="1" applyProtection="1">
      <alignment horizontal="center"/>
      <protection hidden="1"/>
    </xf>
    <xf numFmtId="0" fontId="0" fillId="6" borderId="4" xfId="0" applyFill="1" applyBorder="1" applyAlignment="1" applyProtection="1">
      <alignment horizontal="center"/>
      <protection hidden="1"/>
    </xf>
    <xf numFmtId="0" fontId="0" fillId="6" borderId="3" xfId="0" applyFill="1" applyBorder="1" applyAlignment="1" applyProtection="1">
      <alignment horizont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0" fillId="3" borderId="4" xfId="0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13" fillId="6" borderId="1" xfId="0" applyFont="1" applyFill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0"/>
  <sheetViews>
    <sheetView zoomScale="70" zoomScaleNormal="70" workbookViewId="0">
      <pane xSplit="5" ySplit="6" topLeftCell="F58" activePane="bottomRight" state="frozen"/>
      <selection activeCell="E41" sqref="E41"/>
      <selection pane="topRight" activeCell="E41" sqref="E41"/>
      <selection pane="bottomLeft" activeCell="E41" sqref="E41"/>
      <selection pane="bottomRight" activeCell="E78" sqref="E78"/>
    </sheetView>
  </sheetViews>
  <sheetFormatPr defaultRowHeight="15" x14ac:dyDescent="0.25"/>
  <cols>
    <col min="1" max="1" width="4.85546875" customWidth="1"/>
    <col min="2" max="2" width="11.5703125" customWidth="1"/>
    <col min="3" max="3" width="14.28515625" customWidth="1"/>
    <col min="4" max="4" width="17.5703125" bestFit="1" customWidth="1"/>
    <col min="5" max="5" width="6.28515625" customWidth="1"/>
    <col min="6" max="6" width="9.85546875" customWidth="1"/>
    <col min="13" max="13" width="10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128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27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s="31" customFormat="1" ht="31.5" customHeight="1" x14ac:dyDescent="0.25">
      <c r="A7" s="254">
        <v>1</v>
      </c>
      <c r="B7" s="258" t="s">
        <v>32</v>
      </c>
      <c r="C7" s="97" t="s">
        <v>35</v>
      </c>
      <c r="D7" s="185" t="s">
        <v>34</v>
      </c>
      <c r="E7" s="52">
        <v>31</v>
      </c>
      <c r="F7" s="52">
        <v>20</v>
      </c>
      <c r="G7" s="55">
        <v>22</v>
      </c>
      <c r="H7" s="53">
        <v>98</v>
      </c>
      <c r="I7" s="53">
        <v>16</v>
      </c>
      <c r="J7" s="53">
        <v>136</v>
      </c>
      <c r="K7" s="53">
        <v>7</v>
      </c>
      <c r="L7" s="53">
        <v>88</v>
      </c>
      <c r="M7" s="54">
        <v>18</v>
      </c>
      <c r="N7" s="53">
        <v>9</v>
      </c>
      <c r="O7" s="53">
        <v>9</v>
      </c>
      <c r="P7" s="54">
        <v>113</v>
      </c>
      <c r="Q7" s="53">
        <v>405</v>
      </c>
      <c r="R7" s="53">
        <v>1</v>
      </c>
      <c r="S7" s="53">
        <v>652</v>
      </c>
      <c r="T7" s="54">
        <v>23</v>
      </c>
      <c r="U7" s="54">
        <v>106</v>
      </c>
      <c r="V7" s="186">
        <v>21.032258064516128</v>
      </c>
      <c r="W7" s="186">
        <v>105.16129032258064</v>
      </c>
      <c r="X7" s="186">
        <v>6.1509433962264151</v>
      </c>
      <c r="Y7" s="187">
        <v>-0.3018867924528299</v>
      </c>
      <c r="Z7" s="188">
        <v>5.3</v>
      </c>
    </row>
    <row r="8" spans="1:26" ht="15.75" x14ac:dyDescent="0.25">
      <c r="A8" s="254"/>
      <c r="B8" s="258"/>
      <c r="C8" s="17" t="s">
        <v>35</v>
      </c>
      <c r="D8" s="16"/>
      <c r="E8" s="17">
        <v>31</v>
      </c>
      <c r="F8" s="17">
        <v>20</v>
      </c>
      <c r="G8" s="17">
        <v>22</v>
      </c>
      <c r="H8" s="17">
        <v>98</v>
      </c>
      <c r="I8" s="17">
        <v>16</v>
      </c>
      <c r="J8" s="17">
        <v>136</v>
      </c>
      <c r="K8" s="17">
        <v>7</v>
      </c>
      <c r="L8" s="17">
        <v>88</v>
      </c>
      <c r="M8" s="18">
        <v>18</v>
      </c>
      <c r="N8" s="17">
        <v>9</v>
      </c>
      <c r="O8" s="17">
        <v>9</v>
      </c>
      <c r="P8" s="18">
        <v>113</v>
      </c>
      <c r="Q8" s="17">
        <v>405</v>
      </c>
      <c r="R8" s="17">
        <v>1</v>
      </c>
      <c r="S8" s="17">
        <v>652</v>
      </c>
      <c r="T8" s="18">
        <v>23</v>
      </c>
      <c r="U8" s="18">
        <v>106</v>
      </c>
      <c r="V8" s="19">
        <v>21.032258064516128</v>
      </c>
      <c r="W8" s="19">
        <v>105.16129032258064</v>
      </c>
      <c r="X8" s="19">
        <v>6.1509433962264151</v>
      </c>
      <c r="Y8" s="20">
        <v>-0.3018867924528299</v>
      </c>
      <c r="Z8" s="20">
        <v>5.3</v>
      </c>
    </row>
    <row r="9" spans="1:26" ht="15.75" x14ac:dyDescent="0.25">
      <c r="A9" s="256">
        <v>2</v>
      </c>
      <c r="B9" s="258"/>
      <c r="C9" s="11" t="s">
        <v>36</v>
      </c>
      <c r="D9" s="21" t="s">
        <v>34</v>
      </c>
      <c r="E9" s="10">
        <v>31</v>
      </c>
      <c r="F9" s="11">
        <v>16</v>
      </c>
      <c r="G9" s="28">
        <v>14</v>
      </c>
      <c r="H9" s="11">
        <v>90</v>
      </c>
      <c r="I9" s="11">
        <v>40</v>
      </c>
      <c r="J9" s="11">
        <v>144</v>
      </c>
      <c r="K9" s="11">
        <v>6</v>
      </c>
      <c r="L9" s="11">
        <v>106</v>
      </c>
      <c r="M9" s="12">
        <v>18</v>
      </c>
      <c r="N9" s="11">
        <v>7</v>
      </c>
      <c r="O9" s="11">
        <v>11</v>
      </c>
      <c r="P9" s="12">
        <v>130</v>
      </c>
      <c r="Q9" s="11">
        <v>438</v>
      </c>
      <c r="R9" s="11">
        <v>2</v>
      </c>
      <c r="S9" s="11">
        <v>460</v>
      </c>
      <c r="T9" s="12">
        <v>14</v>
      </c>
      <c r="U9" s="12">
        <v>124</v>
      </c>
      <c r="V9" s="13">
        <v>14.838709677419354</v>
      </c>
      <c r="W9" s="13">
        <v>92.741935483870961</v>
      </c>
      <c r="X9" s="13">
        <v>3.7096774193548385</v>
      </c>
      <c r="Y9" s="14">
        <v>0.29032258064516148</v>
      </c>
      <c r="Z9" s="15">
        <v>7.75</v>
      </c>
    </row>
    <row r="10" spans="1:26" ht="15.75" x14ac:dyDescent="0.25">
      <c r="A10" s="256"/>
      <c r="B10" s="258"/>
      <c r="C10" s="17" t="s">
        <v>36</v>
      </c>
      <c r="D10" s="16"/>
      <c r="E10" s="17">
        <v>31</v>
      </c>
      <c r="F10" s="17">
        <v>16</v>
      </c>
      <c r="G10" s="17">
        <v>14</v>
      </c>
      <c r="H10" s="17">
        <v>90</v>
      </c>
      <c r="I10" s="17">
        <v>40</v>
      </c>
      <c r="J10" s="17">
        <v>144</v>
      </c>
      <c r="K10" s="17">
        <v>6</v>
      </c>
      <c r="L10" s="17">
        <v>106</v>
      </c>
      <c r="M10" s="18">
        <v>18</v>
      </c>
      <c r="N10" s="17">
        <v>7</v>
      </c>
      <c r="O10" s="17">
        <v>11</v>
      </c>
      <c r="P10" s="18">
        <v>130</v>
      </c>
      <c r="Q10" s="17">
        <v>438</v>
      </c>
      <c r="R10" s="17">
        <v>2</v>
      </c>
      <c r="S10" s="17">
        <v>460</v>
      </c>
      <c r="T10" s="18">
        <v>14</v>
      </c>
      <c r="U10" s="18">
        <v>124</v>
      </c>
      <c r="V10" s="19">
        <v>14.838709677419354</v>
      </c>
      <c r="W10" s="19">
        <v>92.741935483870961</v>
      </c>
      <c r="X10" s="19">
        <v>3.7096774193548385</v>
      </c>
      <c r="Y10" s="20">
        <v>0.29032258064516148</v>
      </c>
      <c r="Z10" s="20">
        <v>7.75</v>
      </c>
    </row>
    <row r="11" spans="1:26" ht="15.75" x14ac:dyDescent="0.25">
      <c r="A11" s="256">
        <v>3</v>
      </c>
      <c r="B11" s="258"/>
      <c r="C11" s="256"/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 t="e">
        <v>#DIV/0!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258"/>
      <c r="C12" s="256" t="s">
        <v>37</v>
      </c>
      <c r="D12" s="21" t="s">
        <v>34</v>
      </c>
      <c r="E12" s="10">
        <v>31</v>
      </c>
      <c r="F12" s="11">
        <v>12</v>
      </c>
      <c r="G12" s="28">
        <v>10</v>
      </c>
      <c r="H12" s="11">
        <v>88</v>
      </c>
      <c r="I12" s="11">
        <v>6</v>
      </c>
      <c r="J12" s="11">
        <v>104</v>
      </c>
      <c r="K12" s="11">
        <v>11</v>
      </c>
      <c r="L12" s="11">
        <v>82</v>
      </c>
      <c r="M12" s="12">
        <v>3</v>
      </c>
      <c r="N12" s="11">
        <v>2</v>
      </c>
      <c r="O12" s="11">
        <v>1</v>
      </c>
      <c r="P12" s="12">
        <v>96</v>
      </c>
      <c r="Q12" s="11">
        <v>307</v>
      </c>
      <c r="R12" s="11">
        <v>1</v>
      </c>
      <c r="S12" s="11">
        <v>299</v>
      </c>
      <c r="T12" s="12">
        <v>8</v>
      </c>
      <c r="U12" s="12">
        <v>85</v>
      </c>
      <c r="V12" s="13">
        <v>9.6451612903225801</v>
      </c>
      <c r="W12" s="13">
        <v>80.376344086021504</v>
      </c>
      <c r="X12" s="13">
        <v>3.5176470588235293</v>
      </c>
      <c r="Y12" s="14">
        <v>0.85882352941176487</v>
      </c>
      <c r="Z12" s="15">
        <v>7.083333333333333</v>
      </c>
    </row>
    <row r="13" spans="1:26" ht="15.75" x14ac:dyDescent="0.25">
      <c r="A13" s="256"/>
      <c r="B13" s="258"/>
      <c r="C13" s="17" t="s">
        <v>37</v>
      </c>
      <c r="D13" s="16"/>
      <c r="E13" s="17">
        <v>31</v>
      </c>
      <c r="F13" s="17">
        <v>12</v>
      </c>
      <c r="G13" s="17">
        <v>10</v>
      </c>
      <c r="H13" s="17">
        <v>88</v>
      </c>
      <c r="I13" s="17">
        <v>6</v>
      </c>
      <c r="J13" s="17">
        <v>104</v>
      </c>
      <c r="K13" s="17">
        <v>11</v>
      </c>
      <c r="L13" s="17">
        <v>82</v>
      </c>
      <c r="M13" s="18">
        <v>3</v>
      </c>
      <c r="N13" s="17">
        <v>2</v>
      </c>
      <c r="O13" s="17">
        <v>1</v>
      </c>
      <c r="P13" s="18">
        <v>96</v>
      </c>
      <c r="Q13" s="17">
        <v>307</v>
      </c>
      <c r="R13" s="17">
        <v>1</v>
      </c>
      <c r="S13" s="17">
        <v>299</v>
      </c>
      <c r="T13" s="18">
        <v>8</v>
      </c>
      <c r="U13" s="18">
        <v>85</v>
      </c>
      <c r="V13" s="19">
        <v>9.6451612903225801</v>
      </c>
      <c r="W13" s="19">
        <v>80.376344086021504</v>
      </c>
      <c r="X13" s="19">
        <v>3.5176470588235293</v>
      </c>
      <c r="Y13" s="20">
        <v>0.85882352941176487</v>
      </c>
      <c r="Z13" s="20">
        <v>7.083333333333333</v>
      </c>
    </row>
    <row r="14" spans="1:26" ht="15.75" x14ac:dyDescent="0.25">
      <c r="A14" s="256">
        <v>4</v>
      </c>
      <c r="B14" s="258"/>
      <c r="C14" s="254" t="s">
        <v>39</v>
      </c>
      <c r="D14" s="21" t="s">
        <v>38</v>
      </c>
      <c r="E14" s="10">
        <v>31</v>
      </c>
      <c r="F14" s="10">
        <v>2</v>
      </c>
      <c r="G14" s="28">
        <v>2</v>
      </c>
      <c r="H14" s="11">
        <v>13</v>
      </c>
      <c r="I14" s="11">
        <v>7</v>
      </c>
      <c r="J14" s="11">
        <v>22</v>
      </c>
      <c r="K14" s="11">
        <v>8</v>
      </c>
      <c r="L14" s="11">
        <v>13</v>
      </c>
      <c r="M14" s="12">
        <v>0</v>
      </c>
      <c r="N14" s="11">
        <v>0</v>
      </c>
      <c r="O14" s="11">
        <v>0</v>
      </c>
      <c r="P14" s="12">
        <v>21</v>
      </c>
      <c r="Q14" s="11">
        <v>40</v>
      </c>
      <c r="R14" s="11">
        <v>0</v>
      </c>
      <c r="S14" s="11">
        <v>41</v>
      </c>
      <c r="T14" s="12">
        <v>1</v>
      </c>
      <c r="U14" s="12">
        <v>13</v>
      </c>
      <c r="V14" s="13">
        <v>1.3225806451612903</v>
      </c>
      <c r="W14" s="13">
        <v>66.129032258064512</v>
      </c>
      <c r="X14" s="13">
        <v>3.1538461538461537</v>
      </c>
      <c r="Y14" s="14">
        <v>1.6153846153846156</v>
      </c>
      <c r="Z14" s="15">
        <v>6.5</v>
      </c>
    </row>
    <row r="15" spans="1:26" ht="15.75" x14ac:dyDescent="0.25">
      <c r="A15" s="256"/>
      <c r="B15" s="258"/>
      <c r="C15" s="254" t="s">
        <v>39</v>
      </c>
      <c r="D15" s="21" t="s">
        <v>34</v>
      </c>
      <c r="E15" s="10">
        <v>31</v>
      </c>
      <c r="F15" s="10">
        <v>17</v>
      </c>
      <c r="G15" s="28">
        <v>15</v>
      </c>
      <c r="H15" s="11">
        <v>127</v>
      </c>
      <c r="I15" s="11">
        <v>17</v>
      </c>
      <c r="J15" s="11">
        <v>159</v>
      </c>
      <c r="K15" s="11">
        <v>12</v>
      </c>
      <c r="L15" s="11">
        <v>129</v>
      </c>
      <c r="M15" s="12">
        <v>5</v>
      </c>
      <c r="N15" s="11">
        <v>4</v>
      </c>
      <c r="O15" s="11">
        <v>1</v>
      </c>
      <c r="P15" s="12">
        <v>146</v>
      </c>
      <c r="Q15" s="11">
        <v>448</v>
      </c>
      <c r="R15" s="11">
        <v>4</v>
      </c>
      <c r="S15" s="11">
        <v>449</v>
      </c>
      <c r="T15" s="12">
        <v>13</v>
      </c>
      <c r="U15" s="12">
        <v>134</v>
      </c>
      <c r="V15" s="13">
        <v>14.483870967741936</v>
      </c>
      <c r="W15" s="13">
        <v>85.199240986717271</v>
      </c>
      <c r="X15" s="13">
        <v>3.3507462686567164</v>
      </c>
      <c r="Y15" s="14">
        <v>0.58208955223880587</v>
      </c>
      <c r="Z15" s="15">
        <v>7.882352941176471</v>
      </c>
    </row>
    <row r="16" spans="1:26" ht="15.75" x14ac:dyDescent="0.25">
      <c r="A16" s="256"/>
      <c r="B16" s="258"/>
      <c r="C16" s="254" t="s">
        <v>39</v>
      </c>
      <c r="D16" s="21" t="s">
        <v>40</v>
      </c>
      <c r="E16" s="10">
        <v>31</v>
      </c>
      <c r="F16" s="10">
        <v>5</v>
      </c>
      <c r="G16" s="28">
        <v>4</v>
      </c>
      <c r="H16" s="11">
        <v>20</v>
      </c>
      <c r="I16" s="11">
        <v>6</v>
      </c>
      <c r="J16" s="11">
        <v>30</v>
      </c>
      <c r="K16" s="11">
        <v>4</v>
      </c>
      <c r="L16" s="11">
        <v>24</v>
      </c>
      <c r="M16" s="12">
        <v>0</v>
      </c>
      <c r="N16" s="11">
        <v>0</v>
      </c>
      <c r="O16" s="11">
        <v>0</v>
      </c>
      <c r="P16" s="12">
        <v>28</v>
      </c>
      <c r="Q16" s="11">
        <v>89</v>
      </c>
      <c r="R16" s="11">
        <v>0</v>
      </c>
      <c r="S16" s="11">
        <v>86</v>
      </c>
      <c r="T16" s="12">
        <v>2</v>
      </c>
      <c r="U16" s="12">
        <v>24</v>
      </c>
      <c r="V16" s="13">
        <v>2.774193548387097</v>
      </c>
      <c r="W16" s="13">
        <v>55.483870967741943</v>
      </c>
      <c r="X16" s="13">
        <v>3.5833333333333335</v>
      </c>
      <c r="Y16" s="14">
        <v>2.875</v>
      </c>
      <c r="Z16" s="15">
        <v>4.8</v>
      </c>
    </row>
    <row r="17" spans="1:26" ht="15.75" x14ac:dyDescent="0.25">
      <c r="A17" s="256"/>
      <c r="B17" s="258"/>
      <c r="C17" s="17" t="s">
        <v>39</v>
      </c>
      <c r="D17" s="16"/>
      <c r="E17" s="17">
        <v>31</v>
      </c>
      <c r="F17" s="17">
        <v>24</v>
      </c>
      <c r="G17" s="17">
        <v>21</v>
      </c>
      <c r="H17" s="17">
        <v>160</v>
      </c>
      <c r="I17" s="17">
        <v>30</v>
      </c>
      <c r="J17" s="17">
        <v>211</v>
      </c>
      <c r="K17" s="17">
        <v>24</v>
      </c>
      <c r="L17" s="17">
        <v>166</v>
      </c>
      <c r="M17" s="18">
        <v>5</v>
      </c>
      <c r="N17" s="17">
        <v>4</v>
      </c>
      <c r="O17" s="17">
        <v>1</v>
      </c>
      <c r="P17" s="18">
        <v>195</v>
      </c>
      <c r="Q17" s="17">
        <v>577</v>
      </c>
      <c r="R17" s="17">
        <v>4</v>
      </c>
      <c r="S17" s="17">
        <v>576</v>
      </c>
      <c r="T17" s="18">
        <v>16</v>
      </c>
      <c r="U17" s="18">
        <v>171</v>
      </c>
      <c r="V17" s="19">
        <v>18.580645161290324</v>
      </c>
      <c r="W17" s="19">
        <v>77.41935483870968</v>
      </c>
      <c r="X17" s="19">
        <v>3.3684210526315788</v>
      </c>
      <c r="Y17" s="20">
        <v>0.98245614035087703</v>
      </c>
      <c r="Z17" s="20">
        <v>7.125</v>
      </c>
    </row>
    <row r="18" spans="1:26" ht="15.75" x14ac:dyDescent="0.25">
      <c r="A18" s="53"/>
      <c r="B18" s="258"/>
      <c r="C18" s="11" t="s">
        <v>41</v>
      </c>
      <c r="D18" s="22" t="s">
        <v>115</v>
      </c>
      <c r="E18" s="11">
        <v>31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5" t="e">
        <v>#DIV/0!</v>
      </c>
      <c r="Z18" s="15">
        <v>0</v>
      </c>
    </row>
    <row r="19" spans="1:26" ht="15.75" x14ac:dyDescent="0.25">
      <c r="A19" s="254">
        <v>5</v>
      </c>
      <c r="B19" s="258"/>
      <c r="C19" s="254" t="s">
        <v>41</v>
      </c>
      <c r="D19" s="98" t="s">
        <v>42</v>
      </c>
      <c r="E19" s="10">
        <v>31</v>
      </c>
      <c r="F19" s="10">
        <v>15</v>
      </c>
      <c r="G19" s="28">
        <v>21</v>
      </c>
      <c r="H19" s="11">
        <v>136</v>
      </c>
      <c r="I19" s="11">
        <v>12</v>
      </c>
      <c r="J19" s="11">
        <v>169</v>
      </c>
      <c r="K19" s="11">
        <v>17</v>
      </c>
      <c r="L19" s="11">
        <v>111</v>
      </c>
      <c r="M19" s="12">
        <v>21</v>
      </c>
      <c r="N19" s="11">
        <v>11</v>
      </c>
      <c r="O19" s="11">
        <v>10</v>
      </c>
      <c r="P19" s="12">
        <v>149</v>
      </c>
      <c r="Q19" s="11">
        <v>504</v>
      </c>
      <c r="R19" s="11">
        <v>2</v>
      </c>
      <c r="S19" s="11">
        <v>566</v>
      </c>
      <c r="T19" s="12">
        <v>20</v>
      </c>
      <c r="U19" s="12">
        <v>132</v>
      </c>
      <c r="V19" s="13">
        <v>18.258064516129032</v>
      </c>
      <c r="W19" s="13">
        <v>121.72043010752689</v>
      </c>
      <c r="X19" s="13">
        <v>4.2878787878787881</v>
      </c>
      <c r="Y19" s="14">
        <v>-0.76515151515151514</v>
      </c>
      <c r="Z19" s="15">
        <v>8.8000000000000007</v>
      </c>
    </row>
    <row r="20" spans="1:26" ht="15.75" x14ac:dyDescent="0.25">
      <c r="A20" s="254"/>
      <c r="B20" s="258"/>
      <c r="C20" s="254" t="s">
        <v>41</v>
      </c>
      <c r="D20" s="98" t="s">
        <v>43</v>
      </c>
      <c r="E20" s="10">
        <v>31</v>
      </c>
      <c r="F20" s="10">
        <v>12</v>
      </c>
      <c r="G20" s="28">
        <v>12</v>
      </c>
      <c r="H20" s="11">
        <v>81</v>
      </c>
      <c r="I20" s="11">
        <v>31</v>
      </c>
      <c r="J20" s="11">
        <v>124</v>
      </c>
      <c r="K20" s="11">
        <v>22</v>
      </c>
      <c r="L20" s="11">
        <v>71</v>
      </c>
      <c r="M20" s="12">
        <v>19</v>
      </c>
      <c r="N20" s="11">
        <v>11</v>
      </c>
      <c r="O20" s="11">
        <v>8</v>
      </c>
      <c r="P20" s="12">
        <v>112</v>
      </c>
      <c r="Q20" s="11">
        <v>314</v>
      </c>
      <c r="R20" s="11">
        <v>0</v>
      </c>
      <c r="S20" s="11">
        <v>367</v>
      </c>
      <c r="T20" s="12">
        <v>12</v>
      </c>
      <c r="U20" s="12">
        <v>90</v>
      </c>
      <c r="V20" s="13">
        <v>11.838709677419354</v>
      </c>
      <c r="W20" s="13">
        <v>98.65591397849461</v>
      </c>
      <c r="X20" s="13">
        <v>4.0777777777777775</v>
      </c>
      <c r="Y20" s="14">
        <v>5.5555555555555809E-2</v>
      </c>
      <c r="Z20" s="15">
        <v>7.5</v>
      </c>
    </row>
    <row r="21" spans="1:26" ht="15.75" x14ac:dyDescent="0.25">
      <c r="A21" s="254"/>
      <c r="B21" s="258"/>
      <c r="C21" s="17" t="s">
        <v>41</v>
      </c>
      <c r="D21" s="16"/>
      <c r="E21" s="17">
        <v>31</v>
      </c>
      <c r="F21" s="17">
        <v>31</v>
      </c>
      <c r="G21" s="17">
        <v>33</v>
      </c>
      <c r="H21" s="17">
        <v>217</v>
      </c>
      <c r="I21" s="17">
        <v>43</v>
      </c>
      <c r="J21" s="17">
        <v>293</v>
      </c>
      <c r="K21" s="17">
        <v>39</v>
      </c>
      <c r="L21" s="17">
        <v>182</v>
      </c>
      <c r="M21" s="18">
        <v>40</v>
      </c>
      <c r="N21" s="17">
        <v>22</v>
      </c>
      <c r="O21" s="17">
        <v>18</v>
      </c>
      <c r="P21" s="18">
        <v>261</v>
      </c>
      <c r="Q21" s="17">
        <v>818</v>
      </c>
      <c r="R21" s="17">
        <v>2</v>
      </c>
      <c r="S21" s="17">
        <v>933</v>
      </c>
      <c r="T21" s="18">
        <v>32</v>
      </c>
      <c r="U21" s="18">
        <v>222</v>
      </c>
      <c r="V21" s="19">
        <v>30.096774193548388</v>
      </c>
      <c r="W21" s="19">
        <v>111.46953405017921</v>
      </c>
      <c r="X21" s="19">
        <v>4.2027027027027026</v>
      </c>
      <c r="Y21" s="20">
        <v>-0.43243243243243246</v>
      </c>
      <c r="Z21" s="20">
        <v>16.3</v>
      </c>
    </row>
    <row r="22" spans="1:26" ht="15.75" x14ac:dyDescent="0.25">
      <c r="A22" s="254">
        <v>6</v>
      </c>
      <c r="B22" s="258"/>
      <c r="C22" s="10" t="s">
        <v>44</v>
      </c>
      <c r="D22" s="21" t="s">
        <v>34</v>
      </c>
      <c r="E22" s="10">
        <v>31</v>
      </c>
      <c r="F22" s="10">
        <v>18</v>
      </c>
      <c r="G22" s="28">
        <v>18</v>
      </c>
      <c r="H22" s="11">
        <v>157</v>
      </c>
      <c r="I22" s="11">
        <v>19</v>
      </c>
      <c r="J22" s="11">
        <v>194</v>
      </c>
      <c r="K22" s="11">
        <v>10</v>
      </c>
      <c r="L22" s="11">
        <v>169</v>
      </c>
      <c r="M22" s="12">
        <v>1</v>
      </c>
      <c r="N22" s="11">
        <v>0</v>
      </c>
      <c r="O22" s="11">
        <v>1</v>
      </c>
      <c r="P22" s="12">
        <v>180</v>
      </c>
      <c r="Q22" s="11">
        <v>499</v>
      </c>
      <c r="R22" s="11">
        <v>3</v>
      </c>
      <c r="S22" s="11">
        <v>523</v>
      </c>
      <c r="T22" s="12">
        <v>14</v>
      </c>
      <c r="U22" s="12">
        <v>170</v>
      </c>
      <c r="V22" s="13">
        <v>16.870967741935484</v>
      </c>
      <c r="W22" s="13">
        <v>93.727598566308245</v>
      </c>
      <c r="X22" s="13">
        <v>3.0764705882352943</v>
      </c>
      <c r="Y22" s="14">
        <v>0.20588235294117646</v>
      </c>
      <c r="Z22" s="15">
        <v>9.4444444444444446</v>
      </c>
    </row>
    <row r="23" spans="1:26" ht="15.75" x14ac:dyDescent="0.25">
      <c r="A23" s="254"/>
      <c r="B23" s="258"/>
      <c r="C23" s="17" t="s">
        <v>44</v>
      </c>
      <c r="D23" s="16"/>
      <c r="E23" s="17">
        <v>31</v>
      </c>
      <c r="F23" s="17">
        <v>18</v>
      </c>
      <c r="G23" s="17">
        <v>18</v>
      </c>
      <c r="H23" s="17">
        <v>157</v>
      </c>
      <c r="I23" s="17">
        <v>19</v>
      </c>
      <c r="J23" s="17">
        <v>194</v>
      </c>
      <c r="K23" s="17">
        <v>10</v>
      </c>
      <c r="L23" s="17">
        <v>169</v>
      </c>
      <c r="M23" s="18">
        <v>1</v>
      </c>
      <c r="N23" s="17">
        <v>0</v>
      </c>
      <c r="O23" s="17">
        <v>1</v>
      </c>
      <c r="P23" s="18">
        <v>180</v>
      </c>
      <c r="Q23" s="17">
        <v>499</v>
      </c>
      <c r="R23" s="17">
        <v>3</v>
      </c>
      <c r="S23" s="17">
        <v>523</v>
      </c>
      <c r="T23" s="18">
        <v>14</v>
      </c>
      <c r="U23" s="18">
        <v>170</v>
      </c>
      <c r="V23" s="19">
        <v>16.870967741935484</v>
      </c>
      <c r="W23" s="19">
        <v>93.727598566308245</v>
      </c>
      <c r="X23" s="19">
        <v>3.0764705882352943</v>
      </c>
      <c r="Y23" s="20">
        <v>0.20588235294117646</v>
      </c>
      <c r="Z23" s="20">
        <v>9.4444444444444446</v>
      </c>
    </row>
    <row r="24" spans="1:26" ht="15.75" x14ac:dyDescent="0.25">
      <c r="A24" s="53"/>
      <c r="B24" s="258"/>
      <c r="C24" s="11" t="s">
        <v>45</v>
      </c>
      <c r="D24" s="22" t="s">
        <v>40</v>
      </c>
      <c r="E24" s="11">
        <v>31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5" t="e">
        <v>#DIV/0!</v>
      </c>
      <c r="Z24" s="15">
        <v>0</v>
      </c>
    </row>
    <row r="25" spans="1:26" ht="15.75" x14ac:dyDescent="0.25">
      <c r="A25" s="254">
        <v>7</v>
      </c>
      <c r="B25" s="258"/>
      <c r="C25" s="10" t="s">
        <v>45</v>
      </c>
      <c r="D25" s="21" t="s">
        <v>34</v>
      </c>
      <c r="E25" s="10">
        <v>31</v>
      </c>
      <c r="F25" s="10">
        <v>16</v>
      </c>
      <c r="G25" s="28">
        <v>17</v>
      </c>
      <c r="H25" s="11">
        <v>129</v>
      </c>
      <c r="I25" s="11">
        <v>9</v>
      </c>
      <c r="J25" s="11">
        <v>155</v>
      </c>
      <c r="K25" s="11">
        <v>9</v>
      </c>
      <c r="L25" s="11">
        <v>129</v>
      </c>
      <c r="M25" s="12">
        <v>3</v>
      </c>
      <c r="N25" s="11">
        <v>1</v>
      </c>
      <c r="O25" s="11">
        <v>2</v>
      </c>
      <c r="P25" s="12">
        <v>141</v>
      </c>
      <c r="Q25" s="11">
        <v>479</v>
      </c>
      <c r="R25" s="11">
        <v>0</v>
      </c>
      <c r="S25" s="11">
        <v>504</v>
      </c>
      <c r="T25" s="12">
        <v>14</v>
      </c>
      <c r="U25" s="12">
        <v>132</v>
      </c>
      <c r="V25" s="13">
        <v>16.258064516129032</v>
      </c>
      <c r="W25" s="13">
        <v>101.61290322580645</v>
      </c>
      <c r="X25" s="13">
        <v>3.8181818181818183</v>
      </c>
      <c r="Y25" s="14">
        <v>-6.0606060606060552E-2</v>
      </c>
      <c r="Z25" s="15">
        <v>8.25</v>
      </c>
    </row>
    <row r="26" spans="1:26" ht="15.75" x14ac:dyDescent="0.25">
      <c r="A26" s="254"/>
      <c r="B26" s="258"/>
      <c r="C26" s="17" t="s">
        <v>45</v>
      </c>
      <c r="D26" s="16"/>
      <c r="E26" s="17">
        <v>31</v>
      </c>
      <c r="F26" s="17">
        <v>20</v>
      </c>
      <c r="G26" s="17">
        <v>17</v>
      </c>
      <c r="H26" s="17">
        <v>129</v>
      </c>
      <c r="I26" s="17">
        <v>9</v>
      </c>
      <c r="J26" s="17">
        <v>155</v>
      </c>
      <c r="K26" s="17">
        <v>9</v>
      </c>
      <c r="L26" s="17">
        <v>129</v>
      </c>
      <c r="M26" s="18">
        <v>3</v>
      </c>
      <c r="N26" s="17">
        <v>1</v>
      </c>
      <c r="O26" s="17">
        <v>2</v>
      </c>
      <c r="P26" s="18">
        <v>141</v>
      </c>
      <c r="Q26" s="17">
        <v>479</v>
      </c>
      <c r="R26" s="17">
        <v>0</v>
      </c>
      <c r="S26" s="17">
        <v>504</v>
      </c>
      <c r="T26" s="18">
        <v>14</v>
      </c>
      <c r="U26" s="18">
        <v>132</v>
      </c>
      <c r="V26" s="19">
        <v>16.258064516129032</v>
      </c>
      <c r="W26" s="19">
        <v>81.290322580645153</v>
      </c>
      <c r="X26" s="19">
        <v>3.8181818181818183</v>
      </c>
      <c r="Y26" s="20">
        <v>0.87878787878787878</v>
      </c>
      <c r="Z26" s="20">
        <v>6.6</v>
      </c>
    </row>
    <row r="27" spans="1:26" ht="15.75" x14ac:dyDescent="0.25">
      <c r="A27" s="256">
        <v>8</v>
      </c>
      <c r="B27" s="258"/>
      <c r="C27" s="11" t="s">
        <v>46</v>
      </c>
      <c r="D27" s="21" t="s">
        <v>34</v>
      </c>
      <c r="E27" s="10">
        <v>31</v>
      </c>
      <c r="F27" s="11">
        <v>20</v>
      </c>
      <c r="G27" s="11">
        <v>17</v>
      </c>
      <c r="H27" s="11">
        <v>157</v>
      </c>
      <c r="I27" s="11">
        <v>4</v>
      </c>
      <c r="J27" s="11">
        <v>178</v>
      </c>
      <c r="K27" s="11">
        <v>8</v>
      </c>
      <c r="L27" s="11">
        <v>146</v>
      </c>
      <c r="M27" s="12">
        <v>10</v>
      </c>
      <c r="N27" s="11">
        <v>6</v>
      </c>
      <c r="O27" s="11">
        <v>4</v>
      </c>
      <c r="P27" s="12">
        <v>164</v>
      </c>
      <c r="Q27" s="11">
        <v>500</v>
      </c>
      <c r="R27" s="11">
        <v>2</v>
      </c>
      <c r="S27" s="11">
        <v>517</v>
      </c>
      <c r="T27" s="12">
        <v>14</v>
      </c>
      <c r="U27" s="12">
        <v>156</v>
      </c>
      <c r="V27" s="13">
        <v>16.677419354838708</v>
      </c>
      <c r="W27" s="13">
        <v>83.387096774193537</v>
      </c>
      <c r="X27" s="13">
        <v>3.3141025641025643</v>
      </c>
      <c r="Y27" s="14">
        <v>0.66025641025641058</v>
      </c>
      <c r="Z27" s="15">
        <v>7.8</v>
      </c>
    </row>
    <row r="28" spans="1:26" ht="15.75" x14ac:dyDescent="0.25">
      <c r="A28" s="256"/>
      <c r="B28" s="258"/>
      <c r="C28" s="11" t="s">
        <v>46</v>
      </c>
      <c r="D28" s="22"/>
      <c r="E28" s="11">
        <v>31</v>
      </c>
      <c r="F28" s="11">
        <v>20</v>
      </c>
      <c r="G28" s="11">
        <v>17</v>
      </c>
      <c r="H28" s="11">
        <v>157</v>
      </c>
      <c r="I28" s="11">
        <v>4</v>
      </c>
      <c r="J28" s="11">
        <v>178</v>
      </c>
      <c r="K28" s="11">
        <v>8</v>
      </c>
      <c r="L28" s="11">
        <v>146</v>
      </c>
      <c r="M28" s="12">
        <v>10</v>
      </c>
      <c r="N28" s="11">
        <v>6</v>
      </c>
      <c r="O28" s="11">
        <v>4</v>
      </c>
      <c r="P28" s="12">
        <v>164</v>
      </c>
      <c r="Q28" s="11">
        <v>500</v>
      </c>
      <c r="R28" s="11">
        <v>2</v>
      </c>
      <c r="S28" s="11">
        <v>517</v>
      </c>
      <c r="T28" s="12">
        <v>14</v>
      </c>
      <c r="U28" s="12">
        <v>156</v>
      </c>
      <c r="V28" s="13">
        <v>16.677419354838708</v>
      </c>
      <c r="W28" s="13">
        <v>83.387096774193537</v>
      </c>
      <c r="X28" s="13">
        <v>3.3141025641025643</v>
      </c>
      <c r="Y28" s="15">
        <v>0.66025641025641058</v>
      </c>
      <c r="Z28" s="15">
        <v>7.8</v>
      </c>
    </row>
    <row r="29" spans="1:26" ht="15.75" x14ac:dyDescent="0.25">
      <c r="A29" s="53"/>
      <c r="B29" s="258"/>
      <c r="C29" s="17" t="s">
        <v>47</v>
      </c>
      <c r="D29" s="16" t="s">
        <v>40</v>
      </c>
      <c r="E29" s="17">
        <v>31</v>
      </c>
      <c r="F29" s="17">
        <v>1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8"/>
      <c r="N29" s="17">
        <v>0</v>
      </c>
      <c r="O29" s="17">
        <v>0</v>
      </c>
      <c r="P29" s="18">
        <v>0</v>
      </c>
      <c r="Q29" s="17">
        <v>0</v>
      </c>
      <c r="R29" s="17">
        <v>0</v>
      </c>
      <c r="S29" s="17">
        <v>0</v>
      </c>
      <c r="T29" s="18">
        <v>0</v>
      </c>
      <c r="U29" s="18">
        <v>0</v>
      </c>
      <c r="V29" s="19">
        <v>0</v>
      </c>
      <c r="W29" s="19">
        <v>0</v>
      </c>
      <c r="X29" s="19" t="e">
        <v>#DIV/0!</v>
      </c>
      <c r="Y29" s="20" t="e">
        <v>#DIV/0!</v>
      </c>
      <c r="Z29" s="20">
        <v>0</v>
      </c>
    </row>
    <row r="30" spans="1:26" ht="15.75" x14ac:dyDescent="0.25">
      <c r="A30" s="256">
        <v>9</v>
      </c>
      <c r="B30" s="258"/>
      <c r="C30" s="11" t="s">
        <v>47</v>
      </c>
      <c r="D30" s="22" t="s">
        <v>48</v>
      </c>
      <c r="E30" s="10">
        <v>31</v>
      </c>
      <c r="F30" s="11">
        <v>3</v>
      </c>
      <c r="G30" s="28">
        <v>4</v>
      </c>
      <c r="H30" s="11">
        <v>37</v>
      </c>
      <c r="I30" s="11">
        <v>5</v>
      </c>
      <c r="J30" s="11">
        <v>46</v>
      </c>
      <c r="K30" s="11">
        <v>8</v>
      </c>
      <c r="L30" s="11">
        <v>33</v>
      </c>
      <c r="M30" s="12">
        <v>3</v>
      </c>
      <c r="N30" s="11">
        <v>2</v>
      </c>
      <c r="O30" s="11">
        <v>1</v>
      </c>
      <c r="P30" s="12">
        <v>44</v>
      </c>
      <c r="Q30" s="11">
        <v>115</v>
      </c>
      <c r="R30" s="11">
        <v>1</v>
      </c>
      <c r="S30" s="11">
        <v>114</v>
      </c>
      <c r="T30" s="12">
        <v>2</v>
      </c>
      <c r="U30" s="12">
        <v>36</v>
      </c>
      <c r="V30" s="13">
        <v>3.6774193548387095</v>
      </c>
      <c r="W30" s="13">
        <v>122.58064516129032</v>
      </c>
      <c r="X30" s="13">
        <v>3.1666666666666665</v>
      </c>
      <c r="Y30" s="14">
        <v>-0.58333333333333326</v>
      </c>
      <c r="Z30" s="15">
        <v>12</v>
      </c>
    </row>
    <row r="31" spans="1:26" ht="15.75" x14ac:dyDescent="0.25">
      <c r="A31" s="256"/>
      <c r="B31" s="258"/>
      <c r="C31" s="11" t="s">
        <v>47</v>
      </c>
      <c r="D31" s="22" t="s">
        <v>112</v>
      </c>
      <c r="E31" s="10">
        <v>31</v>
      </c>
      <c r="F31" s="11">
        <v>8</v>
      </c>
      <c r="G31" s="28">
        <v>6</v>
      </c>
      <c r="H31" s="11">
        <v>26</v>
      </c>
      <c r="I31" s="11">
        <v>16</v>
      </c>
      <c r="J31" s="11">
        <v>48</v>
      </c>
      <c r="K31" s="11">
        <v>7</v>
      </c>
      <c r="L31" s="11">
        <v>32</v>
      </c>
      <c r="M31" s="12">
        <v>5</v>
      </c>
      <c r="N31" s="11">
        <v>2</v>
      </c>
      <c r="O31" s="11">
        <v>3</v>
      </c>
      <c r="P31" s="12">
        <v>44</v>
      </c>
      <c r="Q31" s="11">
        <v>137</v>
      </c>
      <c r="R31" s="11">
        <v>0</v>
      </c>
      <c r="S31" s="11">
        <v>131</v>
      </c>
      <c r="T31" s="12">
        <v>4</v>
      </c>
      <c r="U31" s="12">
        <v>37</v>
      </c>
      <c r="V31" s="13">
        <v>4.225806451612903</v>
      </c>
      <c r="W31" s="13">
        <v>52.822580645161288</v>
      </c>
      <c r="X31" s="13">
        <v>3.5405405405405403</v>
      </c>
      <c r="Y31" s="14">
        <v>3.1621621621621623</v>
      </c>
      <c r="Z31" s="15">
        <v>4.625</v>
      </c>
    </row>
    <row r="32" spans="1:26" ht="15.75" x14ac:dyDescent="0.25">
      <c r="A32" s="256"/>
      <c r="B32" s="258"/>
      <c r="C32" s="17" t="s">
        <v>47</v>
      </c>
      <c r="D32" s="16"/>
      <c r="E32" s="17">
        <v>31</v>
      </c>
      <c r="F32" s="17">
        <v>12</v>
      </c>
      <c r="G32" s="17">
        <v>10</v>
      </c>
      <c r="H32" s="17">
        <v>63</v>
      </c>
      <c r="I32" s="17">
        <v>21</v>
      </c>
      <c r="J32" s="17">
        <v>94</v>
      </c>
      <c r="K32" s="17">
        <v>15</v>
      </c>
      <c r="L32" s="17">
        <v>65</v>
      </c>
      <c r="M32" s="18">
        <v>8</v>
      </c>
      <c r="N32" s="17">
        <v>4</v>
      </c>
      <c r="O32" s="17">
        <v>4</v>
      </c>
      <c r="P32" s="18">
        <v>88</v>
      </c>
      <c r="Q32" s="17">
        <v>252</v>
      </c>
      <c r="R32" s="17">
        <v>1</v>
      </c>
      <c r="S32" s="17">
        <v>245</v>
      </c>
      <c r="T32" s="18">
        <v>6</v>
      </c>
      <c r="U32" s="18">
        <v>73</v>
      </c>
      <c r="V32" s="19">
        <v>7.903225806451613</v>
      </c>
      <c r="W32" s="19">
        <v>65.86021505376344</v>
      </c>
      <c r="X32" s="19">
        <v>3.3561643835616439</v>
      </c>
      <c r="Y32" s="20">
        <v>1.7397260273972603</v>
      </c>
      <c r="Z32" s="20">
        <v>6.083333333333333</v>
      </c>
    </row>
    <row r="33" spans="1:26" ht="15.75" x14ac:dyDescent="0.25">
      <c r="A33" s="53"/>
      <c r="B33" s="258"/>
      <c r="C33" s="11" t="s">
        <v>49</v>
      </c>
      <c r="D33" s="22" t="s">
        <v>40</v>
      </c>
      <c r="E33" s="11">
        <v>31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/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1">
        <v>0</v>
      </c>
      <c r="T33" s="12">
        <v>0</v>
      </c>
      <c r="U33" s="12">
        <v>0</v>
      </c>
      <c r="V33" s="13">
        <v>0</v>
      </c>
      <c r="W33" s="13">
        <v>0</v>
      </c>
      <c r="X33" s="13" t="e">
        <v>#DIV/0!</v>
      </c>
      <c r="Y33" s="15" t="e">
        <v>#DIV/0!</v>
      </c>
      <c r="Z33" s="15">
        <v>0</v>
      </c>
    </row>
    <row r="34" spans="1:26" ht="15.75" x14ac:dyDescent="0.25">
      <c r="A34" s="256">
        <v>10</v>
      </c>
      <c r="B34" s="258"/>
      <c r="C34" s="11" t="s">
        <v>49</v>
      </c>
      <c r="D34" s="22" t="s">
        <v>48</v>
      </c>
      <c r="E34" s="10">
        <v>31</v>
      </c>
      <c r="F34" s="11">
        <v>2</v>
      </c>
      <c r="G34" s="28">
        <v>3</v>
      </c>
      <c r="H34" s="11">
        <v>13</v>
      </c>
      <c r="I34" s="11">
        <v>2</v>
      </c>
      <c r="J34" s="11">
        <v>18</v>
      </c>
      <c r="K34" s="11">
        <v>2</v>
      </c>
      <c r="L34" s="11">
        <v>12</v>
      </c>
      <c r="M34" s="12">
        <v>1</v>
      </c>
      <c r="N34" s="11">
        <v>1</v>
      </c>
      <c r="O34" s="11">
        <v>0</v>
      </c>
      <c r="P34" s="12">
        <v>15</v>
      </c>
      <c r="Q34" s="11">
        <v>42</v>
      </c>
      <c r="R34" s="11">
        <v>0</v>
      </c>
      <c r="S34" s="11">
        <v>70</v>
      </c>
      <c r="T34" s="12">
        <v>3</v>
      </c>
      <c r="U34" s="12">
        <v>13</v>
      </c>
      <c r="V34" s="13">
        <v>2.2580645161290325</v>
      </c>
      <c r="W34" s="13">
        <v>112.90322580645163</v>
      </c>
      <c r="X34" s="13">
        <v>5.384615384615385</v>
      </c>
      <c r="Y34" s="14">
        <v>-0.61538461538461597</v>
      </c>
      <c r="Z34" s="15">
        <v>6.5</v>
      </c>
    </row>
    <row r="35" spans="1:26" ht="15.75" x14ac:dyDescent="0.25">
      <c r="A35" s="256"/>
      <c r="B35" s="258"/>
      <c r="C35" s="11" t="s">
        <v>49</v>
      </c>
      <c r="D35" s="22" t="s">
        <v>38</v>
      </c>
      <c r="E35" s="10">
        <v>31</v>
      </c>
      <c r="F35" s="11">
        <v>4</v>
      </c>
      <c r="G35" s="28">
        <v>4</v>
      </c>
      <c r="H35" s="11">
        <v>21</v>
      </c>
      <c r="I35" s="11">
        <v>4</v>
      </c>
      <c r="J35" s="11">
        <v>29</v>
      </c>
      <c r="K35" s="11">
        <v>1</v>
      </c>
      <c r="L35" s="11">
        <v>22</v>
      </c>
      <c r="M35" s="12">
        <v>2</v>
      </c>
      <c r="N35" s="11">
        <v>2</v>
      </c>
      <c r="O35" s="11">
        <v>0</v>
      </c>
      <c r="P35" s="12">
        <v>25</v>
      </c>
      <c r="Q35" s="11">
        <v>99</v>
      </c>
      <c r="R35" s="11">
        <v>2</v>
      </c>
      <c r="S35" s="11">
        <v>108</v>
      </c>
      <c r="T35" s="12">
        <v>4</v>
      </c>
      <c r="U35" s="12">
        <v>24</v>
      </c>
      <c r="V35" s="13">
        <v>3.4838709677419355</v>
      </c>
      <c r="W35" s="13">
        <v>87.096774193548384</v>
      </c>
      <c r="X35" s="13">
        <v>4.5</v>
      </c>
      <c r="Y35" s="14">
        <v>0.66666666666666663</v>
      </c>
      <c r="Z35" s="15">
        <v>6</v>
      </c>
    </row>
    <row r="36" spans="1:26" ht="15.75" x14ac:dyDescent="0.25">
      <c r="A36" s="256"/>
      <c r="B36" s="258"/>
      <c r="C36" s="11" t="s">
        <v>49</v>
      </c>
      <c r="D36" s="22" t="s">
        <v>34</v>
      </c>
      <c r="E36" s="10">
        <v>31</v>
      </c>
      <c r="F36" s="11">
        <v>12</v>
      </c>
      <c r="G36" s="28">
        <v>7</v>
      </c>
      <c r="H36" s="11">
        <v>70</v>
      </c>
      <c r="I36" s="11">
        <v>9</v>
      </c>
      <c r="J36" s="11">
        <v>86</v>
      </c>
      <c r="K36" s="11">
        <v>2</v>
      </c>
      <c r="L36" s="11">
        <v>68</v>
      </c>
      <c r="M36" s="12">
        <v>4</v>
      </c>
      <c r="N36" s="11">
        <v>3</v>
      </c>
      <c r="O36" s="11">
        <v>1</v>
      </c>
      <c r="P36" s="12">
        <v>74</v>
      </c>
      <c r="Q36" s="11">
        <v>257</v>
      </c>
      <c r="R36" s="11">
        <v>1</v>
      </c>
      <c r="S36" s="11">
        <v>306</v>
      </c>
      <c r="T36" s="12">
        <v>12</v>
      </c>
      <c r="U36" s="12">
        <v>72</v>
      </c>
      <c r="V36" s="13">
        <v>9.870967741935484</v>
      </c>
      <c r="W36" s="13">
        <v>82.258064516129039</v>
      </c>
      <c r="X36" s="13">
        <v>4.25</v>
      </c>
      <c r="Y36" s="14">
        <v>0.91666666666666663</v>
      </c>
      <c r="Z36" s="15">
        <v>6</v>
      </c>
    </row>
    <row r="37" spans="1:26" ht="15.75" x14ac:dyDescent="0.25">
      <c r="A37" s="256"/>
      <c r="B37" s="258"/>
      <c r="C37" s="17" t="s">
        <v>49</v>
      </c>
      <c r="D37" s="16"/>
      <c r="E37" s="17">
        <v>31</v>
      </c>
      <c r="F37" s="17">
        <v>19</v>
      </c>
      <c r="G37" s="17">
        <v>14</v>
      </c>
      <c r="H37" s="17">
        <v>104</v>
      </c>
      <c r="I37" s="17">
        <v>15</v>
      </c>
      <c r="J37" s="17">
        <v>133</v>
      </c>
      <c r="K37" s="17">
        <v>5</v>
      </c>
      <c r="L37" s="17">
        <v>102</v>
      </c>
      <c r="M37" s="18">
        <v>7</v>
      </c>
      <c r="N37" s="17">
        <v>6</v>
      </c>
      <c r="O37" s="17">
        <v>1</v>
      </c>
      <c r="P37" s="18">
        <v>114</v>
      </c>
      <c r="Q37" s="17">
        <v>398</v>
      </c>
      <c r="R37" s="17">
        <v>3</v>
      </c>
      <c r="S37" s="17">
        <v>484</v>
      </c>
      <c r="T37" s="18">
        <v>19</v>
      </c>
      <c r="U37" s="18">
        <v>109</v>
      </c>
      <c r="V37" s="19">
        <v>15.612903225806452</v>
      </c>
      <c r="W37" s="19">
        <v>82.173174872665527</v>
      </c>
      <c r="X37" s="19">
        <v>4.4403669724770642</v>
      </c>
      <c r="Y37" s="20">
        <v>0.96330275229357787</v>
      </c>
      <c r="Z37" s="20">
        <v>5.7368421052631575</v>
      </c>
    </row>
    <row r="38" spans="1:26" ht="15.75" x14ac:dyDescent="0.25">
      <c r="A38" s="231">
        <v>11</v>
      </c>
      <c r="B38" s="258"/>
      <c r="C38" s="254" t="s">
        <v>50</v>
      </c>
      <c r="D38" s="22" t="s">
        <v>51</v>
      </c>
      <c r="E38" s="10">
        <v>31</v>
      </c>
      <c r="F38" s="10">
        <v>6</v>
      </c>
      <c r="G38" s="28">
        <v>4</v>
      </c>
      <c r="H38" s="11">
        <v>47</v>
      </c>
      <c r="I38" s="11">
        <v>10</v>
      </c>
      <c r="J38" s="11">
        <v>61</v>
      </c>
      <c r="K38" s="11">
        <v>13</v>
      </c>
      <c r="L38" s="11">
        <v>37</v>
      </c>
      <c r="M38" s="12">
        <v>3</v>
      </c>
      <c r="N38" s="11">
        <v>1</v>
      </c>
      <c r="O38" s="11">
        <v>2</v>
      </c>
      <c r="P38" s="12">
        <v>53</v>
      </c>
      <c r="Q38" s="11">
        <v>115</v>
      </c>
      <c r="R38" s="11">
        <v>0</v>
      </c>
      <c r="S38" s="11">
        <v>179</v>
      </c>
      <c r="T38" s="12">
        <v>8</v>
      </c>
      <c r="U38" s="12">
        <v>40</v>
      </c>
      <c r="V38" s="13">
        <v>5.774193548387097</v>
      </c>
      <c r="W38" s="13">
        <v>96.236559139784944</v>
      </c>
      <c r="X38" s="13">
        <v>4.4749999999999996</v>
      </c>
      <c r="Y38" s="14">
        <v>0.17499999999999985</v>
      </c>
      <c r="Z38" s="15">
        <v>6.666666666666667</v>
      </c>
    </row>
    <row r="39" spans="1:26" ht="15.75" x14ac:dyDescent="0.25">
      <c r="A39" s="231"/>
      <c r="B39" s="258"/>
      <c r="C39" s="254" t="s">
        <v>50</v>
      </c>
      <c r="D39" s="22" t="s">
        <v>52</v>
      </c>
      <c r="E39" s="10">
        <v>31</v>
      </c>
      <c r="F39" s="10">
        <v>8</v>
      </c>
      <c r="G39" s="28">
        <v>4</v>
      </c>
      <c r="H39" s="11">
        <v>51</v>
      </c>
      <c r="I39" s="11">
        <v>5</v>
      </c>
      <c r="J39" s="11">
        <v>60</v>
      </c>
      <c r="K39" s="11">
        <v>10</v>
      </c>
      <c r="L39" s="11">
        <v>44</v>
      </c>
      <c r="M39" s="12">
        <v>2</v>
      </c>
      <c r="N39" s="11">
        <v>0</v>
      </c>
      <c r="O39" s="11">
        <v>2</v>
      </c>
      <c r="P39" s="12">
        <v>56</v>
      </c>
      <c r="Q39" s="11">
        <v>144</v>
      </c>
      <c r="R39" s="11">
        <v>2</v>
      </c>
      <c r="S39" s="11">
        <v>120</v>
      </c>
      <c r="T39" s="12">
        <v>4</v>
      </c>
      <c r="U39" s="12">
        <v>46</v>
      </c>
      <c r="V39" s="13">
        <v>3.870967741935484</v>
      </c>
      <c r="W39" s="13">
        <v>48.387096774193552</v>
      </c>
      <c r="X39" s="13">
        <v>2.6086956521739131</v>
      </c>
      <c r="Y39" s="14">
        <v>2.7826086956521738</v>
      </c>
      <c r="Z39" s="15">
        <v>5.75</v>
      </c>
    </row>
    <row r="40" spans="1:26" ht="15.75" x14ac:dyDescent="0.25">
      <c r="A40" s="231"/>
      <c r="B40" s="258"/>
      <c r="C40" s="254" t="s">
        <v>50</v>
      </c>
      <c r="D40" s="22" t="s">
        <v>53</v>
      </c>
      <c r="E40" s="10">
        <v>31</v>
      </c>
      <c r="F40" s="10">
        <v>14</v>
      </c>
      <c r="G40" s="28">
        <v>8</v>
      </c>
      <c r="H40" s="11">
        <v>75</v>
      </c>
      <c r="I40" s="11">
        <v>9</v>
      </c>
      <c r="J40" s="11">
        <v>92</v>
      </c>
      <c r="K40" s="11">
        <v>13</v>
      </c>
      <c r="L40" s="11">
        <v>74</v>
      </c>
      <c r="M40" s="12">
        <v>3</v>
      </c>
      <c r="N40" s="11">
        <v>2</v>
      </c>
      <c r="O40" s="11">
        <v>1</v>
      </c>
      <c r="P40" s="12">
        <v>90</v>
      </c>
      <c r="Q40" s="11">
        <v>296</v>
      </c>
      <c r="R40" s="11">
        <v>1</v>
      </c>
      <c r="S40" s="11">
        <v>264</v>
      </c>
      <c r="T40" s="12">
        <v>2</v>
      </c>
      <c r="U40" s="12">
        <v>77</v>
      </c>
      <c r="V40" s="13">
        <v>8.5161290322580641</v>
      </c>
      <c r="W40" s="13">
        <v>60.829493087557594</v>
      </c>
      <c r="X40" s="13">
        <v>3.4285714285714284</v>
      </c>
      <c r="Y40" s="23">
        <v>2.2077922077922079</v>
      </c>
      <c r="Z40" s="24">
        <v>5.5</v>
      </c>
    </row>
    <row r="41" spans="1:26" ht="15.75" x14ac:dyDescent="0.25">
      <c r="A41" s="231"/>
      <c r="B41" s="258"/>
      <c r="C41" s="254"/>
      <c r="D41" s="22"/>
      <c r="E41" s="10">
        <v>31</v>
      </c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 t="e">
        <v>#DIV/0!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58"/>
      <c r="C42" s="17" t="s">
        <v>50</v>
      </c>
      <c r="D42" s="16"/>
      <c r="E42" s="17">
        <v>31</v>
      </c>
      <c r="F42" s="17">
        <v>28</v>
      </c>
      <c r="G42" s="17">
        <v>16</v>
      </c>
      <c r="H42" s="17">
        <v>173</v>
      </c>
      <c r="I42" s="17">
        <v>24</v>
      </c>
      <c r="J42" s="17">
        <v>213</v>
      </c>
      <c r="K42" s="17">
        <v>36</v>
      </c>
      <c r="L42" s="17">
        <v>155</v>
      </c>
      <c r="M42" s="18">
        <v>8</v>
      </c>
      <c r="N42" s="17">
        <v>3</v>
      </c>
      <c r="O42" s="17">
        <v>5</v>
      </c>
      <c r="P42" s="18">
        <v>199</v>
      </c>
      <c r="Q42" s="17">
        <v>555</v>
      </c>
      <c r="R42" s="17">
        <v>3</v>
      </c>
      <c r="S42" s="17">
        <v>563</v>
      </c>
      <c r="T42" s="18">
        <v>14</v>
      </c>
      <c r="U42" s="18">
        <v>163</v>
      </c>
      <c r="V42" s="19">
        <v>18.161290322580644</v>
      </c>
      <c r="W42" s="19">
        <v>64.861751152073737</v>
      </c>
      <c r="X42" s="19">
        <v>3.4539877300613497</v>
      </c>
      <c r="Y42" s="20">
        <v>1.8711656441717794</v>
      </c>
      <c r="Z42" s="20">
        <v>5.8214285714285712</v>
      </c>
    </row>
    <row r="43" spans="1:26" ht="15.75" x14ac:dyDescent="0.25">
      <c r="A43" s="59"/>
      <c r="B43" s="258"/>
      <c r="C43" s="11" t="s">
        <v>54</v>
      </c>
      <c r="D43" s="22" t="s">
        <v>40</v>
      </c>
      <c r="E43" s="11">
        <v>31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5" t="e">
        <v>#DIV/0!</v>
      </c>
      <c r="Z43" s="15">
        <v>0</v>
      </c>
    </row>
    <row r="44" spans="1:26" ht="15.75" x14ac:dyDescent="0.25">
      <c r="A44" s="231">
        <v>12</v>
      </c>
      <c r="B44" s="258"/>
      <c r="C44" s="10" t="s">
        <v>54</v>
      </c>
      <c r="D44" s="21" t="s">
        <v>48</v>
      </c>
      <c r="E44" s="10">
        <v>31</v>
      </c>
      <c r="F44" s="10">
        <v>13</v>
      </c>
      <c r="G44" s="28">
        <v>14</v>
      </c>
      <c r="H44" s="11">
        <v>105</v>
      </c>
      <c r="I44" s="11">
        <v>16</v>
      </c>
      <c r="J44" s="11">
        <v>135</v>
      </c>
      <c r="K44" s="11">
        <v>12</v>
      </c>
      <c r="L44" s="11">
        <v>109</v>
      </c>
      <c r="M44" s="12">
        <v>7</v>
      </c>
      <c r="N44" s="11">
        <v>1</v>
      </c>
      <c r="O44" s="11">
        <v>6</v>
      </c>
      <c r="P44" s="12">
        <v>128</v>
      </c>
      <c r="Q44" s="11">
        <v>376</v>
      </c>
      <c r="R44" s="11">
        <v>0</v>
      </c>
      <c r="S44" s="11">
        <v>362</v>
      </c>
      <c r="T44" s="12">
        <v>7</v>
      </c>
      <c r="U44" s="12">
        <v>116</v>
      </c>
      <c r="V44" s="13">
        <v>11.67741935483871</v>
      </c>
      <c r="W44" s="13">
        <v>89.826302729528535</v>
      </c>
      <c r="X44" s="13">
        <v>3.1206896551724137</v>
      </c>
      <c r="Y44" s="14">
        <v>0.35344827586206889</v>
      </c>
      <c r="Z44" s="15">
        <v>8.9230769230769234</v>
      </c>
    </row>
    <row r="45" spans="1:26" ht="15.75" x14ac:dyDescent="0.25">
      <c r="A45" s="231"/>
      <c r="B45" s="258"/>
      <c r="C45" s="10" t="s">
        <v>54</v>
      </c>
      <c r="D45" s="21" t="s">
        <v>55</v>
      </c>
      <c r="E45" s="10">
        <v>31</v>
      </c>
      <c r="F45" s="10">
        <v>2</v>
      </c>
      <c r="G45" s="28">
        <v>0</v>
      </c>
      <c r="H45" s="11">
        <v>1</v>
      </c>
      <c r="I45" s="11">
        <v>0</v>
      </c>
      <c r="J45" s="11">
        <v>1</v>
      </c>
      <c r="K45" s="11">
        <v>0</v>
      </c>
      <c r="L45" s="11">
        <v>1</v>
      </c>
      <c r="M45" s="12">
        <v>0</v>
      </c>
      <c r="N45" s="11">
        <v>0</v>
      </c>
      <c r="O45" s="11">
        <v>0</v>
      </c>
      <c r="P45" s="12">
        <v>1</v>
      </c>
      <c r="Q45" s="11">
        <v>3</v>
      </c>
      <c r="R45" s="11">
        <v>0</v>
      </c>
      <c r="S45" s="11">
        <v>1</v>
      </c>
      <c r="T45" s="12">
        <v>0</v>
      </c>
      <c r="U45" s="12">
        <v>1</v>
      </c>
      <c r="V45" s="13">
        <v>3.2258064516129031E-2</v>
      </c>
      <c r="W45" s="13">
        <v>1.6129032258064515</v>
      </c>
      <c r="X45" s="13">
        <v>1</v>
      </c>
      <c r="Y45" s="14">
        <v>61</v>
      </c>
      <c r="Z45" s="15">
        <v>0.5</v>
      </c>
    </row>
    <row r="46" spans="1:26" ht="15.75" x14ac:dyDescent="0.25">
      <c r="A46" s="231"/>
      <c r="B46" s="258"/>
      <c r="C46" s="17" t="s">
        <v>54</v>
      </c>
      <c r="D46" s="16"/>
      <c r="E46" s="17">
        <v>31</v>
      </c>
      <c r="F46" s="17">
        <v>17</v>
      </c>
      <c r="G46" s="17">
        <v>14</v>
      </c>
      <c r="H46" s="17">
        <v>106</v>
      </c>
      <c r="I46" s="17">
        <v>16</v>
      </c>
      <c r="J46" s="17">
        <v>136</v>
      </c>
      <c r="K46" s="17">
        <v>12</v>
      </c>
      <c r="L46" s="17">
        <v>110</v>
      </c>
      <c r="M46" s="18">
        <v>7</v>
      </c>
      <c r="N46" s="17">
        <v>1</v>
      </c>
      <c r="O46" s="17">
        <v>6</v>
      </c>
      <c r="P46" s="18">
        <v>129</v>
      </c>
      <c r="Q46" s="17">
        <v>379</v>
      </c>
      <c r="R46" s="17">
        <v>0</v>
      </c>
      <c r="S46" s="17">
        <v>363</v>
      </c>
      <c r="T46" s="18">
        <v>7</v>
      </c>
      <c r="U46" s="18">
        <v>117</v>
      </c>
      <c r="V46" s="25">
        <v>11.709677419354838</v>
      </c>
      <c r="W46" s="19">
        <v>68.880455407969635</v>
      </c>
      <c r="X46" s="19">
        <v>3.1025641025641026</v>
      </c>
      <c r="Y46" s="20">
        <v>1.4017094017094021</v>
      </c>
      <c r="Z46" s="20">
        <v>6.882352941176471</v>
      </c>
    </row>
    <row r="47" spans="1:26" ht="15.75" customHeight="1" x14ac:dyDescent="0.25">
      <c r="A47" s="59"/>
      <c r="B47" s="258"/>
      <c r="C47" s="257" t="s">
        <v>61</v>
      </c>
      <c r="D47" s="22" t="s">
        <v>57</v>
      </c>
      <c r="E47" s="10">
        <v>31</v>
      </c>
      <c r="F47" s="11">
        <v>2</v>
      </c>
      <c r="G47" s="28">
        <v>0</v>
      </c>
      <c r="H47" s="11">
        <v>4</v>
      </c>
      <c r="I47" s="11">
        <v>1</v>
      </c>
      <c r="J47" s="11">
        <v>5</v>
      </c>
      <c r="K47" s="11">
        <v>1</v>
      </c>
      <c r="L47" s="11">
        <v>0</v>
      </c>
      <c r="M47" s="12">
        <v>4</v>
      </c>
      <c r="N47" s="11">
        <v>2</v>
      </c>
      <c r="O47" s="11">
        <v>2</v>
      </c>
      <c r="P47" s="12">
        <v>5</v>
      </c>
      <c r="Q47" s="11">
        <v>11</v>
      </c>
      <c r="R47" s="11">
        <v>0</v>
      </c>
      <c r="S47" s="11">
        <v>6</v>
      </c>
      <c r="T47" s="12">
        <v>0</v>
      </c>
      <c r="U47" s="12">
        <v>4</v>
      </c>
      <c r="V47" s="13">
        <v>0.19354838709677419</v>
      </c>
      <c r="W47" s="13">
        <v>9.67741935483871</v>
      </c>
      <c r="X47" s="13">
        <v>1.5</v>
      </c>
      <c r="Y47" s="14">
        <v>14</v>
      </c>
      <c r="Z47" s="15">
        <v>2</v>
      </c>
    </row>
    <row r="48" spans="1:26" ht="15.75" x14ac:dyDescent="0.25">
      <c r="A48" s="231">
        <v>13</v>
      </c>
      <c r="B48" s="258"/>
      <c r="C48" s="257" t="s">
        <v>61</v>
      </c>
      <c r="D48" s="99" t="s">
        <v>58</v>
      </c>
      <c r="E48" s="10">
        <v>31</v>
      </c>
      <c r="F48" s="26">
        <v>3</v>
      </c>
      <c r="G48" s="56">
        <v>1</v>
      </c>
      <c r="H48" s="26">
        <v>9</v>
      </c>
      <c r="I48" s="26">
        <v>0</v>
      </c>
      <c r="J48" s="11">
        <v>10</v>
      </c>
      <c r="K48" s="26">
        <v>0</v>
      </c>
      <c r="L48" s="26">
        <v>8</v>
      </c>
      <c r="M48" s="12">
        <v>2</v>
      </c>
      <c r="N48" s="26">
        <v>0</v>
      </c>
      <c r="O48" s="26">
        <v>2</v>
      </c>
      <c r="P48" s="12">
        <v>10</v>
      </c>
      <c r="Q48" s="26">
        <v>50</v>
      </c>
      <c r="R48" s="26">
        <v>0</v>
      </c>
      <c r="S48" s="26">
        <v>34</v>
      </c>
      <c r="T48" s="12">
        <v>0</v>
      </c>
      <c r="U48" s="12">
        <v>10</v>
      </c>
      <c r="V48" s="13">
        <v>1.096774193548387</v>
      </c>
      <c r="W48" s="13">
        <v>36.559139784946233</v>
      </c>
      <c r="X48" s="13">
        <v>3.4</v>
      </c>
      <c r="Y48" s="14">
        <v>5.9</v>
      </c>
      <c r="Z48" s="15">
        <v>3.3333333333333335</v>
      </c>
    </row>
    <row r="49" spans="1:26" ht="15.75" x14ac:dyDescent="0.25">
      <c r="A49" s="231"/>
      <c r="B49" s="258"/>
      <c r="C49" s="257" t="s">
        <v>61</v>
      </c>
      <c r="D49" s="99" t="s">
        <v>59</v>
      </c>
      <c r="E49" s="10">
        <v>31</v>
      </c>
      <c r="F49" s="26">
        <v>2</v>
      </c>
      <c r="G49" s="56">
        <v>0</v>
      </c>
      <c r="H49" s="26">
        <v>3</v>
      </c>
      <c r="I49" s="26">
        <v>2</v>
      </c>
      <c r="J49" s="11">
        <v>5</v>
      </c>
      <c r="K49" s="26">
        <v>0</v>
      </c>
      <c r="L49" s="26">
        <v>1</v>
      </c>
      <c r="M49" s="12">
        <v>4</v>
      </c>
      <c r="N49" s="26">
        <v>3</v>
      </c>
      <c r="O49" s="26">
        <v>1</v>
      </c>
      <c r="P49" s="12">
        <v>5</v>
      </c>
      <c r="Q49" s="26">
        <v>41</v>
      </c>
      <c r="R49" s="26">
        <v>0</v>
      </c>
      <c r="S49" s="26">
        <v>30</v>
      </c>
      <c r="T49" s="12">
        <v>0</v>
      </c>
      <c r="U49" s="12">
        <v>5</v>
      </c>
      <c r="V49" s="13">
        <v>0.967741935483871</v>
      </c>
      <c r="W49" s="13">
        <v>48.387096774193552</v>
      </c>
      <c r="X49" s="13">
        <v>6</v>
      </c>
      <c r="Y49" s="14">
        <v>6.4</v>
      </c>
      <c r="Z49" s="15">
        <v>2.5</v>
      </c>
    </row>
    <row r="50" spans="1:26" ht="15.75" x14ac:dyDescent="0.25">
      <c r="A50" s="231"/>
      <c r="B50" s="258"/>
      <c r="C50" s="257" t="s">
        <v>61</v>
      </c>
      <c r="D50" s="99" t="s">
        <v>60</v>
      </c>
      <c r="E50" s="10">
        <v>31</v>
      </c>
      <c r="F50" s="26">
        <v>10</v>
      </c>
      <c r="G50" s="56">
        <v>2</v>
      </c>
      <c r="H50" s="26">
        <v>43</v>
      </c>
      <c r="I50" s="26">
        <v>12</v>
      </c>
      <c r="J50" s="11">
        <v>57</v>
      </c>
      <c r="K50" s="26">
        <v>3</v>
      </c>
      <c r="L50" s="26">
        <v>34</v>
      </c>
      <c r="M50" s="12">
        <v>15</v>
      </c>
      <c r="N50" s="26">
        <v>6</v>
      </c>
      <c r="O50" s="26">
        <v>9</v>
      </c>
      <c r="P50" s="12">
        <v>52</v>
      </c>
      <c r="Q50" s="26">
        <v>226</v>
      </c>
      <c r="R50" s="26">
        <v>0</v>
      </c>
      <c r="S50" s="26">
        <v>204</v>
      </c>
      <c r="T50" s="12">
        <v>5</v>
      </c>
      <c r="U50" s="12">
        <v>49</v>
      </c>
      <c r="V50" s="13">
        <v>6.580645161290323</v>
      </c>
      <c r="W50" s="13">
        <v>65.806451612903231</v>
      </c>
      <c r="X50" s="13">
        <v>4.1632653061224492</v>
      </c>
      <c r="Y50" s="14">
        <v>2.1632653061224487</v>
      </c>
      <c r="Z50" s="15">
        <v>4.9000000000000004</v>
      </c>
    </row>
    <row r="51" spans="1:26" ht="15.75" x14ac:dyDescent="0.25">
      <c r="A51" s="231"/>
      <c r="B51" s="258"/>
      <c r="C51" s="17" t="s">
        <v>61</v>
      </c>
      <c r="D51" s="16"/>
      <c r="E51" s="17">
        <v>31</v>
      </c>
      <c r="F51" s="17">
        <v>17</v>
      </c>
      <c r="G51" s="17">
        <v>3</v>
      </c>
      <c r="H51" s="17">
        <v>59</v>
      </c>
      <c r="I51" s="17">
        <v>15</v>
      </c>
      <c r="J51" s="17">
        <v>77</v>
      </c>
      <c r="K51" s="17">
        <v>4</v>
      </c>
      <c r="L51" s="17">
        <v>43</v>
      </c>
      <c r="M51" s="18">
        <v>25</v>
      </c>
      <c r="N51" s="17">
        <v>11</v>
      </c>
      <c r="O51" s="17">
        <v>14</v>
      </c>
      <c r="P51" s="18">
        <v>72</v>
      </c>
      <c r="Q51" s="17">
        <v>328</v>
      </c>
      <c r="R51" s="17">
        <v>0</v>
      </c>
      <c r="S51" s="17">
        <v>274</v>
      </c>
      <c r="T51" s="18">
        <v>5</v>
      </c>
      <c r="U51" s="18">
        <v>68</v>
      </c>
      <c r="V51" s="19">
        <v>8.8387096774193541</v>
      </c>
      <c r="W51" s="19">
        <v>51.992409867172675</v>
      </c>
      <c r="X51" s="19">
        <v>4.0294117647058822</v>
      </c>
      <c r="Y51" s="20">
        <v>3.7205882352941182</v>
      </c>
      <c r="Z51" s="20">
        <v>4</v>
      </c>
    </row>
    <row r="52" spans="1:26" ht="15.75" x14ac:dyDescent="0.25">
      <c r="A52" s="59"/>
      <c r="B52" s="258"/>
      <c r="C52" s="11"/>
      <c r="D52" s="22"/>
      <c r="E52" s="11"/>
      <c r="F52" s="11"/>
      <c r="G52" s="11"/>
      <c r="H52" s="11"/>
      <c r="I52" s="11"/>
      <c r="J52" s="11"/>
      <c r="K52" s="11"/>
      <c r="L52" s="11"/>
      <c r="M52" s="12"/>
      <c r="N52" s="11"/>
      <c r="O52" s="11"/>
      <c r="P52" s="12"/>
      <c r="Q52" s="11"/>
      <c r="R52" s="11"/>
      <c r="S52" s="11"/>
      <c r="T52" s="12"/>
      <c r="U52" s="12"/>
      <c r="V52" s="13"/>
      <c r="W52" s="13"/>
      <c r="X52" s="13"/>
      <c r="Y52" s="15"/>
      <c r="Z52" s="15"/>
    </row>
    <row r="53" spans="1:26" ht="15.75" x14ac:dyDescent="0.25">
      <c r="A53" s="231">
        <v>14</v>
      </c>
      <c r="B53" s="258"/>
      <c r="C53" s="11" t="s">
        <v>62</v>
      </c>
      <c r="D53" s="22" t="s">
        <v>55</v>
      </c>
      <c r="E53" s="10">
        <v>31</v>
      </c>
      <c r="F53" s="11">
        <v>8</v>
      </c>
      <c r="G53" s="11">
        <v>4</v>
      </c>
      <c r="H53" s="11">
        <v>31</v>
      </c>
      <c r="I53" s="11">
        <v>2</v>
      </c>
      <c r="J53" s="11">
        <v>37</v>
      </c>
      <c r="K53" s="11">
        <v>1</v>
      </c>
      <c r="L53" s="11">
        <v>30</v>
      </c>
      <c r="M53" s="12">
        <v>3</v>
      </c>
      <c r="N53" s="11">
        <v>0</v>
      </c>
      <c r="O53" s="11">
        <v>3</v>
      </c>
      <c r="P53" s="12">
        <v>34</v>
      </c>
      <c r="Q53" s="11">
        <v>111</v>
      </c>
      <c r="R53" s="11">
        <v>0</v>
      </c>
      <c r="S53" s="11">
        <v>112</v>
      </c>
      <c r="T53" s="12">
        <v>3</v>
      </c>
      <c r="U53" s="12">
        <v>33</v>
      </c>
      <c r="V53" s="13">
        <v>3.6129032258064515</v>
      </c>
      <c r="W53" s="24">
        <v>45.161290322580641</v>
      </c>
      <c r="X53" s="24">
        <v>3.393939393939394</v>
      </c>
      <c r="Y53" s="23">
        <v>4.1212121212121211</v>
      </c>
      <c r="Z53" s="24">
        <v>4.125</v>
      </c>
    </row>
    <row r="54" spans="1:26" ht="15.75" x14ac:dyDescent="0.25">
      <c r="A54" s="231"/>
      <c r="B54" s="258"/>
      <c r="C54" s="17" t="s">
        <v>62</v>
      </c>
      <c r="D54" s="16" t="s">
        <v>55</v>
      </c>
      <c r="E54" s="103">
        <v>31</v>
      </c>
      <c r="F54" s="17">
        <v>8</v>
      </c>
      <c r="G54" s="103">
        <v>4</v>
      </c>
      <c r="H54" s="17">
        <v>31</v>
      </c>
      <c r="I54" s="17">
        <v>2</v>
      </c>
      <c r="J54" s="17">
        <v>37</v>
      </c>
      <c r="K54" s="17">
        <v>1</v>
      </c>
      <c r="L54" s="17">
        <v>30</v>
      </c>
      <c r="M54" s="18">
        <v>3</v>
      </c>
      <c r="N54" s="17">
        <v>0</v>
      </c>
      <c r="O54" s="17">
        <v>3</v>
      </c>
      <c r="P54" s="18">
        <v>34</v>
      </c>
      <c r="Q54" s="17">
        <v>111</v>
      </c>
      <c r="R54" s="17">
        <v>0</v>
      </c>
      <c r="S54" s="17">
        <v>112</v>
      </c>
      <c r="T54" s="18">
        <v>3</v>
      </c>
      <c r="U54" s="18">
        <v>33</v>
      </c>
      <c r="V54" s="19">
        <v>3.6129032258064515</v>
      </c>
      <c r="W54" s="27">
        <v>45.161290322580641</v>
      </c>
      <c r="X54" s="27">
        <v>3.393939393939394</v>
      </c>
      <c r="Y54" s="27">
        <v>4.1212121212121211</v>
      </c>
      <c r="Z54" s="27">
        <v>4.125</v>
      </c>
    </row>
    <row r="55" spans="1:26" ht="15.75" x14ac:dyDescent="0.25">
      <c r="A55" s="59"/>
      <c r="B55" s="258"/>
      <c r="C55" s="181" t="s">
        <v>63</v>
      </c>
      <c r="D55" s="22" t="s">
        <v>40</v>
      </c>
      <c r="E55" s="10">
        <v>31</v>
      </c>
      <c r="F55" s="11">
        <v>4</v>
      </c>
      <c r="G55" s="11">
        <v>0</v>
      </c>
      <c r="H55" s="11">
        <v>0</v>
      </c>
      <c r="I55" s="11">
        <v>0</v>
      </c>
      <c r="J55" s="11"/>
      <c r="K55" s="11">
        <v>0</v>
      </c>
      <c r="L55" s="11">
        <v>0</v>
      </c>
      <c r="M55" s="12"/>
      <c r="N55" s="11">
        <v>0</v>
      </c>
      <c r="O55" s="11">
        <v>0</v>
      </c>
      <c r="P55" s="12"/>
      <c r="Q55" s="11">
        <v>0</v>
      </c>
      <c r="R55" s="11">
        <v>0</v>
      </c>
      <c r="S55" s="11">
        <v>0</v>
      </c>
      <c r="T55" s="12">
        <v>0</v>
      </c>
      <c r="U55" s="12">
        <v>0</v>
      </c>
      <c r="V55" s="13">
        <v>0</v>
      </c>
      <c r="W55" s="13">
        <v>0</v>
      </c>
      <c r="X55" s="13" t="e">
        <v>#DIV/0!</v>
      </c>
      <c r="Y55" s="14" t="e">
        <v>#DIV/0!</v>
      </c>
      <c r="Z55" s="15">
        <v>0</v>
      </c>
    </row>
    <row r="56" spans="1:26" ht="15.75" x14ac:dyDescent="0.25">
      <c r="A56" s="231">
        <v>15</v>
      </c>
      <c r="B56" s="258"/>
      <c r="C56" s="182" t="s">
        <v>63</v>
      </c>
      <c r="D56" s="22" t="s">
        <v>34</v>
      </c>
      <c r="E56" s="10">
        <v>31</v>
      </c>
      <c r="F56" s="11">
        <v>12</v>
      </c>
      <c r="G56" s="11">
        <v>17</v>
      </c>
      <c r="H56" s="11">
        <v>135</v>
      </c>
      <c r="I56" s="11">
        <v>11</v>
      </c>
      <c r="J56" s="11">
        <v>163</v>
      </c>
      <c r="K56" s="11">
        <v>13</v>
      </c>
      <c r="L56" s="11">
        <v>126</v>
      </c>
      <c r="M56" s="11">
        <v>9</v>
      </c>
      <c r="N56" s="11">
        <v>5</v>
      </c>
      <c r="O56" s="11">
        <v>4</v>
      </c>
      <c r="P56" s="11">
        <v>148</v>
      </c>
      <c r="Q56" s="11">
        <v>488</v>
      </c>
      <c r="R56" s="11">
        <v>2</v>
      </c>
      <c r="S56" s="11">
        <v>504</v>
      </c>
      <c r="T56" s="11">
        <v>15</v>
      </c>
      <c r="U56" s="11">
        <v>135</v>
      </c>
      <c r="V56" s="15">
        <v>16.258064516129032</v>
      </c>
      <c r="W56" s="15">
        <v>135.48387096774192</v>
      </c>
      <c r="X56" s="15">
        <v>3.7333333333333334</v>
      </c>
      <c r="Y56" s="14">
        <v>-0.97777777777777775</v>
      </c>
      <c r="Z56" s="15">
        <v>11.25</v>
      </c>
    </row>
    <row r="57" spans="1:26" ht="15.75" x14ac:dyDescent="0.25">
      <c r="A57" s="231"/>
      <c r="B57" s="258"/>
      <c r="C57" s="17" t="s">
        <v>63</v>
      </c>
      <c r="D57" s="16"/>
      <c r="E57" s="103">
        <v>31</v>
      </c>
      <c r="F57" s="17">
        <v>16</v>
      </c>
      <c r="G57" s="103">
        <v>17</v>
      </c>
      <c r="H57" s="17">
        <v>135</v>
      </c>
      <c r="I57" s="17">
        <v>11</v>
      </c>
      <c r="J57" s="17">
        <v>163</v>
      </c>
      <c r="K57" s="17">
        <v>13</v>
      </c>
      <c r="L57" s="17">
        <v>126</v>
      </c>
      <c r="M57" s="17">
        <v>9</v>
      </c>
      <c r="N57" s="17">
        <v>5</v>
      </c>
      <c r="O57" s="17">
        <v>4</v>
      </c>
      <c r="P57" s="17">
        <v>148</v>
      </c>
      <c r="Q57" s="17">
        <v>488</v>
      </c>
      <c r="R57" s="17">
        <v>2</v>
      </c>
      <c r="S57" s="17">
        <v>504</v>
      </c>
      <c r="T57" s="17">
        <v>15</v>
      </c>
      <c r="U57" s="17">
        <v>135</v>
      </c>
      <c r="V57" s="20">
        <v>16.258064516129032</v>
      </c>
      <c r="W57" s="20">
        <v>101.61290322580645</v>
      </c>
      <c r="X57" s="20">
        <v>3.7333333333333334</v>
      </c>
      <c r="Y57" s="20">
        <v>-5.9259259259259206E-2</v>
      </c>
      <c r="Z57" s="20">
        <v>8.4375</v>
      </c>
    </row>
    <row r="58" spans="1:26" ht="15.75" x14ac:dyDescent="0.25">
      <c r="A58" s="59"/>
      <c r="B58" s="258"/>
      <c r="C58" s="248" t="s">
        <v>64</v>
      </c>
      <c r="D58" s="22" t="s">
        <v>112</v>
      </c>
      <c r="E58" s="10">
        <v>31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>
        <v>0</v>
      </c>
      <c r="U58" s="12">
        <v>0</v>
      </c>
      <c r="V58" s="13" t="e">
        <v>#DIV/0!</v>
      </c>
      <c r="W58" s="13" t="e">
        <v>#DIV/0!</v>
      </c>
      <c r="X58" s="13" t="e">
        <v>#DIV/0!</v>
      </c>
      <c r="Y58" s="14" t="e">
        <v>#DIV/0!</v>
      </c>
      <c r="Z58" s="15" t="e">
        <v>#DIV/0!</v>
      </c>
    </row>
    <row r="59" spans="1:26" ht="15.75" x14ac:dyDescent="0.25">
      <c r="A59" s="253">
        <v>16</v>
      </c>
      <c r="B59" s="258"/>
      <c r="C59" s="249"/>
      <c r="D59" s="21" t="s">
        <v>48</v>
      </c>
      <c r="E59" s="10">
        <v>31</v>
      </c>
      <c r="F59" s="10">
        <v>2</v>
      </c>
      <c r="G59" s="11">
        <v>0</v>
      </c>
      <c r="H59" s="10">
        <v>9</v>
      </c>
      <c r="I59" s="10">
        <v>8</v>
      </c>
      <c r="J59" s="11">
        <v>17</v>
      </c>
      <c r="K59" s="10">
        <v>5</v>
      </c>
      <c r="L59" s="10">
        <v>11</v>
      </c>
      <c r="M59" s="11">
        <v>0</v>
      </c>
      <c r="N59" s="10">
        <v>0</v>
      </c>
      <c r="O59" s="10">
        <v>0</v>
      </c>
      <c r="P59" s="11">
        <v>16</v>
      </c>
      <c r="Q59" s="10">
        <v>29</v>
      </c>
      <c r="R59" s="10">
        <v>0</v>
      </c>
      <c r="S59" s="10">
        <v>26</v>
      </c>
      <c r="T59" s="12">
        <v>1</v>
      </c>
      <c r="U59" s="12">
        <v>11</v>
      </c>
      <c r="V59" s="13">
        <v>0.83870967741935487</v>
      </c>
      <c r="W59" s="24">
        <v>41.935483870967744</v>
      </c>
      <c r="X59" s="24">
        <v>2.3636363636363638</v>
      </c>
      <c r="Y59" s="23">
        <v>3.272727272727272</v>
      </c>
      <c r="Z59" s="24">
        <v>5.5</v>
      </c>
    </row>
    <row r="60" spans="1:26" ht="15.75" x14ac:dyDescent="0.25">
      <c r="A60" s="253"/>
      <c r="B60" s="258"/>
      <c r="C60" s="249"/>
      <c r="D60" s="21" t="s">
        <v>38</v>
      </c>
      <c r="E60" s="10">
        <v>31</v>
      </c>
      <c r="F60" s="10">
        <v>8</v>
      </c>
      <c r="G60" s="11">
        <v>7</v>
      </c>
      <c r="H60" s="10">
        <v>24</v>
      </c>
      <c r="I60" s="10">
        <v>129</v>
      </c>
      <c r="J60" s="11">
        <v>160</v>
      </c>
      <c r="K60" s="10">
        <v>140</v>
      </c>
      <c r="L60" s="10">
        <v>17</v>
      </c>
      <c r="M60" s="11">
        <v>1</v>
      </c>
      <c r="N60" s="10">
        <v>0</v>
      </c>
      <c r="O60" s="10">
        <v>1</v>
      </c>
      <c r="P60" s="11">
        <v>158</v>
      </c>
      <c r="Q60" s="10">
        <v>42</v>
      </c>
      <c r="R60" s="10">
        <v>1</v>
      </c>
      <c r="S60" s="10">
        <v>178</v>
      </c>
      <c r="T60" s="12">
        <v>2</v>
      </c>
      <c r="U60" s="12">
        <v>18</v>
      </c>
      <c r="V60" s="13">
        <v>5.741935483870968</v>
      </c>
      <c r="W60" s="24">
        <v>71.774193548387103</v>
      </c>
      <c r="X60" s="24">
        <v>9.8888888888888893</v>
      </c>
      <c r="Y60" s="23">
        <v>3.8888888888888888</v>
      </c>
      <c r="Z60" s="24">
        <v>2.25</v>
      </c>
    </row>
    <row r="61" spans="1:26" ht="15.75" x14ac:dyDescent="0.25">
      <c r="A61" s="253"/>
      <c r="B61" s="258"/>
      <c r="C61" s="250"/>
      <c r="D61" s="21" t="s">
        <v>34</v>
      </c>
      <c r="E61" s="10">
        <v>31</v>
      </c>
      <c r="F61" s="10">
        <v>21</v>
      </c>
      <c r="G61" s="11">
        <v>9</v>
      </c>
      <c r="H61" s="10">
        <v>123</v>
      </c>
      <c r="I61" s="10">
        <v>233</v>
      </c>
      <c r="J61" s="11">
        <v>365</v>
      </c>
      <c r="K61" s="10">
        <v>76</v>
      </c>
      <c r="L61" s="10">
        <v>276</v>
      </c>
      <c r="M61" s="11">
        <v>0</v>
      </c>
      <c r="N61" s="10">
        <v>0</v>
      </c>
      <c r="O61" s="10">
        <v>0</v>
      </c>
      <c r="P61" s="11">
        <v>352</v>
      </c>
      <c r="Q61" s="10">
        <v>636</v>
      </c>
      <c r="R61" s="10">
        <v>2</v>
      </c>
      <c r="S61" s="10">
        <v>424</v>
      </c>
      <c r="T61" s="12">
        <v>13</v>
      </c>
      <c r="U61" s="12">
        <v>276</v>
      </c>
      <c r="V61" s="13">
        <v>13.67741935483871</v>
      </c>
      <c r="W61" s="24">
        <v>65.130568356374809</v>
      </c>
      <c r="X61" s="24">
        <v>1.536231884057971</v>
      </c>
      <c r="Y61" s="23">
        <v>0.82246376811594202</v>
      </c>
      <c r="Z61" s="24">
        <v>13.142857142857142</v>
      </c>
    </row>
    <row r="62" spans="1:26" ht="15.75" x14ac:dyDescent="0.25">
      <c r="A62" s="253"/>
      <c r="B62" s="258"/>
      <c r="C62" s="17" t="s">
        <v>64</v>
      </c>
      <c r="D62" s="16"/>
      <c r="E62" s="103">
        <v>31</v>
      </c>
      <c r="F62" s="17">
        <v>31</v>
      </c>
      <c r="G62" s="103">
        <v>16</v>
      </c>
      <c r="H62" s="17">
        <v>156</v>
      </c>
      <c r="I62" s="17">
        <v>370</v>
      </c>
      <c r="J62" s="17">
        <v>542</v>
      </c>
      <c r="K62" s="17">
        <v>221</v>
      </c>
      <c r="L62" s="17">
        <v>304</v>
      </c>
      <c r="M62" s="17">
        <v>1</v>
      </c>
      <c r="N62" s="17">
        <v>0</v>
      </c>
      <c r="O62" s="17">
        <v>1</v>
      </c>
      <c r="P62" s="17">
        <v>526</v>
      </c>
      <c r="Q62" s="17">
        <v>707</v>
      </c>
      <c r="R62" s="17">
        <v>3</v>
      </c>
      <c r="S62" s="17">
        <v>628</v>
      </c>
      <c r="T62" s="17">
        <v>16</v>
      </c>
      <c r="U62" s="17">
        <v>305</v>
      </c>
      <c r="V62" s="20">
        <v>20.258064516129032</v>
      </c>
      <c r="W62" s="20">
        <v>65.348595213319456</v>
      </c>
      <c r="X62" s="20">
        <v>2.0590163934426231</v>
      </c>
      <c r="Y62" s="20">
        <v>1.0918032786885246</v>
      </c>
      <c r="Z62" s="20">
        <v>9.8387096774193541</v>
      </c>
    </row>
    <row r="63" spans="1:26" ht="15.75" x14ac:dyDescent="0.25">
      <c r="A63" s="253">
        <v>17</v>
      </c>
      <c r="B63" s="258"/>
      <c r="C63" s="11" t="s">
        <v>81</v>
      </c>
      <c r="D63" s="21" t="s">
        <v>38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258"/>
      <c r="C64" s="17" t="s">
        <v>81</v>
      </c>
      <c r="D64" s="16" t="s">
        <v>38</v>
      </c>
      <c r="E64" s="17"/>
      <c r="F64" s="17"/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>
        <v>0</v>
      </c>
      <c r="X64" s="20" t="e">
        <v>#DIV/0!</v>
      </c>
      <c r="Y64" s="20" t="e">
        <v>#DIV/0!</v>
      </c>
      <c r="Z64" s="20">
        <v>0</v>
      </c>
    </row>
    <row r="65" spans="1:28" ht="15.75" x14ac:dyDescent="0.25">
      <c r="A65" s="255" t="s">
        <v>65</v>
      </c>
      <c r="B65" s="255"/>
      <c r="C65" s="255"/>
      <c r="D65" s="255"/>
      <c r="E65" s="28">
        <v>31</v>
      </c>
      <c r="F65" s="29">
        <f>+F8+F10+F13+F17+F21+F23+F26+F28+F32+F37+F42+F46+F51+F54+F57+F62+F64</f>
        <v>309</v>
      </c>
      <c r="G65" s="29">
        <v>246</v>
      </c>
      <c r="H65" s="29">
        <v>1982</v>
      </c>
      <c r="I65" s="29">
        <v>652</v>
      </c>
      <c r="J65" s="28">
        <v>2880</v>
      </c>
      <c r="K65" s="29">
        <v>426</v>
      </c>
      <c r="L65" s="29">
        <v>2073</v>
      </c>
      <c r="M65" s="28">
        <v>173</v>
      </c>
      <c r="N65" s="29">
        <v>82</v>
      </c>
      <c r="O65" s="29">
        <v>91</v>
      </c>
      <c r="P65" s="28">
        <v>2672</v>
      </c>
      <c r="Q65" s="29">
        <v>7492</v>
      </c>
      <c r="R65" s="29">
        <v>28</v>
      </c>
      <c r="S65" s="29">
        <v>7586</v>
      </c>
      <c r="T65" s="28">
        <v>208</v>
      </c>
      <c r="U65" s="28">
        <v>2246</v>
      </c>
      <c r="V65" s="30">
        <v>244.70967741935485</v>
      </c>
      <c r="W65" s="30">
        <v>79.194070362250756</v>
      </c>
      <c r="X65" s="30">
        <v>3.3775601068566341</v>
      </c>
      <c r="Y65" s="30">
        <v>0.88735529830810322</v>
      </c>
      <c r="Z65" s="30">
        <v>7.2686084142394822</v>
      </c>
    </row>
    <row r="66" spans="1:28" x14ac:dyDescent="0.25">
      <c r="A66" s="33" t="s">
        <v>66</v>
      </c>
      <c r="B66" s="34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8" ht="15" customHeight="1" x14ac:dyDescent="0.25">
      <c r="A67" s="243" t="s">
        <v>1</v>
      </c>
      <c r="B67" s="243" t="s">
        <v>2</v>
      </c>
      <c r="C67" s="240" t="s">
        <v>3</v>
      </c>
      <c r="D67" s="240" t="s">
        <v>4</v>
      </c>
      <c r="E67" s="244" t="s">
        <v>5</v>
      </c>
      <c r="F67" s="240" t="s">
        <v>67</v>
      </c>
      <c r="G67" s="240" t="s">
        <v>7</v>
      </c>
      <c r="H67" s="240" t="s">
        <v>8</v>
      </c>
      <c r="I67" s="244" t="s">
        <v>9</v>
      </c>
      <c r="J67" s="240" t="s">
        <v>10</v>
      </c>
      <c r="K67" s="240" t="s">
        <v>11</v>
      </c>
      <c r="L67" s="240" t="s">
        <v>12</v>
      </c>
      <c r="M67" s="240" t="s">
        <v>13</v>
      </c>
      <c r="N67" s="240" t="s">
        <v>14</v>
      </c>
      <c r="O67" s="240" t="s">
        <v>15</v>
      </c>
      <c r="P67" s="240" t="s">
        <v>16</v>
      </c>
      <c r="Q67" s="240" t="s">
        <v>17</v>
      </c>
      <c r="R67" s="240" t="s">
        <v>18</v>
      </c>
      <c r="S67" s="240" t="s">
        <v>19</v>
      </c>
      <c r="T67" s="240" t="s">
        <v>20</v>
      </c>
      <c r="U67" s="241" t="s">
        <v>21</v>
      </c>
      <c r="V67" s="8" t="s">
        <v>22</v>
      </c>
      <c r="W67" s="8" t="s">
        <v>68</v>
      </c>
      <c r="X67" s="8" t="s">
        <v>24</v>
      </c>
      <c r="Y67" s="8" t="s">
        <v>25</v>
      </c>
      <c r="Z67" s="8" t="s">
        <v>26</v>
      </c>
    </row>
    <row r="68" spans="1:28" ht="15" customHeight="1" x14ac:dyDescent="0.25">
      <c r="A68" s="243"/>
      <c r="B68" s="243"/>
      <c r="C68" s="240"/>
      <c r="D68" s="240"/>
      <c r="E68" s="244"/>
      <c r="F68" s="240"/>
      <c r="G68" s="240"/>
      <c r="H68" s="240"/>
      <c r="I68" s="244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1"/>
      <c r="V68" s="238" t="s">
        <v>27</v>
      </c>
      <c r="W68" s="238" t="s">
        <v>28</v>
      </c>
      <c r="X68" s="238" t="s">
        <v>29</v>
      </c>
      <c r="Y68" s="238" t="s">
        <v>30</v>
      </c>
      <c r="Z68" s="238" t="s">
        <v>31</v>
      </c>
      <c r="AB68" s="52"/>
    </row>
    <row r="69" spans="1:28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42"/>
      <c r="W69" s="238"/>
      <c r="X69" s="238"/>
      <c r="Y69" s="238"/>
      <c r="Z69" s="238"/>
    </row>
    <row r="70" spans="1:28" x14ac:dyDescent="0.25">
      <c r="A70" s="243"/>
      <c r="B70" s="243"/>
      <c r="C70" s="240"/>
      <c r="D70" s="240"/>
      <c r="E70" s="244"/>
      <c r="F70" s="240"/>
      <c r="G70" s="9">
        <v>1</v>
      </c>
      <c r="H70" s="9">
        <v>2</v>
      </c>
      <c r="I70" s="9">
        <v>3</v>
      </c>
      <c r="J70" s="9">
        <v>4</v>
      </c>
      <c r="K70" s="9">
        <v>5</v>
      </c>
      <c r="L70" s="9">
        <v>6</v>
      </c>
      <c r="M70" s="9">
        <v>7</v>
      </c>
      <c r="N70" s="9">
        <v>8</v>
      </c>
      <c r="O70" s="9">
        <v>9</v>
      </c>
      <c r="P70" s="9">
        <v>10</v>
      </c>
      <c r="Q70" s="9">
        <v>11</v>
      </c>
      <c r="R70" s="9">
        <v>12</v>
      </c>
      <c r="S70" s="9">
        <v>13</v>
      </c>
      <c r="T70" s="9">
        <v>14</v>
      </c>
      <c r="U70" s="241"/>
      <c r="V70" s="58">
        <v>15</v>
      </c>
      <c r="W70" s="58">
        <v>16</v>
      </c>
      <c r="X70" s="58">
        <v>17</v>
      </c>
      <c r="Y70" s="58">
        <v>18</v>
      </c>
      <c r="Z70" s="58">
        <v>19</v>
      </c>
    </row>
    <row r="71" spans="1:28" ht="15.75" x14ac:dyDescent="0.25">
      <c r="A71" s="231">
        <v>1</v>
      </c>
      <c r="B71" s="231" t="s">
        <v>40</v>
      </c>
      <c r="C71" s="11" t="s">
        <v>69</v>
      </c>
      <c r="D71" s="11" t="s">
        <v>38</v>
      </c>
      <c r="E71" s="10">
        <v>31</v>
      </c>
      <c r="F71" s="11"/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5">
        <v>0</v>
      </c>
      <c r="W71" s="35">
        <v>0</v>
      </c>
      <c r="X71" s="35" t="e">
        <v>#DIV/0!</v>
      </c>
      <c r="Y71" s="36" t="e">
        <v>#DIV/0!</v>
      </c>
      <c r="Z71" s="35">
        <v>0</v>
      </c>
    </row>
    <row r="72" spans="1:28" ht="15.75" x14ac:dyDescent="0.25">
      <c r="A72" s="231"/>
      <c r="B72" s="231"/>
      <c r="C72" s="17" t="s">
        <v>69</v>
      </c>
      <c r="D72" s="17"/>
      <c r="E72" s="17">
        <v>31</v>
      </c>
      <c r="F72" s="17"/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20">
        <v>0</v>
      </c>
      <c r="W72" s="37">
        <v>0</v>
      </c>
      <c r="X72" s="37" t="e">
        <v>#DIV/0!</v>
      </c>
      <c r="Y72" s="37" t="e">
        <v>#DIV/0!</v>
      </c>
      <c r="Z72" s="37">
        <v>0</v>
      </c>
    </row>
    <row r="73" spans="1:28" ht="15.75" x14ac:dyDescent="0.25">
      <c r="A73" s="231">
        <v>2</v>
      </c>
      <c r="B73" s="231"/>
      <c r="C73" s="11" t="s">
        <v>70</v>
      </c>
      <c r="D73" s="11" t="s">
        <v>48</v>
      </c>
      <c r="E73" s="10">
        <v>31</v>
      </c>
      <c r="F73" s="11"/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5">
        <v>0</v>
      </c>
      <c r="W73" s="15">
        <v>0</v>
      </c>
      <c r="X73" s="15" t="e">
        <v>#DIV/0!</v>
      </c>
      <c r="Y73" s="14" t="e">
        <v>#DIV/0!</v>
      </c>
      <c r="Z73" s="15">
        <v>0</v>
      </c>
    </row>
    <row r="74" spans="1:28" ht="15.75" x14ac:dyDescent="0.25">
      <c r="A74" s="231"/>
      <c r="B74" s="231"/>
      <c r="C74" s="17" t="s">
        <v>70</v>
      </c>
      <c r="D74" s="17"/>
      <c r="E74" s="17">
        <v>31</v>
      </c>
      <c r="F74" s="17"/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20">
        <v>0</v>
      </c>
      <c r="W74" s="20">
        <v>0</v>
      </c>
      <c r="X74" s="20" t="e">
        <v>#DIV/0!</v>
      </c>
      <c r="Y74" s="20" t="e">
        <v>#DIV/0!</v>
      </c>
      <c r="Z74" s="20">
        <v>0</v>
      </c>
    </row>
    <row r="75" spans="1:28" ht="15.75" x14ac:dyDescent="0.25">
      <c r="A75" s="231">
        <v>3</v>
      </c>
      <c r="B75" s="231"/>
      <c r="C75" s="11" t="s">
        <v>63</v>
      </c>
      <c r="D75" s="11"/>
      <c r="E75" s="10">
        <v>31</v>
      </c>
      <c r="F75" s="11"/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5">
        <v>0</v>
      </c>
      <c r="W75" s="35" t="e">
        <v>#DIV/0!</v>
      </c>
      <c r="X75" s="35" t="e">
        <v>#DIV/0!</v>
      </c>
      <c r="Y75" s="36" t="e">
        <v>#DIV/0!</v>
      </c>
      <c r="Z75" s="35" t="e">
        <v>#DIV/0!</v>
      </c>
    </row>
    <row r="76" spans="1:28" ht="15.75" x14ac:dyDescent="0.25">
      <c r="A76" s="231"/>
      <c r="B76" s="231"/>
      <c r="C76" s="17" t="s">
        <v>63</v>
      </c>
      <c r="D76" s="17"/>
      <c r="E76" s="17">
        <v>31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20">
        <v>0</v>
      </c>
      <c r="W76" s="37" t="e">
        <v>#DIV/0!</v>
      </c>
      <c r="X76" s="37" t="e">
        <v>#DIV/0!</v>
      </c>
      <c r="Y76" s="37" t="e">
        <v>#DIV/0!</v>
      </c>
      <c r="Z76" s="37" t="e">
        <v>#DIV/0!</v>
      </c>
    </row>
    <row r="77" spans="1:28" ht="15.75" x14ac:dyDescent="0.25">
      <c r="A77" s="251" t="s">
        <v>71</v>
      </c>
      <c r="B77" s="251"/>
      <c r="C77" s="251"/>
      <c r="D77" s="251"/>
      <c r="E77" s="28">
        <v>31</v>
      </c>
      <c r="F77" s="29"/>
      <c r="G77" s="29">
        <v>0</v>
      </c>
      <c r="H77" s="29">
        <v>0</v>
      </c>
      <c r="I77" s="29">
        <v>0</v>
      </c>
      <c r="J77" s="28">
        <v>0</v>
      </c>
      <c r="K77" s="29">
        <v>0</v>
      </c>
      <c r="L77" s="29">
        <v>0</v>
      </c>
      <c r="M77" s="28">
        <v>0</v>
      </c>
      <c r="N77" s="29">
        <v>0</v>
      </c>
      <c r="O77" s="29">
        <v>0</v>
      </c>
      <c r="P77" s="28">
        <v>0</v>
      </c>
      <c r="Q77" s="29">
        <v>0</v>
      </c>
      <c r="R77" s="29">
        <v>0</v>
      </c>
      <c r="S77" s="29">
        <v>0</v>
      </c>
      <c r="T77" s="28">
        <v>0</v>
      </c>
      <c r="U77" s="28">
        <v>0</v>
      </c>
      <c r="V77" s="30">
        <v>0</v>
      </c>
      <c r="W77" s="30">
        <v>0</v>
      </c>
      <c r="X77" s="30" t="e">
        <v>#DIV/0!</v>
      </c>
      <c r="Y77" s="30" t="e">
        <v>#DIV/0!</v>
      </c>
      <c r="Z77" s="30">
        <v>0</v>
      </c>
    </row>
    <row r="78" spans="1:28" ht="15.75" customHeight="1" x14ac:dyDescent="0.25">
      <c r="A78" s="252"/>
      <c r="B78" s="252"/>
      <c r="C78" s="252"/>
      <c r="D78" s="252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9"/>
      <c r="W78" s="40"/>
      <c r="X78" s="40"/>
      <c r="Y78" s="40"/>
      <c r="Z78" s="40"/>
    </row>
    <row r="79" spans="1:28" ht="15" customHeight="1" x14ac:dyDescent="0.25">
      <c r="A79" s="243" t="s">
        <v>1</v>
      </c>
      <c r="B79" s="243" t="s">
        <v>2</v>
      </c>
      <c r="C79" s="240" t="s">
        <v>3</v>
      </c>
      <c r="D79" s="240" t="s">
        <v>4</v>
      </c>
      <c r="E79" s="244" t="s">
        <v>5</v>
      </c>
      <c r="F79" s="240" t="s">
        <v>67</v>
      </c>
      <c r="G79" s="240" t="s">
        <v>7</v>
      </c>
      <c r="H79" s="240" t="s">
        <v>8</v>
      </c>
      <c r="I79" s="244" t="s">
        <v>9</v>
      </c>
      <c r="J79" s="240" t="s">
        <v>10</v>
      </c>
      <c r="K79" s="240" t="s">
        <v>11</v>
      </c>
      <c r="L79" s="240" t="s">
        <v>12</v>
      </c>
      <c r="M79" s="240" t="s">
        <v>13</v>
      </c>
      <c r="N79" s="240" t="s">
        <v>14</v>
      </c>
      <c r="O79" s="240" t="s">
        <v>15</v>
      </c>
      <c r="P79" s="240" t="s">
        <v>16</v>
      </c>
      <c r="Q79" s="240" t="s">
        <v>17</v>
      </c>
      <c r="R79" s="240" t="s">
        <v>18</v>
      </c>
      <c r="S79" s="240" t="s">
        <v>19</v>
      </c>
      <c r="T79" s="240" t="s">
        <v>20</v>
      </c>
      <c r="U79" s="241" t="s">
        <v>21</v>
      </c>
      <c r="V79" s="8" t="s">
        <v>22</v>
      </c>
      <c r="W79" s="8" t="s">
        <v>68</v>
      </c>
      <c r="X79" s="8" t="s">
        <v>24</v>
      </c>
      <c r="Y79" s="8" t="s">
        <v>25</v>
      </c>
      <c r="Z79" s="8" t="s">
        <v>26</v>
      </c>
    </row>
    <row r="80" spans="1:28" ht="15" customHeight="1" x14ac:dyDescent="0.25">
      <c r="A80" s="243"/>
      <c r="B80" s="243"/>
      <c r="C80" s="240"/>
      <c r="D80" s="240"/>
      <c r="E80" s="244"/>
      <c r="F80" s="240"/>
      <c r="G80" s="240"/>
      <c r="H80" s="240"/>
      <c r="I80" s="244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1"/>
      <c r="V80" s="238" t="s">
        <v>27</v>
      </c>
      <c r="W80" s="238" t="s">
        <v>28</v>
      </c>
      <c r="X80" s="238" t="s">
        <v>29</v>
      </c>
      <c r="Y80" s="238" t="s">
        <v>30</v>
      </c>
      <c r="Z80" s="238" t="s">
        <v>31</v>
      </c>
    </row>
    <row r="81" spans="1:26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42"/>
      <c r="W81" s="238"/>
      <c r="X81" s="238"/>
      <c r="Y81" s="238"/>
      <c r="Z81" s="238"/>
    </row>
    <row r="82" spans="1:26" x14ac:dyDescent="0.25">
      <c r="A82" s="243"/>
      <c r="B82" s="243"/>
      <c r="C82" s="240"/>
      <c r="D82" s="240"/>
      <c r="E82" s="244"/>
      <c r="F82" s="240"/>
      <c r="G82" s="9">
        <v>1</v>
      </c>
      <c r="H82" s="9">
        <v>2</v>
      </c>
      <c r="I82" s="9">
        <v>3</v>
      </c>
      <c r="J82" s="9">
        <v>4</v>
      </c>
      <c r="K82" s="9">
        <v>5</v>
      </c>
      <c r="L82" s="9">
        <v>6</v>
      </c>
      <c r="M82" s="9">
        <v>7</v>
      </c>
      <c r="N82" s="9">
        <v>8</v>
      </c>
      <c r="O82" s="9">
        <v>9</v>
      </c>
      <c r="P82" s="9">
        <v>10</v>
      </c>
      <c r="Q82" s="9">
        <v>11</v>
      </c>
      <c r="R82" s="9">
        <v>12</v>
      </c>
      <c r="S82" s="9">
        <v>13</v>
      </c>
      <c r="T82" s="9">
        <v>14</v>
      </c>
      <c r="U82" s="241"/>
      <c r="V82" s="58">
        <v>15</v>
      </c>
      <c r="W82" s="58">
        <v>16</v>
      </c>
      <c r="X82" s="58">
        <v>17</v>
      </c>
      <c r="Y82" s="58">
        <v>18</v>
      </c>
      <c r="Z82" s="58">
        <v>19</v>
      </c>
    </row>
    <row r="83" spans="1:26" ht="15.75" x14ac:dyDescent="0.25">
      <c r="A83" s="183">
        <v>1</v>
      </c>
      <c r="B83" s="245" t="s">
        <v>72</v>
      </c>
      <c r="C83" s="10" t="s">
        <v>69</v>
      </c>
      <c r="D83" s="10" t="s">
        <v>38</v>
      </c>
      <c r="E83" s="10">
        <v>31</v>
      </c>
      <c r="F83" s="10">
        <v>30</v>
      </c>
      <c r="G83" s="10">
        <v>13</v>
      </c>
      <c r="H83" s="10">
        <v>145</v>
      </c>
      <c r="I83" s="10">
        <v>20</v>
      </c>
      <c r="J83" s="11">
        <v>178</v>
      </c>
      <c r="K83" s="10">
        <v>76</v>
      </c>
      <c r="L83" s="10">
        <v>84</v>
      </c>
      <c r="M83" s="11">
        <v>3</v>
      </c>
      <c r="N83" s="10">
        <v>3</v>
      </c>
      <c r="O83" s="10">
        <v>0</v>
      </c>
      <c r="P83" s="11">
        <v>163</v>
      </c>
      <c r="Q83" s="10">
        <v>523</v>
      </c>
      <c r="R83" s="10">
        <v>2</v>
      </c>
      <c r="S83" s="10">
        <v>540</v>
      </c>
      <c r="T83" s="11">
        <v>15</v>
      </c>
      <c r="U83" s="11">
        <v>87</v>
      </c>
      <c r="V83" s="15">
        <v>17.419354838709676</v>
      </c>
      <c r="W83" s="15">
        <v>58.064516129032249</v>
      </c>
      <c r="X83" s="15">
        <v>6.2068965517241379</v>
      </c>
      <c r="Y83" s="14">
        <v>4.4827586206896557</v>
      </c>
      <c r="Z83" s="15">
        <v>2.9</v>
      </c>
    </row>
    <row r="84" spans="1:26" ht="15.75" x14ac:dyDescent="0.25">
      <c r="A84" s="183"/>
      <c r="B84" s="246"/>
      <c r="C84" s="17" t="s">
        <v>69</v>
      </c>
      <c r="D84" s="17"/>
      <c r="E84" s="10">
        <v>31</v>
      </c>
      <c r="F84" s="41">
        <v>30</v>
      </c>
      <c r="G84" s="17">
        <v>13</v>
      </c>
      <c r="H84" s="17">
        <v>145</v>
      </c>
      <c r="I84" s="17">
        <v>20</v>
      </c>
      <c r="J84" s="17">
        <v>178</v>
      </c>
      <c r="K84" s="17">
        <v>76</v>
      </c>
      <c r="L84" s="17">
        <v>84</v>
      </c>
      <c r="M84" s="17">
        <v>3</v>
      </c>
      <c r="N84" s="17">
        <v>3</v>
      </c>
      <c r="O84" s="17">
        <v>0</v>
      </c>
      <c r="P84" s="17">
        <v>163</v>
      </c>
      <c r="Q84" s="17">
        <v>523</v>
      </c>
      <c r="R84" s="17">
        <v>2</v>
      </c>
      <c r="S84" s="17">
        <v>540</v>
      </c>
      <c r="T84" s="17">
        <v>15</v>
      </c>
      <c r="U84" s="17">
        <v>87</v>
      </c>
      <c r="V84" s="20">
        <v>17.419354838709676</v>
      </c>
      <c r="W84" s="20">
        <v>58.064516129032249</v>
      </c>
      <c r="X84" s="20">
        <v>6.2068965517241379</v>
      </c>
      <c r="Y84" s="20">
        <v>4.4827586206896557</v>
      </c>
      <c r="Z84" s="20">
        <v>2.9</v>
      </c>
    </row>
    <row r="85" spans="1:26" ht="15.75" x14ac:dyDescent="0.25">
      <c r="A85" s="59"/>
      <c r="B85" s="246"/>
      <c r="C85" s="144"/>
      <c r="D85" s="11" t="s">
        <v>55</v>
      </c>
      <c r="E85" s="10">
        <v>31</v>
      </c>
      <c r="F85" s="11"/>
      <c r="G85" s="11">
        <v>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5"/>
      <c r="X85" s="15"/>
      <c r="Y85" s="15"/>
      <c r="Z85" s="15"/>
    </row>
    <row r="86" spans="1:26" ht="15.75" x14ac:dyDescent="0.25">
      <c r="A86" s="183">
        <v>2</v>
      </c>
      <c r="B86" s="246"/>
      <c r="C86" s="248" t="s">
        <v>73</v>
      </c>
      <c r="D86" s="10" t="s">
        <v>48</v>
      </c>
      <c r="E86" s="10">
        <v>31</v>
      </c>
      <c r="F86" s="10">
        <v>2</v>
      </c>
      <c r="G86" s="11">
        <v>0</v>
      </c>
      <c r="H86" s="11">
        <v>0</v>
      </c>
      <c r="I86" s="11">
        <v>3</v>
      </c>
      <c r="J86" s="11">
        <v>3</v>
      </c>
      <c r="K86" s="11">
        <v>0</v>
      </c>
      <c r="L86" s="11">
        <v>2</v>
      </c>
      <c r="M86" s="11">
        <v>0</v>
      </c>
      <c r="N86" s="11">
        <v>0</v>
      </c>
      <c r="O86" s="11">
        <v>0</v>
      </c>
      <c r="P86" s="11">
        <v>2</v>
      </c>
      <c r="Q86" s="11">
        <v>3</v>
      </c>
      <c r="R86" s="11">
        <v>0</v>
      </c>
      <c r="S86" s="11">
        <v>3</v>
      </c>
      <c r="T86" s="11">
        <v>1</v>
      </c>
      <c r="U86" s="11">
        <v>2</v>
      </c>
      <c r="V86" s="15">
        <v>9.6774193548387094E-2</v>
      </c>
      <c r="W86" s="15">
        <v>4.838709677419355</v>
      </c>
      <c r="X86" s="15">
        <v>1.5</v>
      </c>
      <c r="Y86" s="14">
        <v>29.5</v>
      </c>
      <c r="Z86" s="15">
        <v>1</v>
      </c>
    </row>
    <row r="87" spans="1:26" ht="15.75" x14ac:dyDescent="0.25">
      <c r="A87" s="183"/>
      <c r="B87" s="246"/>
      <c r="C87" s="249"/>
      <c r="D87" s="10" t="s">
        <v>38</v>
      </c>
      <c r="E87" s="10">
        <v>31</v>
      </c>
      <c r="F87" s="10">
        <v>4</v>
      </c>
      <c r="G87" s="11">
        <v>2</v>
      </c>
      <c r="H87" s="11">
        <v>0</v>
      </c>
      <c r="I87" s="11">
        <v>59</v>
      </c>
      <c r="J87" s="11">
        <v>61</v>
      </c>
      <c r="K87" s="11">
        <v>57</v>
      </c>
      <c r="L87" s="11">
        <v>4</v>
      </c>
      <c r="M87" s="11">
        <v>0</v>
      </c>
      <c r="N87" s="11">
        <v>0</v>
      </c>
      <c r="O87" s="11">
        <v>0</v>
      </c>
      <c r="P87" s="11">
        <v>61</v>
      </c>
      <c r="Q87" s="11">
        <v>7</v>
      </c>
      <c r="R87" s="11">
        <v>0</v>
      </c>
      <c r="S87" s="11">
        <v>62</v>
      </c>
      <c r="T87" s="11">
        <v>0</v>
      </c>
      <c r="U87" s="11">
        <v>4</v>
      </c>
      <c r="V87" s="15">
        <v>2</v>
      </c>
      <c r="W87" s="15">
        <v>50</v>
      </c>
      <c r="X87" s="15">
        <v>15.5</v>
      </c>
      <c r="Y87" s="14">
        <v>15.5</v>
      </c>
      <c r="Z87" s="15">
        <v>1</v>
      </c>
    </row>
    <row r="88" spans="1:26" ht="15.75" x14ac:dyDescent="0.25">
      <c r="A88" s="183"/>
      <c r="B88" s="246"/>
      <c r="C88" s="250"/>
      <c r="D88" s="10" t="s">
        <v>34</v>
      </c>
      <c r="E88" s="10">
        <v>31</v>
      </c>
      <c r="F88" s="10">
        <v>10</v>
      </c>
      <c r="G88" s="11">
        <v>2</v>
      </c>
      <c r="H88" s="11">
        <v>7</v>
      </c>
      <c r="I88" s="11">
        <v>116</v>
      </c>
      <c r="J88" s="11">
        <v>125</v>
      </c>
      <c r="K88" s="11">
        <v>2</v>
      </c>
      <c r="L88" s="11">
        <v>119</v>
      </c>
      <c r="M88" s="11">
        <v>0</v>
      </c>
      <c r="N88" s="11">
        <v>0</v>
      </c>
      <c r="O88" s="11">
        <v>0</v>
      </c>
      <c r="P88" s="11">
        <v>121</v>
      </c>
      <c r="Q88" s="11">
        <v>186</v>
      </c>
      <c r="R88" s="11">
        <v>1</v>
      </c>
      <c r="S88" s="11">
        <v>127</v>
      </c>
      <c r="T88" s="11">
        <v>4</v>
      </c>
      <c r="U88" s="11">
        <v>119</v>
      </c>
      <c r="V88" s="15">
        <v>4.096774193548387</v>
      </c>
      <c r="W88" s="15">
        <v>40.967741935483872</v>
      </c>
      <c r="X88" s="15">
        <v>1.0672268907563025</v>
      </c>
      <c r="Y88" s="14">
        <v>1.5378151260504203</v>
      </c>
      <c r="Z88" s="15">
        <v>11.9</v>
      </c>
    </row>
    <row r="89" spans="1:26" ht="15.75" x14ac:dyDescent="0.25">
      <c r="A89" s="183"/>
      <c r="B89" s="247"/>
      <c r="C89" s="17" t="s">
        <v>73</v>
      </c>
      <c r="D89" s="17"/>
      <c r="E89" s="10">
        <v>31</v>
      </c>
      <c r="F89" s="17">
        <v>16</v>
      </c>
      <c r="G89" s="17">
        <v>4</v>
      </c>
      <c r="H89" s="17">
        <v>7</v>
      </c>
      <c r="I89" s="17">
        <v>178</v>
      </c>
      <c r="J89" s="17">
        <v>189</v>
      </c>
      <c r="K89" s="17">
        <v>59</v>
      </c>
      <c r="L89" s="17">
        <v>125</v>
      </c>
      <c r="M89" s="17">
        <v>0</v>
      </c>
      <c r="N89" s="17">
        <v>0</v>
      </c>
      <c r="O89" s="17">
        <v>0</v>
      </c>
      <c r="P89" s="17">
        <v>184</v>
      </c>
      <c r="Q89" s="17">
        <v>196</v>
      </c>
      <c r="R89" s="17">
        <v>1</v>
      </c>
      <c r="S89" s="17">
        <v>192</v>
      </c>
      <c r="T89" s="17">
        <v>5</v>
      </c>
      <c r="U89" s="17">
        <v>125</v>
      </c>
      <c r="V89" s="20">
        <v>6.193548387096774</v>
      </c>
      <c r="W89" s="20">
        <v>38.70967741935484</v>
      </c>
      <c r="X89" s="20">
        <v>1.536</v>
      </c>
      <c r="Y89" s="20">
        <v>2.4319999999999999</v>
      </c>
      <c r="Z89" s="20">
        <v>7.8125</v>
      </c>
    </row>
    <row r="90" spans="1:26" ht="15.75" x14ac:dyDescent="0.25">
      <c r="A90" s="184" t="s">
        <v>74</v>
      </c>
      <c r="B90" s="184"/>
      <c r="C90" s="105"/>
      <c r="D90" s="105"/>
      <c r="E90" s="10">
        <v>31</v>
      </c>
      <c r="F90" s="29">
        <v>46</v>
      </c>
      <c r="G90" s="29">
        <v>17</v>
      </c>
      <c r="H90" s="29">
        <v>152</v>
      </c>
      <c r="I90" s="29">
        <v>198</v>
      </c>
      <c r="J90" s="28">
        <v>367</v>
      </c>
      <c r="K90" s="29">
        <v>135</v>
      </c>
      <c r="L90" s="29">
        <v>209</v>
      </c>
      <c r="M90" s="28">
        <v>3</v>
      </c>
      <c r="N90" s="29">
        <v>3</v>
      </c>
      <c r="O90" s="29">
        <v>0</v>
      </c>
      <c r="P90" s="28">
        <v>347</v>
      </c>
      <c r="Q90" s="29">
        <v>719</v>
      </c>
      <c r="R90" s="29">
        <v>3</v>
      </c>
      <c r="S90" s="29">
        <v>732</v>
      </c>
      <c r="T90" s="28">
        <v>20</v>
      </c>
      <c r="U90" s="28">
        <v>212</v>
      </c>
      <c r="V90" s="29">
        <v>23.612903225806452</v>
      </c>
      <c r="W90" s="30">
        <v>51.332398316970554</v>
      </c>
      <c r="X90" s="30">
        <v>3.4528301886792452</v>
      </c>
      <c r="Y90" s="30">
        <v>3.2735849056603774</v>
      </c>
      <c r="Z90" s="30">
        <v>4.6086956521739131</v>
      </c>
    </row>
    <row r="91" spans="1:26" ht="15.75" x14ac:dyDescent="0.25">
      <c r="A91" s="31"/>
      <c r="D91" s="32"/>
      <c r="E91" s="42"/>
      <c r="G91">
        <v>37</v>
      </c>
    </row>
    <row r="92" spans="1:26" ht="15" customHeight="1" x14ac:dyDescent="0.25">
      <c r="A92" s="243" t="s">
        <v>1</v>
      </c>
      <c r="B92" s="243" t="s">
        <v>2</v>
      </c>
      <c r="C92" s="240" t="s">
        <v>3</v>
      </c>
      <c r="D92" s="240" t="s">
        <v>4</v>
      </c>
      <c r="E92" s="244" t="s">
        <v>5</v>
      </c>
      <c r="F92" s="240" t="s">
        <v>67</v>
      </c>
      <c r="G92" s="240" t="s">
        <v>7</v>
      </c>
      <c r="H92" s="240" t="s">
        <v>8</v>
      </c>
      <c r="I92" s="244" t="s">
        <v>9</v>
      </c>
      <c r="J92" s="240" t="s">
        <v>10</v>
      </c>
      <c r="K92" s="240" t="s">
        <v>11</v>
      </c>
      <c r="L92" s="240" t="s">
        <v>12</v>
      </c>
      <c r="M92" s="240" t="s">
        <v>13</v>
      </c>
      <c r="N92" s="240" t="s">
        <v>14</v>
      </c>
      <c r="O92" s="240" t="s">
        <v>15</v>
      </c>
      <c r="P92" s="240" t="s">
        <v>16</v>
      </c>
      <c r="Q92" s="240" t="s">
        <v>17</v>
      </c>
      <c r="R92" s="240" t="s">
        <v>18</v>
      </c>
      <c r="S92" s="240" t="s">
        <v>19</v>
      </c>
      <c r="T92" s="240" t="s">
        <v>20</v>
      </c>
      <c r="U92" s="241" t="s">
        <v>21</v>
      </c>
      <c r="V92" s="8" t="s">
        <v>22</v>
      </c>
      <c r="W92" s="8" t="s">
        <v>68</v>
      </c>
      <c r="X92" s="8" t="s">
        <v>24</v>
      </c>
      <c r="Y92" s="8" t="s">
        <v>25</v>
      </c>
      <c r="Z92" s="8" t="s">
        <v>26</v>
      </c>
    </row>
    <row r="93" spans="1:26" ht="15" customHeight="1" x14ac:dyDescent="0.25">
      <c r="A93" s="243"/>
      <c r="B93" s="243"/>
      <c r="C93" s="240"/>
      <c r="D93" s="240"/>
      <c r="E93" s="244"/>
      <c r="F93" s="240"/>
      <c r="G93" s="240"/>
      <c r="H93" s="240"/>
      <c r="I93" s="244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1"/>
      <c r="V93" s="238" t="s">
        <v>27</v>
      </c>
      <c r="W93" s="238" t="s">
        <v>28</v>
      </c>
      <c r="X93" s="238" t="s">
        <v>29</v>
      </c>
      <c r="Y93" s="238" t="s">
        <v>30</v>
      </c>
      <c r="Z93" s="238" t="s">
        <v>31</v>
      </c>
    </row>
    <row r="94" spans="1:26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42"/>
      <c r="W94" s="238"/>
      <c r="X94" s="238"/>
      <c r="Y94" s="238"/>
      <c r="Z94" s="238"/>
    </row>
    <row r="95" spans="1:26" x14ac:dyDescent="0.25">
      <c r="A95" s="243"/>
      <c r="B95" s="243"/>
      <c r="C95" s="240"/>
      <c r="D95" s="240"/>
      <c r="E95" s="244"/>
      <c r="F95" s="240"/>
      <c r="G95" s="9">
        <v>1</v>
      </c>
      <c r="H95" s="9">
        <v>2</v>
      </c>
      <c r="I95" s="9">
        <v>3</v>
      </c>
      <c r="J95" s="9">
        <v>4</v>
      </c>
      <c r="K95" s="9">
        <v>5</v>
      </c>
      <c r="L95" s="9">
        <v>6</v>
      </c>
      <c r="M95" s="9">
        <v>7</v>
      </c>
      <c r="N95" s="9">
        <v>8</v>
      </c>
      <c r="O95" s="9">
        <v>9</v>
      </c>
      <c r="P95" s="9">
        <v>10</v>
      </c>
      <c r="Q95" s="9">
        <v>11</v>
      </c>
      <c r="R95" s="9">
        <v>12</v>
      </c>
      <c r="S95" s="9">
        <v>13</v>
      </c>
      <c r="T95" s="9">
        <v>14</v>
      </c>
      <c r="U95" s="241"/>
      <c r="V95" s="58">
        <v>15</v>
      </c>
      <c r="W95" s="58">
        <v>16</v>
      </c>
      <c r="X95" s="58">
        <v>17</v>
      </c>
      <c r="Y95" s="58">
        <v>18</v>
      </c>
      <c r="Z95" s="58">
        <v>19</v>
      </c>
    </row>
    <row r="96" spans="1:26" ht="15.75" x14ac:dyDescent="0.25">
      <c r="A96" s="231">
        <v>1</v>
      </c>
      <c r="B96" s="239" t="s">
        <v>75</v>
      </c>
      <c r="C96" s="10" t="s">
        <v>76</v>
      </c>
      <c r="D96" s="10" t="s">
        <v>48</v>
      </c>
      <c r="E96" s="10">
        <v>31</v>
      </c>
      <c r="F96" s="10">
        <v>14</v>
      </c>
      <c r="G96" s="11">
        <v>17</v>
      </c>
      <c r="H96" s="11">
        <v>12</v>
      </c>
      <c r="I96" s="11">
        <v>88</v>
      </c>
      <c r="J96" s="11">
        <v>117</v>
      </c>
      <c r="K96" s="11">
        <v>93</v>
      </c>
      <c r="L96" s="11">
        <v>0</v>
      </c>
      <c r="M96" s="11">
        <v>18</v>
      </c>
      <c r="N96" s="11">
        <v>2</v>
      </c>
      <c r="O96" s="11">
        <v>16</v>
      </c>
      <c r="P96" s="11">
        <v>111</v>
      </c>
      <c r="Q96" s="11">
        <v>117</v>
      </c>
      <c r="R96" s="11">
        <v>0</v>
      </c>
      <c r="S96" s="11">
        <v>348</v>
      </c>
      <c r="T96" s="11">
        <v>6</v>
      </c>
      <c r="U96" s="11">
        <v>18</v>
      </c>
      <c r="V96" s="15">
        <v>11.225806451612904</v>
      </c>
      <c r="W96" s="15">
        <v>80.184331797235032</v>
      </c>
      <c r="X96" s="15">
        <v>19.333333333333332</v>
      </c>
      <c r="Y96" s="14">
        <v>4.7777777777777759</v>
      </c>
      <c r="Z96" s="15">
        <v>1.2857142857142858</v>
      </c>
    </row>
    <row r="97" spans="1:26" ht="15.75" x14ac:dyDescent="0.25">
      <c r="A97" s="231"/>
      <c r="B97" s="239"/>
      <c r="C97" s="17" t="s">
        <v>76</v>
      </c>
      <c r="D97" s="17" t="s">
        <v>48</v>
      </c>
      <c r="E97" s="10">
        <v>31</v>
      </c>
      <c r="F97" s="17">
        <v>14</v>
      </c>
      <c r="G97" s="17">
        <v>17</v>
      </c>
      <c r="H97" s="17">
        <v>12</v>
      </c>
      <c r="I97" s="17">
        <v>88</v>
      </c>
      <c r="J97" s="17">
        <v>117</v>
      </c>
      <c r="K97" s="17">
        <v>93</v>
      </c>
      <c r="L97" s="17">
        <v>0</v>
      </c>
      <c r="M97" s="17">
        <v>18</v>
      </c>
      <c r="N97" s="17">
        <v>2</v>
      </c>
      <c r="O97" s="17">
        <v>16</v>
      </c>
      <c r="P97" s="17">
        <v>111</v>
      </c>
      <c r="Q97" s="17">
        <v>117</v>
      </c>
      <c r="R97" s="17">
        <v>0</v>
      </c>
      <c r="S97" s="17">
        <v>348</v>
      </c>
      <c r="T97" s="17">
        <v>6</v>
      </c>
      <c r="U97" s="17">
        <v>18</v>
      </c>
      <c r="V97" s="20">
        <v>11.225806451612904</v>
      </c>
      <c r="W97" s="20">
        <v>80.184331797235032</v>
      </c>
      <c r="X97" s="20">
        <v>19.333333333333332</v>
      </c>
      <c r="Y97" s="20">
        <v>4.7777777777777759</v>
      </c>
      <c r="Z97" s="20">
        <v>1.2857142857142858</v>
      </c>
    </row>
    <row r="98" spans="1:26" ht="15.75" x14ac:dyDescent="0.25">
      <c r="A98" s="231">
        <v>2</v>
      </c>
      <c r="B98" s="239"/>
      <c r="C98" s="10" t="s">
        <v>77</v>
      </c>
      <c r="D98" s="10" t="s">
        <v>48</v>
      </c>
      <c r="E98" s="10">
        <v>31</v>
      </c>
      <c r="F98" s="10">
        <v>5</v>
      </c>
      <c r="G98" s="11">
        <v>2</v>
      </c>
      <c r="H98" s="11">
        <v>71</v>
      </c>
      <c r="I98" s="11">
        <v>10</v>
      </c>
      <c r="J98" s="11">
        <v>83</v>
      </c>
      <c r="K98" s="11">
        <v>77</v>
      </c>
      <c r="L98" s="11">
        <v>0</v>
      </c>
      <c r="M98" s="11">
        <v>1</v>
      </c>
      <c r="N98" s="11">
        <v>1</v>
      </c>
      <c r="O98" s="11">
        <v>0</v>
      </c>
      <c r="P98" s="11">
        <v>78</v>
      </c>
      <c r="Q98" s="11">
        <v>1</v>
      </c>
      <c r="R98" s="11">
        <v>1</v>
      </c>
      <c r="S98" s="11">
        <v>114</v>
      </c>
      <c r="T98" s="11">
        <v>5</v>
      </c>
      <c r="U98" s="11">
        <v>1</v>
      </c>
      <c r="V98" s="15">
        <v>3.6774193548387095</v>
      </c>
      <c r="W98" s="15">
        <v>73.548387096774192</v>
      </c>
      <c r="X98" s="15">
        <v>114</v>
      </c>
      <c r="Y98" s="14">
        <v>41.000000000000007</v>
      </c>
      <c r="Z98" s="15">
        <v>0.2</v>
      </c>
    </row>
    <row r="99" spans="1:26" ht="15.75" x14ac:dyDescent="0.25">
      <c r="A99" s="231"/>
      <c r="B99" s="239"/>
      <c r="C99" s="17" t="s">
        <v>77</v>
      </c>
      <c r="D99" s="17" t="s">
        <v>48</v>
      </c>
      <c r="E99" s="10">
        <v>31</v>
      </c>
      <c r="F99" s="17">
        <v>5</v>
      </c>
      <c r="G99" s="17">
        <v>2</v>
      </c>
      <c r="H99" s="17">
        <v>71</v>
      </c>
      <c r="I99" s="17">
        <v>10</v>
      </c>
      <c r="J99" s="17">
        <v>83</v>
      </c>
      <c r="K99" s="17">
        <v>77</v>
      </c>
      <c r="L99" s="17">
        <v>0</v>
      </c>
      <c r="M99" s="17">
        <v>1</v>
      </c>
      <c r="N99" s="17">
        <v>1</v>
      </c>
      <c r="O99" s="17">
        <v>0</v>
      </c>
      <c r="P99" s="17">
        <v>78</v>
      </c>
      <c r="Q99" s="17">
        <v>1</v>
      </c>
      <c r="R99" s="17">
        <v>1</v>
      </c>
      <c r="S99" s="17">
        <v>114</v>
      </c>
      <c r="T99" s="17">
        <v>5</v>
      </c>
      <c r="U99" s="17">
        <v>1</v>
      </c>
      <c r="V99" s="20">
        <v>3.6774193548387095</v>
      </c>
      <c r="W99" s="20">
        <v>73.548387096774192</v>
      </c>
      <c r="X99" s="20">
        <v>114</v>
      </c>
      <c r="Y99" s="20">
        <v>41.000000000000007</v>
      </c>
      <c r="Z99" s="20">
        <v>0.2</v>
      </c>
    </row>
    <row r="100" spans="1:26" ht="15.75" x14ac:dyDescent="0.25">
      <c r="A100" s="231">
        <v>3</v>
      </c>
      <c r="B100" s="239"/>
      <c r="C100" s="10" t="s">
        <v>78</v>
      </c>
      <c r="D100" s="10" t="s">
        <v>48</v>
      </c>
      <c r="E100" s="10">
        <v>31</v>
      </c>
      <c r="F100" s="10">
        <v>3</v>
      </c>
      <c r="G100" s="43">
        <v>2</v>
      </c>
      <c r="H100" s="43">
        <v>15</v>
      </c>
      <c r="I100" s="43">
        <v>9</v>
      </c>
      <c r="J100" s="11">
        <v>26</v>
      </c>
      <c r="K100" s="43">
        <v>19</v>
      </c>
      <c r="L100" s="43">
        <v>1</v>
      </c>
      <c r="M100" s="11">
        <v>3</v>
      </c>
      <c r="N100" s="43">
        <v>1</v>
      </c>
      <c r="O100" s="43">
        <v>2</v>
      </c>
      <c r="P100" s="11">
        <v>23</v>
      </c>
      <c r="Q100" s="43">
        <v>35</v>
      </c>
      <c r="R100" s="43">
        <v>0</v>
      </c>
      <c r="S100" s="43">
        <v>67</v>
      </c>
      <c r="T100" s="11">
        <v>3</v>
      </c>
      <c r="U100" s="11">
        <v>4</v>
      </c>
      <c r="V100" s="15">
        <v>2.161290322580645</v>
      </c>
      <c r="W100" s="15">
        <v>72.043010752688161</v>
      </c>
      <c r="X100" s="15">
        <v>16.75</v>
      </c>
      <c r="Y100" s="14">
        <v>6.5000000000000009</v>
      </c>
      <c r="Z100" s="15">
        <v>1.3333333333333333</v>
      </c>
    </row>
    <row r="101" spans="1:26" ht="15.75" x14ac:dyDescent="0.25">
      <c r="A101" s="231"/>
      <c r="B101" s="239"/>
      <c r="C101" s="17" t="s">
        <v>78</v>
      </c>
      <c r="D101" s="17" t="s">
        <v>48</v>
      </c>
      <c r="E101" s="10">
        <v>31</v>
      </c>
      <c r="F101" s="17">
        <v>3</v>
      </c>
      <c r="G101" s="17">
        <v>2</v>
      </c>
      <c r="H101" s="17">
        <v>15</v>
      </c>
      <c r="I101" s="17">
        <v>9</v>
      </c>
      <c r="J101" s="17">
        <v>26</v>
      </c>
      <c r="K101" s="17">
        <v>19</v>
      </c>
      <c r="L101" s="17">
        <v>1</v>
      </c>
      <c r="M101" s="17">
        <v>3</v>
      </c>
      <c r="N101" s="17">
        <v>1</v>
      </c>
      <c r="O101" s="17">
        <v>2</v>
      </c>
      <c r="P101" s="17">
        <v>23</v>
      </c>
      <c r="Q101" s="17">
        <v>35</v>
      </c>
      <c r="R101" s="17">
        <v>0</v>
      </c>
      <c r="S101" s="17">
        <v>67</v>
      </c>
      <c r="T101" s="17">
        <v>3</v>
      </c>
      <c r="U101" s="17">
        <v>4</v>
      </c>
      <c r="V101" s="20">
        <v>2.161290322580645</v>
      </c>
      <c r="W101" s="20">
        <v>72.043010752688161</v>
      </c>
      <c r="X101" s="20">
        <v>16.75</v>
      </c>
      <c r="Y101" s="20">
        <v>6.5000000000000009</v>
      </c>
      <c r="Z101" s="20">
        <v>1.3333333333333333</v>
      </c>
    </row>
    <row r="102" spans="1:26" ht="15.75" x14ac:dyDescent="0.25">
      <c r="A102" s="231">
        <v>4</v>
      </c>
      <c r="B102" s="239"/>
      <c r="C102" s="11" t="s">
        <v>79</v>
      </c>
      <c r="D102" s="11" t="s">
        <v>48</v>
      </c>
      <c r="E102" s="10">
        <v>31</v>
      </c>
      <c r="F102" s="11">
        <v>5</v>
      </c>
      <c r="G102" s="11">
        <v>5</v>
      </c>
      <c r="H102" s="11">
        <v>13</v>
      </c>
      <c r="I102" s="11">
        <v>17</v>
      </c>
      <c r="J102" s="11">
        <v>35</v>
      </c>
      <c r="K102" s="11">
        <v>24</v>
      </c>
      <c r="L102" s="11">
        <v>0</v>
      </c>
      <c r="M102" s="11">
        <v>7</v>
      </c>
      <c r="N102" s="11">
        <v>1</v>
      </c>
      <c r="O102" s="11">
        <v>6</v>
      </c>
      <c r="P102" s="11">
        <v>31</v>
      </c>
      <c r="Q102" s="11">
        <v>50</v>
      </c>
      <c r="R102" s="11">
        <v>0</v>
      </c>
      <c r="S102" s="11">
        <v>116</v>
      </c>
      <c r="T102" s="11">
        <v>4</v>
      </c>
      <c r="U102" s="11">
        <v>7</v>
      </c>
      <c r="V102" s="15">
        <v>3.7419354838709675</v>
      </c>
      <c r="W102" s="15">
        <v>74.838709677419345</v>
      </c>
      <c r="X102" s="15">
        <v>16.571428571428573</v>
      </c>
      <c r="Y102" s="14">
        <v>5.5714285714285721</v>
      </c>
      <c r="Z102" s="15">
        <v>1.4</v>
      </c>
    </row>
    <row r="103" spans="1:26" ht="15.75" x14ac:dyDescent="0.25">
      <c r="A103" s="231"/>
      <c r="B103" s="239"/>
      <c r="C103" s="17" t="s">
        <v>79</v>
      </c>
      <c r="D103" s="17" t="s">
        <v>48</v>
      </c>
      <c r="E103" s="10">
        <v>31</v>
      </c>
      <c r="F103" s="17">
        <v>5</v>
      </c>
      <c r="G103" s="17">
        <v>5</v>
      </c>
      <c r="H103" s="17">
        <v>13</v>
      </c>
      <c r="I103" s="17">
        <v>17</v>
      </c>
      <c r="J103" s="17">
        <v>35</v>
      </c>
      <c r="K103" s="17">
        <v>24</v>
      </c>
      <c r="L103" s="17">
        <v>0</v>
      </c>
      <c r="M103" s="17">
        <v>7</v>
      </c>
      <c r="N103" s="17">
        <v>1</v>
      </c>
      <c r="O103" s="17">
        <v>6</v>
      </c>
      <c r="P103" s="17">
        <v>31</v>
      </c>
      <c r="Q103" s="17">
        <v>50</v>
      </c>
      <c r="R103" s="17">
        <v>0</v>
      </c>
      <c r="S103" s="17">
        <v>116</v>
      </c>
      <c r="T103" s="17">
        <v>4</v>
      </c>
      <c r="U103" s="17">
        <v>7</v>
      </c>
      <c r="V103" s="20">
        <v>3.7419354838709675</v>
      </c>
      <c r="W103" s="20">
        <v>74.838709677419345</v>
      </c>
      <c r="X103" s="20">
        <v>16.571428571428573</v>
      </c>
      <c r="Y103" s="20">
        <v>5.5714285714285721</v>
      </c>
      <c r="Z103" s="20">
        <v>1.4</v>
      </c>
    </row>
    <row r="104" spans="1:26" ht="15.75" x14ac:dyDescent="0.25">
      <c r="A104" s="231">
        <v>5</v>
      </c>
      <c r="B104" s="239"/>
      <c r="C104" s="11" t="s">
        <v>80</v>
      </c>
      <c r="D104" s="11" t="s">
        <v>48</v>
      </c>
      <c r="E104" s="10">
        <v>31</v>
      </c>
      <c r="F104" s="11">
        <v>4</v>
      </c>
      <c r="G104" s="11">
        <v>3</v>
      </c>
      <c r="H104" s="11">
        <v>33</v>
      </c>
      <c r="I104" s="11">
        <v>15</v>
      </c>
      <c r="J104" s="11">
        <v>51</v>
      </c>
      <c r="K104" s="11">
        <v>31</v>
      </c>
      <c r="L104" s="11">
        <v>1</v>
      </c>
      <c r="M104" s="11">
        <v>16</v>
      </c>
      <c r="N104" s="11">
        <v>10</v>
      </c>
      <c r="O104" s="11">
        <v>6</v>
      </c>
      <c r="P104" s="11">
        <v>48</v>
      </c>
      <c r="Q104" s="11">
        <v>35</v>
      </c>
      <c r="R104" s="11">
        <v>4</v>
      </c>
      <c r="S104" s="11">
        <v>85</v>
      </c>
      <c r="T104" s="11">
        <v>3</v>
      </c>
      <c r="U104" s="11">
        <v>17</v>
      </c>
      <c r="V104" s="15">
        <v>2.7419354838709675</v>
      </c>
      <c r="W104" s="15">
        <v>68.548387096774192</v>
      </c>
      <c r="X104" s="15">
        <v>5</v>
      </c>
      <c r="Y104" s="14">
        <v>2.2941176470588238</v>
      </c>
      <c r="Z104" s="15">
        <v>4.25</v>
      </c>
    </row>
    <row r="105" spans="1:26" ht="15.75" x14ac:dyDescent="0.25">
      <c r="A105" s="231"/>
      <c r="B105" s="239"/>
      <c r="C105" s="17" t="s">
        <v>80</v>
      </c>
      <c r="D105" s="17" t="s">
        <v>48</v>
      </c>
      <c r="E105" s="10">
        <v>31</v>
      </c>
      <c r="F105" s="17">
        <v>4</v>
      </c>
      <c r="G105" s="17">
        <v>3</v>
      </c>
      <c r="H105" s="17">
        <v>33</v>
      </c>
      <c r="I105" s="17">
        <v>15</v>
      </c>
      <c r="J105" s="17">
        <v>51</v>
      </c>
      <c r="K105" s="17">
        <v>31</v>
      </c>
      <c r="L105" s="17">
        <v>1</v>
      </c>
      <c r="M105" s="17">
        <v>16</v>
      </c>
      <c r="N105" s="17">
        <v>10</v>
      </c>
      <c r="O105" s="17">
        <v>6</v>
      </c>
      <c r="P105" s="17">
        <v>48</v>
      </c>
      <c r="Q105" s="17">
        <v>35</v>
      </c>
      <c r="R105" s="17">
        <v>4</v>
      </c>
      <c r="S105" s="17">
        <v>85</v>
      </c>
      <c r="T105" s="17">
        <v>3</v>
      </c>
      <c r="U105" s="17">
        <v>17</v>
      </c>
      <c r="V105" s="20">
        <v>2.7419354838709675</v>
      </c>
      <c r="W105" s="20">
        <v>68.548387096774192</v>
      </c>
      <c r="X105" s="20">
        <v>5</v>
      </c>
      <c r="Y105" s="20">
        <v>2.2941176470588238</v>
      </c>
      <c r="Z105" s="20">
        <v>4.25</v>
      </c>
    </row>
    <row r="106" spans="1:26" ht="15.75" x14ac:dyDescent="0.25">
      <c r="A106" s="59"/>
      <c r="B106" s="239"/>
      <c r="C106" s="11" t="s">
        <v>70</v>
      </c>
      <c r="D106" s="11" t="s">
        <v>48</v>
      </c>
      <c r="E106" s="10">
        <v>31</v>
      </c>
      <c r="F106" s="11">
        <v>2</v>
      </c>
      <c r="G106" s="11">
        <v>0</v>
      </c>
      <c r="H106" s="11">
        <v>7</v>
      </c>
      <c r="I106" s="11">
        <v>5</v>
      </c>
      <c r="J106" s="11">
        <v>12</v>
      </c>
      <c r="K106" s="11">
        <v>7</v>
      </c>
      <c r="L106" s="11">
        <v>0</v>
      </c>
      <c r="M106" s="11">
        <v>4</v>
      </c>
      <c r="N106" s="11">
        <v>2</v>
      </c>
      <c r="O106" s="11">
        <v>2</v>
      </c>
      <c r="P106" s="11">
        <v>11</v>
      </c>
      <c r="Q106" s="11">
        <v>13</v>
      </c>
      <c r="R106" s="11">
        <v>2</v>
      </c>
      <c r="S106" s="11">
        <v>40</v>
      </c>
      <c r="T106" s="11">
        <v>1</v>
      </c>
      <c r="U106" s="11">
        <v>4</v>
      </c>
      <c r="V106" s="44">
        <v>1.2903225806451613</v>
      </c>
      <c r="W106" s="44">
        <v>64.516129032258064</v>
      </c>
      <c r="X106" s="44">
        <v>10</v>
      </c>
      <c r="Y106" s="45">
        <v>5.5</v>
      </c>
      <c r="Z106" s="44">
        <v>2</v>
      </c>
    </row>
    <row r="107" spans="1:26" ht="15.75" x14ac:dyDescent="0.25">
      <c r="A107" s="59"/>
      <c r="B107" s="239"/>
      <c r="C107" s="17" t="s">
        <v>70</v>
      </c>
      <c r="D107" s="17"/>
      <c r="E107" s="10">
        <v>31</v>
      </c>
      <c r="F107" s="17">
        <v>2</v>
      </c>
      <c r="G107" s="17">
        <v>0</v>
      </c>
      <c r="H107" s="17">
        <v>7</v>
      </c>
      <c r="I107" s="17">
        <v>5</v>
      </c>
      <c r="J107" s="17">
        <v>12</v>
      </c>
      <c r="K107" s="17">
        <v>7</v>
      </c>
      <c r="L107" s="17">
        <v>0</v>
      </c>
      <c r="M107" s="17">
        <v>4</v>
      </c>
      <c r="N107" s="17">
        <v>2</v>
      </c>
      <c r="O107" s="17">
        <v>2</v>
      </c>
      <c r="P107" s="17">
        <v>11</v>
      </c>
      <c r="Q107" s="17">
        <v>13</v>
      </c>
      <c r="R107" s="17">
        <v>2</v>
      </c>
      <c r="S107" s="17">
        <v>40</v>
      </c>
      <c r="T107" s="17">
        <v>1</v>
      </c>
      <c r="U107" s="17">
        <v>4</v>
      </c>
      <c r="V107" s="46">
        <v>1.2903225806451613</v>
      </c>
      <c r="W107" s="46">
        <v>64.516129032258064</v>
      </c>
      <c r="X107" s="46">
        <v>10</v>
      </c>
      <c r="Y107" s="46">
        <v>5.5</v>
      </c>
      <c r="Z107" s="46">
        <v>2</v>
      </c>
    </row>
    <row r="108" spans="1:26" ht="15.75" x14ac:dyDescent="0.25">
      <c r="A108" s="231">
        <v>6</v>
      </c>
      <c r="B108" s="239"/>
      <c r="C108" s="11" t="s">
        <v>81</v>
      </c>
      <c r="D108" s="11" t="s">
        <v>48</v>
      </c>
      <c r="E108" s="10">
        <v>31</v>
      </c>
      <c r="F108" s="11"/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5">
        <v>0</v>
      </c>
      <c r="W108" s="15" t="e">
        <v>#DIV/0!</v>
      </c>
      <c r="X108" s="15" t="e">
        <v>#DIV/0!</v>
      </c>
      <c r="Y108" s="14" t="e">
        <v>#DIV/0!</v>
      </c>
      <c r="Z108" s="15" t="e">
        <v>#DIV/0!</v>
      </c>
    </row>
    <row r="109" spans="1:26" ht="15.75" x14ac:dyDescent="0.25">
      <c r="A109" s="231"/>
      <c r="B109" s="239"/>
      <c r="C109" s="17" t="s">
        <v>81</v>
      </c>
      <c r="D109" s="17" t="s">
        <v>48</v>
      </c>
      <c r="E109" s="10">
        <v>31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20">
        <v>0</v>
      </c>
      <c r="W109" s="20" t="e">
        <v>#DIV/0!</v>
      </c>
      <c r="X109" s="20" t="e">
        <v>#DIV/0!</v>
      </c>
      <c r="Y109" s="20" t="e">
        <v>#DIV/0!</v>
      </c>
      <c r="Z109" s="20" t="e">
        <v>#DIV/0!</v>
      </c>
    </row>
    <row r="110" spans="1:26" ht="15.75" x14ac:dyDescent="0.25">
      <c r="A110" s="231">
        <v>7</v>
      </c>
      <c r="B110" s="239"/>
      <c r="C110" s="11" t="s">
        <v>82</v>
      </c>
      <c r="D110" s="11" t="s">
        <v>38</v>
      </c>
      <c r="E110" s="10">
        <v>31</v>
      </c>
      <c r="F110" s="11"/>
      <c r="G110" s="11">
        <v>0</v>
      </c>
      <c r="H110" s="11">
        <v>214</v>
      </c>
      <c r="I110" s="11">
        <v>5</v>
      </c>
      <c r="J110" s="11">
        <v>219</v>
      </c>
      <c r="K110" s="11">
        <v>213</v>
      </c>
      <c r="L110" s="11">
        <v>0</v>
      </c>
      <c r="M110" s="11">
        <v>5</v>
      </c>
      <c r="N110" s="11">
        <v>5</v>
      </c>
      <c r="O110" s="11">
        <v>0</v>
      </c>
      <c r="P110" s="11">
        <v>218</v>
      </c>
      <c r="Q110" s="11">
        <v>5</v>
      </c>
      <c r="R110" s="11">
        <v>5</v>
      </c>
      <c r="S110" s="11">
        <v>96</v>
      </c>
      <c r="T110" s="11">
        <v>1</v>
      </c>
      <c r="U110" s="11">
        <v>5</v>
      </c>
      <c r="V110" s="15">
        <v>3.096774193548387</v>
      </c>
      <c r="W110" s="15" t="e">
        <v>#DIV/0!</v>
      </c>
      <c r="X110" s="15">
        <v>19.2</v>
      </c>
      <c r="Y110" s="14">
        <v>-19.2</v>
      </c>
      <c r="Z110" s="15" t="e">
        <v>#DIV/0!</v>
      </c>
    </row>
    <row r="111" spans="1:26" ht="15.75" x14ac:dyDescent="0.25">
      <c r="A111" s="231"/>
      <c r="B111" s="239"/>
      <c r="C111" s="17" t="s">
        <v>82</v>
      </c>
      <c r="D111" s="17" t="s">
        <v>38</v>
      </c>
      <c r="E111" s="10">
        <v>31</v>
      </c>
      <c r="F111" s="17">
        <v>0</v>
      </c>
      <c r="G111" s="17">
        <v>0</v>
      </c>
      <c r="H111" s="17">
        <v>214</v>
      </c>
      <c r="I111" s="17">
        <v>5</v>
      </c>
      <c r="J111" s="17">
        <v>219</v>
      </c>
      <c r="K111" s="17">
        <v>213</v>
      </c>
      <c r="L111" s="17">
        <v>0</v>
      </c>
      <c r="M111" s="17">
        <v>5</v>
      </c>
      <c r="N111" s="17">
        <v>5</v>
      </c>
      <c r="O111" s="17">
        <v>0</v>
      </c>
      <c r="P111" s="17">
        <v>218</v>
      </c>
      <c r="Q111" s="17">
        <v>5</v>
      </c>
      <c r="R111" s="17">
        <v>5</v>
      </c>
      <c r="S111" s="17">
        <v>96</v>
      </c>
      <c r="T111" s="17">
        <v>1</v>
      </c>
      <c r="U111" s="17">
        <v>5</v>
      </c>
      <c r="V111" s="20">
        <v>3.096774193548387</v>
      </c>
      <c r="W111" s="20" t="e">
        <v>#DIV/0!</v>
      </c>
      <c r="X111" s="20">
        <v>19.2</v>
      </c>
      <c r="Y111" s="20">
        <v>-19.2</v>
      </c>
      <c r="Z111" s="20" t="e">
        <v>#DIV/0!</v>
      </c>
    </row>
    <row r="112" spans="1:26" ht="15.75" x14ac:dyDescent="0.25">
      <c r="A112" s="231">
        <v>8</v>
      </c>
      <c r="B112" s="239"/>
      <c r="C112" s="11" t="s">
        <v>64</v>
      </c>
      <c r="D112" s="11" t="s">
        <v>83</v>
      </c>
      <c r="E112" s="10">
        <v>31</v>
      </c>
      <c r="F112" s="11"/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5">
        <v>0</v>
      </c>
      <c r="W112" s="35" t="e">
        <v>#DIV/0!</v>
      </c>
      <c r="X112" s="35" t="e">
        <v>#DIV/0!</v>
      </c>
      <c r="Y112" s="36" t="e">
        <v>#DIV/0!</v>
      </c>
      <c r="Z112" s="35" t="e">
        <v>#DIV/0!</v>
      </c>
    </row>
    <row r="113" spans="1:26" ht="15.75" x14ac:dyDescent="0.25">
      <c r="A113" s="231"/>
      <c r="B113" s="239"/>
      <c r="C113" s="17" t="s">
        <v>64</v>
      </c>
      <c r="D113" s="17" t="s">
        <v>83</v>
      </c>
      <c r="E113" s="10">
        <v>31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20">
        <v>0</v>
      </c>
      <c r="W113" s="20" t="e">
        <v>#DIV/0!</v>
      </c>
      <c r="X113" s="20" t="e">
        <v>#DIV/0!</v>
      </c>
      <c r="Y113" s="20" t="e">
        <v>#DIV/0!</v>
      </c>
      <c r="Z113" s="20" t="e">
        <v>#DIV/0!</v>
      </c>
    </row>
    <row r="114" spans="1:26" ht="15.75" x14ac:dyDescent="0.25">
      <c r="A114" s="231">
        <v>9</v>
      </c>
      <c r="B114" s="239"/>
      <c r="C114" s="10" t="s">
        <v>73</v>
      </c>
      <c r="D114" s="10" t="s">
        <v>83</v>
      </c>
      <c r="E114" s="10">
        <v>31</v>
      </c>
      <c r="F114" s="10"/>
      <c r="G114" s="10">
        <v>0</v>
      </c>
      <c r="H114" s="10">
        <v>0</v>
      </c>
      <c r="I114" s="10">
        <v>0</v>
      </c>
      <c r="J114" s="11">
        <v>0</v>
      </c>
      <c r="K114" s="10">
        <v>0</v>
      </c>
      <c r="L114" s="10">
        <v>0</v>
      </c>
      <c r="M114" s="11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1">
        <v>0</v>
      </c>
      <c r="V114" s="15">
        <v>0</v>
      </c>
      <c r="W114" s="35" t="e">
        <v>#DIV/0!</v>
      </c>
      <c r="X114" s="35" t="e">
        <v>#DIV/0!</v>
      </c>
      <c r="Y114" s="36" t="e">
        <v>#DIV/0!</v>
      </c>
      <c r="Z114" s="35" t="e">
        <v>#DIV/0!</v>
      </c>
    </row>
    <row r="115" spans="1:26" ht="15.75" x14ac:dyDescent="0.25">
      <c r="A115" s="231"/>
      <c r="B115" s="239"/>
      <c r="C115" s="17" t="s">
        <v>73</v>
      </c>
      <c r="D115" s="17" t="s">
        <v>83</v>
      </c>
      <c r="E115" s="10">
        <v>31</v>
      </c>
      <c r="F115" s="17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20">
        <v>0</v>
      </c>
      <c r="W115" s="20" t="e">
        <v>#DIV/0!</v>
      </c>
      <c r="X115" s="20" t="e">
        <v>#DIV/0!</v>
      </c>
      <c r="Y115" s="20" t="e">
        <v>#DIV/0!</v>
      </c>
      <c r="Z115" s="20" t="e">
        <v>#DIV/0!</v>
      </c>
    </row>
    <row r="116" spans="1:26" ht="15.75" x14ac:dyDescent="0.25">
      <c r="A116" s="232" t="s">
        <v>84</v>
      </c>
      <c r="B116" s="233"/>
      <c r="C116" s="233"/>
      <c r="D116" s="234"/>
      <c r="E116" s="10">
        <v>31</v>
      </c>
      <c r="F116" s="29">
        <v>33</v>
      </c>
      <c r="G116" s="29">
        <v>29</v>
      </c>
      <c r="H116" s="29">
        <v>365</v>
      </c>
      <c r="I116" s="29">
        <v>150</v>
      </c>
      <c r="J116" s="28">
        <v>544</v>
      </c>
      <c r="K116" s="29">
        <v>464</v>
      </c>
      <c r="L116" s="29">
        <v>2</v>
      </c>
      <c r="M116" s="28">
        <v>54</v>
      </c>
      <c r="N116" s="29">
        <v>22</v>
      </c>
      <c r="O116" s="29">
        <v>32</v>
      </c>
      <c r="P116" s="28">
        <v>520</v>
      </c>
      <c r="Q116" s="29">
        <v>256</v>
      </c>
      <c r="R116" s="29">
        <v>12</v>
      </c>
      <c r="S116" s="29">
        <v>867</v>
      </c>
      <c r="T116" s="28">
        <v>24</v>
      </c>
      <c r="U116" s="28">
        <v>56</v>
      </c>
      <c r="V116" s="47">
        <v>27.967741935483872</v>
      </c>
      <c r="W116" s="30">
        <v>84.750733137829911</v>
      </c>
      <c r="X116" s="30">
        <v>15.482142857142858</v>
      </c>
      <c r="Y116" s="30">
        <v>2.7857142857142851</v>
      </c>
      <c r="Z116" s="30">
        <v>1.696969696969697</v>
      </c>
    </row>
    <row r="117" spans="1:26" ht="15.75" x14ac:dyDescent="0.25">
      <c r="A117" s="235" t="s">
        <v>85</v>
      </c>
      <c r="B117" s="236"/>
      <c r="C117" s="236"/>
      <c r="D117" s="237"/>
      <c r="E117" s="10">
        <v>31</v>
      </c>
      <c r="F117" s="49">
        <v>388</v>
      </c>
      <c r="G117" s="49">
        <v>292</v>
      </c>
      <c r="H117" s="49">
        <v>2499</v>
      </c>
      <c r="I117" s="49">
        <v>1000</v>
      </c>
      <c r="J117" s="48">
        <v>3791</v>
      </c>
      <c r="K117" s="49">
        <v>1025</v>
      </c>
      <c r="L117" s="49">
        <v>2284</v>
      </c>
      <c r="M117" s="48">
        <v>230</v>
      </c>
      <c r="N117" s="49">
        <v>107</v>
      </c>
      <c r="O117" s="49">
        <v>123</v>
      </c>
      <c r="P117" s="48">
        <v>3539</v>
      </c>
      <c r="Q117" s="49">
        <v>8467</v>
      </c>
      <c r="R117" s="49">
        <v>43</v>
      </c>
      <c r="S117" s="49">
        <v>9185</v>
      </c>
      <c r="T117" s="49">
        <v>252</v>
      </c>
      <c r="U117" s="48">
        <v>2514</v>
      </c>
      <c r="V117" s="50">
        <v>296.29032258064518</v>
      </c>
      <c r="W117" s="51">
        <v>76.363485201197207</v>
      </c>
      <c r="X117" s="51">
        <v>3.6535401750198888</v>
      </c>
      <c r="Y117" s="51">
        <v>1.1308671439936355</v>
      </c>
      <c r="Z117" s="51">
        <v>6.4793814432989691</v>
      </c>
    </row>
    <row r="118" spans="1:26" ht="15.75" x14ac:dyDescent="0.25">
      <c r="E118" s="42">
        <v>31</v>
      </c>
      <c r="F118">
        <f>+F65+F77+F90+F116</f>
        <v>388</v>
      </c>
      <c r="G118">
        <f>+G65+G77+G90+G116</f>
        <v>292</v>
      </c>
      <c r="H118">
        <f>+H65+H77+H90+H116</f>
        <v>2499</v>
      </c>
      <c r="I118">
        <f>+I65+I77+I90+I116</f>
        <v>1000</v>
      </c>
      <c r="J118">
        <f>+G118+H118+I118</f>
        <v>3791</v>
      </c>
      <c r="K118">
        <f>+K65+K77+K90+K116</f>
        <v>1025</v>
      </c>
      <c r="L118">
        <f>+L65+L77+L90+L116</f>
        <v>2284</v>
      </c>
      <c r="M118">
        <f>+N118+O118</f>
        <v>230</v>
      </c>
      <c r="N118">
        <f>+N65+N77+N90+N116</f>
        <v>107</v>
      </c>
      <c r="O118">
        <f>+O65+O77+O90+O116</f>
        <v>123</v>
      </c>
      <c r="P118">
        <f>+K118+L118+M118</f>
        <v>3539</v>
      </c>
      <c r="Q118">
        <f>+Q65+Q77+Q90+Q116</f>
        <v>8467</v>
      </c>
      <c r="R118">
        <f>+R65+R77+R90+R116</f>
        <v>43</v>
      </c>
      <c r="S118">
        <f>+S65+S77+S90+S116</f>
        <v>9185</v>
      </c>
      <c r="T118">
        <f>J118-P118</f>
        <v>252</v>
      </c>
      <c r="U118">
        <f>+L118+M118</f>
        <v>2514</v>
      </c>
      <c r="V118" s="50">
        <f t="shared" ref="V118" si="0">$S118/$E118</f>
        <v>296.29032258064518</v>
      </c>
      <c r="W118" s="51">
        <f t="shared" ref="W118" si="1">$V118/$F118*100</f>
        <v>76.363485201197207</v>
      </c>
      <c r="X118" s="51">
        <f t="shared" ref="X118" si="2">$S118/($L118+$M118)</f>
        <v>3.6535401750198888</v>
      </c>
      <c r="Y118" s="51">
        <f t="shared" ref="Y118" si="3">(($F118-$V118)*$E118)/($L118+$M118)</f>
        <v>1.1308671439936355</v>
      </c>
      <c r="Z118" s="51">
        <f t="shared" ref="Z118" si="4">($L118+$M118)/$F118</f>
        <v>6.4793814432989691</v>
      </c>
    </row>
    <row r="120" spans="1:26" ht="15.75" x14ac:dyDescent="0.25">
      <c r="E120" s="193">
        <v>31</v>
      </c>
      <c r="F120">
        <f>+F105+F107</f>
        <v>6</v>
      </c>
      <c r="G120">
        <f t="shared" ref="G120:R120" si="5">+G105+G107</f>
        <v>3</v>
      </c>
      <c r="H120">
        <f t="shared" si="5"/>
        <v>40</v>
      </c>
      <c r="I120">
        <f t="shared" si="5"/>
        <v>20</v>
      </c>
      <c r="J120">
        <f t="shared" si="5"/>
        <v>63</v>
      </c>
      <c r="K120">
        <f t="shared" si="5"/>
        <v>38</v>
      </c>
      <c r="L120">
        <f t="shared" si="5"/>
        <v>1</v>
      </c>
      <c r="M120">
        <f t="shared" si="5"/>
        <v>20</v>
      </c>
      <c r="N120">
        <f t="shared" si="5"/>
        <v>12</v>
      </c>
      <c r="O120">
        <f t="shared" si="5"/>
        <v>8</v>
      </c>
      <c r="P120">
        <f t="shared" si="5"/>
        <v>59</v>
      </c>
      <c r="Q120">
        <f t="shared" si="5"/>
        <v>48</v>
      </c>
      <c r="R120">
        <f t="shared" si="5"/>
        <v>6</v>
      </c>
      <c r="S120">
        <f>+S105+S107</f>
        <v>125</v>
      </c>
      <c r="T120">
        <f>J120-P120</f>
        <v>4</v>
      </c>
      <c r="U120">
        <f>+L120+M120</f>
        <v>21</v>
      </c>
      <c r="V120" s="50">
        <f t="shared" ref="V120" si="6">$S120/$E120</f>
        <v>4.032258064516129</v>
      </c>
      <c r="W120" s="51">
        <f t="shared" ref="W120" si="7">$V120/$F120*100</f>
        <v>67.204301075268816</v>
      </c>
      <c r="X120" s="51">
        <f t="shared" ref="X120" si="8">$S120/($L120+$M120)</f>
        <v>5.9523809523809526</v>
      </c>
      <c r="Y120" s="51">
        <f t="shared" ref="Y120" si="9">(($F120-$V120)*$E120)/($L120+$M120)</f>
        <v>2.9047619047619047</v>
      </c>
      <c r="Z120" s="51">
        <f t="shared" ref="Z120" si="10">($L120+$M120)/$F120</f>
        <v>3.5</v>
      </c>
    </row>
  </sheetData>
  <sheetProtection algorithmName="SHA-512" hashValue="q+TT81sCxt6Cu8s9/9ZrpR3Jyjodxx4JbSouCUNmQJre1TCVMzS9mpkcHQ2EQTr0SCC9NNmVcYmVA/Sp+hXuRA==" saltValue="i17XfhJ8Tilqc70ZyP5Oiw==" spinCount="100000" sheet="1" objects="1" scenarios="1"/>
  <mergeCells count="149"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9:A21"/>
    <mergeCell ref="S3:S5"/>
    <mergeCell ref="T3:T5"/>
    <mergeCell ref="U3:U6"/>
    <mergeCell ref="V4:V5"/>
    <mergeCell ref="W4:W5"/>
    <mergeCell ref="X4:X5"/>
    <mergeCell ref="M3:M5"/>
    <mergeCell ref="N3:N5"/>
    <mergeCell ref="P3:P5"/>
    <mergeCell ref="Q3:Q5"/>
    <mergeCell ref="G3:G5"/>
    <mergeCell ref="H3:H5"/>
    <mergeCell ref="I3:I5"/>
    <mergeCell ref="R3:R5"/>
    <mergeCell ref="C19:C20"/>
    <mergeCell ref="A65:D65"/>
    <mergeCell ref="A25:A26"/>
    <mergeCell ref="O3:O5"/>
    <mergeCell ref="A27:A28"/>
    <mergeCell ref="A30:A32"/>
    <mergeCell ref="A34:A37"/>
    <mergeCell ref="J3:J5"/>
    <mergeCell ref="K3:K5"/>
    <mergeCell ref="L3:L5"/>
    <mergeCell ref="A22:A23"/>
    <mergeCell ref="A3:A6"/>
    <mergeCell ref="B3:B6"/>
    <mergeCell ref="C3:C6"/>
    <mergeCell ref="D3:D6"/>
    <mergeCell ref="E3:E6"/>
    <mergeCell ref="F3:F6"/>
    <mergeCell ref="A38:A42"/>
    <mergeCell ref="C38:C41"/>
    <mergeCell ref="A44:A46"/>
    <mergeCell ref="C47:C50"/>
    <mergeCell ref="A48:A51"/>
    <mergeCell ref="A53:A54"/>
    <mergeCell ref="A56:A57"/>
    <mergeCell ref="A77:D77"/>
    <mergeCell ref="A78:D78"/>
    <mergeCell ref="A79:A82"/>
    <mergeCell ref="B79:B82"/>
    <mergeCell ref="C79:C82"/>
    <mergeCell ref="D79:D82"/>
    <mergeCell ref="A59:A62"/>
    <mergeCell ref="A63:A64"/>
    <mergeCell ref="Z68:Z69"/>
    <mergeCell ref="A71:A72"/>
    <mergeCell ref="B71:B76"/>
    <mergeCell ref="A73:A74"/>
    <mergeCell ref="A75:A76"/>
    <mergeCell ref="Q67:Q69"/>
    <mergeCell ref="R67:R69"/>
    <mergeCell ref="S67:S69"/>
    <mergeCell ref="T67:T69"/>
    <mergeCell ref="U67:U70"/>
    <mergeCell ref="V68:V69"/>
    <mergeCell ref="K67:K69"/>
    <mergeCell ref="L67:L69"/>
    <mergeCell ref="M67:M69"/>
    <mergeCell ref="N67:N69"/>
    <mergeCell ref="O67:O69"/>
    <mergeCell ref="X68:X69"/>
    <mergeCell ref="Y68:Y69"/>
    <mergeCell ref="B67:B70"/>
    <mergeCell ref="C67:C70"/>
    <mergeCell ref="D67:D70"/>
    <mergeCell ref="I67:I69"/>
    <mergeCell ref="J67:J69"/>
    <mergeCell ref="C58:C61"/>
    <mergeCell ref="A67:A70"/>
    <mergeCell ref="P67:P69"/>
    <mergeCell ref="E67:E70"/>
    <mergeCell ref="F67:F70"/>
    <mergeCell ref="G67:G69"/>
    <mergeCell ref="H67:H69"/>
    <mergeCell ref="W68:W69"/>
    <mergeCell ref="Z80:Z81"/>
    <mergeCell ref="B83:B89"/>
    <mergeCell ref="C86:C88"/>
    <mergeCell ref="Q79:Q81"/>
    <mergeCell ref="R79:R81"/>
    <mergeCell ref="S79:S81"/>
    <mergeCell ref="T79:T81"/>
    <mergeCell ref="U79:U82"/>
    <mergeCell ref="V80:V81"/>
    <mergeCell ref="K79:K81"/>
    <mergeCell ref="L79:L81"/>
    <mergeCell ref="M79:M81"/>
    <mergeCell ref="N79:N81"/>
    <mergeCell ref="O79:O81"/>
    <mergeCell ref="P79:P81"/>
    <mergeCell ref="E79:E82"/>
    <mergeCell ref="F79:F82"/>
    <mergeCell ref="G79:G81"/>
    <mergeCell ref="H79:H81"/>
    <mergeCell ref="I79:I81"/>
    <mergeCell ref="J79:J81"/>
    <mergeCell ref="A92:A95"/>
    <mergeCell ref="B92:B95"/>
    <mergeCell ref="C92:C95"/>
    <mergeCell ref="D92:D95"/>
    <mergeCell ref="E92:E95"/>
    <mergeCell ref="W80:W81"/>
    <mergeCell ref="X80:X81"/>
    <mergeCell ref="Y80:Y81"/>
    <mergeCell ref="O92:O94"/>
    <mergeCell ref="P92:P94"/>
    <mergeCell ref="Q92:Q94"/>
    <mergeCell ref="F92:F95"/>
    <mergeCell ref="G92:G94"/>
    <mergeCell ref="H92:H94"/>
    <mergeCell ref="I92:I94"/>
    <mergeCell ref="J92:J94"/>
    <mergeCell ref="K92:K94"/>
    <mergeCell ref="A110:A111"/>
    <mergeCell ref="A112:A113"/>
    <mergeCell ref="A114:A115"/>
    <mergeCell ref="A116:D116"/>
    <mergeCell ref="A117:D117"/>
    <mergeCell ref="X93:X94"/>
    <mergeCell ref="Y93:Y94"/>
    <mergeCell ref="Z93:Z94"/>
    <mergeCell ref="A96:A97"/>
    <mergeCell ref="B96:B115"/>
    <mergeCell ref="A98:A99"/>
    <mergeCell ref="A100:A101"/>
    <mergeCell ref="A102:A103"/>
    <mergeCell ref="A104:A105"/>
    <mergeCell ref="A108:A109"/>
    <mergeCell ref="R92:R94"/>
    <mergeCell ref="S92:S94"/>
    <mergeCell ref="T92:T94"/>
    <mergeCell ref="U92:U95"/>
    <mergeCell ref="V93:V94"/>
    <mergeCell ref="W93:W94"/>
    <mergeCell ref="L92:L94"/>
    <mergeCell ref="M92:M94"/>
    <mergeCell ref="N92:N94"/>
  </mergeCells>
  <printOptions horizontalCentered="1"/>
  <pageMargins left="0.39370078740157483" right="0.39370078740157483" top="0.39370078740157483" bottom="0.59055118110236227" header="0.31496062992125984" footer="0.31496062992125984"/>
  <pageSetup paperSize="10000" scale="5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EB63-F688-4765-B52B-6D392457021B}">
  <dimension ref="A1:Z120"/>
  <sheetViews>
    <sheetView topLeftCell="A91" zoomScale="70" zoomScaleNormal="70" workbookViewId="0">
      <selection activeCell="T99" sqref="T99"/>
    </sheetView>
  </sheetViews>
  <sheetFormatPr defaultRowHeight="15" x14ac:dyDescent="0.25"/>
  <cols>
    <col min="1" max="1" width="4.85546875" customWidth="1"/>
    <col min="2" max="2" width="11.5703125" customWidth="1"/>
    <col min="3" max="3" width="14.28515625" customWidth="1"/>
    <col min="4" max="4" width="17.5703125" bestFit="1" customWidth="1"/>
    <col min="5" max="5" width="6.28515625" customWidth="1"/>
    <col min="6" max="6" width="9.85546875" customWidth="1"/>
    <col min="13" max="13" width="0" hidden="1" customWidth="1"/>
    <col min="16" max="16" width="11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129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15.75" customHeight="1" x14ac:dyDescent="0.25">
      <c r="A7" s="254">
        <v>1</v>
      </c>
      <c r="B7" s="190" t="s">
        <v>32</v>
      </c>
      <c r="C7" s="97" t="s">
        <v>35</v>
      </c>
      <c r="D7" s="21" t="s">
        <v>34</v>
      </c>
      <c r="E7" s="10">
        <v>28</v>
      </c>
      <c r="F7" s="10">
        <v>20</v>
      </c>
      <c r="G7" s="11">
        <v>14</v>
      </c>
      <c r="H7" s="11">
        <v>135</v>
      </c>
      <c r="I7" s="11">
        <v>15</v>
      </c>
      <c r="J7" s="11">
        <v>164</v>
      </c>
      <c r="K7" s="11">
        <v>11</v>
      </c>
      <c r="L7" s="11">
        <v>122</v>
      </c>
      <c r="M7" s="12">
        <v>18</v>
      </c>
      <c r="N7" s="11">
        <v>10</v>
      </c>
      <c r="O7" s="11">
        <v>8</v>
      </c>
      <c r="P7" s="12">
        <v>151</v>
      </c>
      <c r="Q7" s="11">
        <v>491</v>
      </c>
      <c r="R7" s="11">
        <v>5</v>
      </c>
      <c r="S7" s="11">
        <v>466</v>
      </c>
      <c r="T7" s="12">
        <v>13</v>
      </c>
      <c r="U7" s="12">
        <v>140</v>
      </c>
      <c r="V7" s="13">
        <v>16.642857142857142</v>
      </c>
      <c r="W7" s="13">
        <v>83.214285714285708</v>
      </c>
      <c r="X7" s="13">
        <v>3.3285714285714287</v>
      </c>
      <c r="Y7" s="14">
        <v>0.67142857142857149</v>
      </c>
      <c r="Z7" s="15">
        <v>7</v>
      </c>
    </row>
    <row r="8" spans="1:26" ht="15.75" x14ac:dyDescent="0.25">
      <c r="A8" s="254"/>
      <c r="B8" s="191"/>
      <c r="C8" s="17" t="s">
        <v>35</v>
      </c>
      <c r="D8" s="16"/>
      <c r="E8" s="103">
        <v>28</v>
      </c>
      <c r="F8" s="17">
        <v>20</v>
      </c>
      <c r="G8" s="103">
        <v>14</v>
      </c>
      <c r="H8" s="17">
        <v>135</v>
      </c>
      <c r="I8" s="17">
        <v>15</v>
      </c>
      <c r="J8" s="17">
        <v>164</v>
      </c>
      <c r="K8" s="17">
        <v>11</v>
      </c>
      <c r="L8" s="17">
        <v>122</v>
      </c>
      <c r="M8" s="18">
        <v>18</v>
      </c>
      <c r="N8" s="17">
        <v>10</v>
      </c>
      <c r="O8" s="17">
        <v>8</v>
      </c>
      <c r="P8" s="18">
        <v>151</v>
      </c>
      <c r="Q8" s="17">
        <v>491</v>
      </c>
      <c r="R8" s="17">
        <v>5</v>
      </c>
      <c r="S8" s="17">
        <v>466</v>
      </c>
      <c r="T8" s="18">
        <v>13</v>
      </c>
      <c r="U8" s="18">
        <v>140</v>
      </c>
      <c r="V8" s="19">
        <v>16.642857142857142</v>
      </c>
      <c r="W8" s="19">
        <v>83.214285714285708</v>
      </c>
      <c r="X8" s="19">
        <v>3.3285714285714287</v>
      </c>
      <c r="Y8" s="20">
        <v>0.67142857142857149</v>
      </c>
      <c r="Z8" s="20">
        <v>7</v>
      </c>
    </row>
    <row r="9" spans="1:26" ht="15.75" x14ac:dyDescent="0.25">
      <c r="A9" s="256">
        <v>2</v>
      </c>
      <c r="B9" s="191"/>
      <c r="C9" s="11" t="s">
        <v>36</v>
      </c>
      <c r="D9" s="21" t="s">
        <v>34</v>
      </c>
      <c r="E9" s="10">
        <v>28</v>
      </c>
      <c r="F9" s="11">
        <v>16</v>
      </c>
      <c r="G9" s="11">
        <v>14</v>
      </c>
      <c r="H9" s="11">
        <v>81</v>
      </c>
      <c r="I9" s="11">
        <v>41</v>
      </c>
      <c r="J9" s="11">
        <v>136</v>
      </c>
      <c r="K9" s="11">
        <v>1</v>
      </c>
      <c r="L9" s="11">
        <v>112</v>
      </c>
      <c r="M9" s="12">
        <v>13</v>
      </c>
      <c r="N9" s="11">
        <v>7</v>
      </c>
      <c r="O9" s="11">
        <v>6</v>
      </c>
      <c r="P9" s="12">
        <v>126</v>
      </c>
      <c r="Q9" s="11">
        <v>493</v>
      </c>
      <c r="R9" s="11">
        <v>2</v>
      </c>
      <c r="S9" s="11">
        <v>411</v>
      </c>
      <c r="T9" s="12">
        <v>10</v>
      </c>
      <c r="U9" s="12">
        <v>125</v>
      </c>
      <c r="V9" s="13">
        <v>14.678571428571429</v>
      </c>
      <c r="W9" s="13">
        <v>91.741071428571431</v>
      </c>
      <c r="X9" s="13">
        <v>3.2879999999999998</v>
      </c>
      <c r="Y9" s="14">
        <v>0.29599999999999993</v>
      </c>
      <c r="Z9" s="15">
        <v>7.8125</v>
      </c>
    </row>
    <row r="10" spans="1:26" ht="15.75" x14ac:dyDescent="0.25">
      <c r="A10" s="256"/>
      <c r="B10" s="191"/>
      <c r="C10" s="17" t="s">
        <v>36</v>
      </c>
      <c r="D10" s="16"/>
      <c r="E10" s="103">
        <v>28</v>
      </c>
      <c r="F10" s="17">
        <v>16</v>
      </c>
      <c r="G10" s="103">
        <v>14</v>
      </c>
      <c r="H10" s="17">
        <v>81</v>
      </c>
      <c r="I10" s="17">
        <v>41</v>
      </c>
      <c r="J10" s="17">
        <v>136</v>
      </c>
      <c r="K10" s="17">
        <v>1</v>
      </c>
      <c r="L10" s="17">
        <v>112</v>
      </c>
      <c r="M10" s="18">
        <v>13</v>
      </c>
      <c r="N10" s="17">
        <v>7</v>
      </c>
      <c r="O10" s="17">
        <v>6</v>
      </c>
      <c r="P10" s="18">
        <v>126</v>
      </c>
      <c r="Q10" s="17">
        <v>493</v>
      </c>
      <c r="R10" s="17">
        <v>2</v>
      </c>
      <c r="S10" s="17">
        <v>411</v>
      </c>
      <c r="T10" s="18">
        <v>10</v>
      </c>
      <c r="U10" s="18">
        <v>125</v>
      </c>
      <c r="V10" s="19">
        <v>14.678571428571429</v>
      </c>
      <c r="W10" s="19">
        <v>91.741071428571431</v>
      </c>
      <c r="X10" s="19">
        <v>3.2879999999999998</v>
      </c>
      <c r="Y10" s="20">
        <v>0.29599999999999993</v>
      </c>
      <c r="Z10" s="20">
        <v>7.8125</v>
      </c>
    </row>
    <row r="11" spans="1:26" ht="15.75" customHeight="1" x14ac:dyDescent="0.25">
      <c r="A11" s="256">
        <v>3</v>
      </c>
      <c r="B11" s="191"/>
      <c r="D11" s="21" t="s">
        <v>38</v>
      </c>
      <c r="E11" s="10"/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 t="e">
        <v>#DIV/0!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191"/>
      <c r="C12" s="53" t="s">
        <v>37</v>
      </c>
      <c r="D12" s="21" t="s">
        <v>34</v>
      </c>
      <c r="E12" s="10">
        <v>28</v>
      </c>
      <c r="F12" s="11">
        <v>12</v>
      </c>
      <c r="G12" s="11">
        <v>8</v>
      </c>
      <c r="H12" s="11">
        <v>81</v>
      </c>
      <c r="I12" s="11">
        <v>4</v>
      </c>
      <c r="J12" s="11">
        <v>93</v>
      </c>
      <c r="K12" s="11">
        <v>3</v>
      </c>
      <c r="L12" s="11">
        <v>81</v>
      </c>
      <c r="M12" s="12">
        <v>6</v>
      </c>
      <c r="N12" s="11">
        <v>5</v>
      </c>
      <c r="O12" s="11">
        <v>1</v>
      </c>
      <c r="P12" s="12">
        <v>90</v>
      </c>
      <c r="Q12" s="11">
        <v>289</v>
      </c>
      <c r="R12" s="11">
        <v>2</v>
      </c>
      <c r="S12" s="11">
        <v>247</v>
      </c>
      <c r="T12" s="12">
        <v>3</v>
      </c>
      <c r="U12" s="12">
        <v>87</v>
      </c>
      <c r="V12" s="13">
        <v>8.8214285714285712</v>
      </c>
      <c r="W12" s="13">
        <v>73.511904761904759</v>
      </c>
      <c r="X12" s="13">
        <v>2.8390804597701149</v>
      </c>
      <c r="Y12" s="14">
        <v>1.0229885057471264</v>
      </c>
      <c r="Z12" s="15">
        <v>7.25</v>
      </c>
    </row>
    <row r="13" spans="1:26" ht="15.75" x14ac:dyDescent="0.25">
      <c r="A13" s="256"/>
      <c r="B13" s="191"/>
      <c r="C13" s="17" t="s">
        <v>37</v>
      </c>
      <c r="D13" s="16"/>
      <c r="E13" s="103">
        <v>28</v>
      </c>
      <c r="F13" s="17">
        <v>12</v>
      </c>
      <c r="G13" s="103">
        <v>8</v>
      </c>
      <c r="H13" s="17">
        <v>81</v>
      </c>
      <c r="I13" s="17">
        <v>4</v>
      </c>
      <c r="J13" s="17">
        <v>93</v>
      </c>
      <c r="K13" s="17">
        <v>3</v>
      </c>
      <c r="L13" s="17">
        <v>81</v>
      </c>
      <c r="M13" s="18">
        <v>6</v>
      </c>
      <c r="N13" s="17">
        <v>5</v>
      </c>
      <c r="O13" s="17">
        <v>1</v>
      </c>
      <c r="P13" s="18">
        <v>90</v>
      </c>
      <c r="Q13" s="17">
        <v>289</v>
      </c>
      <c r="R13" s="17">
        <v>2</v>
      </c>
      <c r="S13" s="17">
        <v>247</v>
      </c>
      <c r="T13" s="18">
        <v>3</v>
      </c>
      <c r="U13" s="18">
        <v>87</v>
      </c>
      <c r="V13" s="19">
        <v>8.8214285714285712</v>
      </c>
      <c r="W13" s="19">
        <v>73.511904761904759</v>
      </c>
      <c r="X13" s="19">
        <v>2.8390804597701149</v>
      </c>
      <c r="Y13" s="20">
        <v>1.0229885057471264</v>
      </c>
      <c r="Z13" s="20">
        <v>7.25</v>
      </c>
    </row>
    <row r="14" spans="1:26" ht="15.75" x14ac:dyDescent="0.25">
      <c r="A14" s="256">
        <v>4</v>
      </c>
      <c r="B14" s="191"/>
      <c r="C14" s="254" t="s">
        <v>39</v>
      </c>
      <c r="D14" s="21" t="s">
        <v>38</v>
      </c>
      <c r="E14" s="10">
        <v>28</v>
      </c>
      <c r="F14" s="10">
        <v>2</v>
      </c>
      <c r="G14" s="11">
        <v>1</v>
      </c>
      <c r="H14" s="11">
        <v>18</v>
      </c>
      <c r="I14" s="11">
        <v>6</v>
      </c>
      <c r="J14" s="11">
        <v>25</v>
      </c>
      <c r="K14" s="11">
        <v>14</v>
      </c>
      <c r="L14" s="11">
        <v>10</v>
      </c>
      <c r="M14" s="12">
        <v>0</v>
      </c>
      <c r="N14" s="11">
        <v>0</v>
      </c>
      <c r="O14" s="11">
        <v>0</v>
      </c>
      <c r="P14" s="12">
        <v>24</v>
      </c>
      <c r="Q14" s="11">
        <v>31</v>
      </c>
      <c r="R14" s="11">
        <v>0</v>
      </c>
      <c r="S14" s="11">
        <v>34</v>
      </c>
      <c r="T14" s="12">
        <v>1</v>
      </c>
      <c r="U14" s="12">
        <v>10</v>
      </c>
      <c r="V14" s="13">
        <v>1.2142857142857142</v>
      </c>
      <c r="W14" s="13">
        <v>60.714285714285708</v>
      </c>
      <c r="X14" s="13">
        <v>3.4</v>
      </c>
      <c r="Y14" s="14">
        <v>2.2000000000000002</v>
      </c>
      <c r="Z14" s="15">
        <v>5</v>
      </c>
    </row>
    <row r="15" spans="1:26" ht="15.75" x14ac:dyDescent="0.25">
      <c r="A15" s="256"/>
      <c r="B15" s="191"/>
      <c r="C15" s="254"/>
      <c r="D15" s="21" t="s">
        <v>34</v>
      </c>
      <c r="E15" s="10">
        <v>28</v>
      </c>
      <c r="F15" s="10">
        <v>17</v>
      </c>
      <c r="G15" s="11">
        <v>13</v>
      </c>
      <c r="H15" s="11">
        <v>120</v>
      </c>
      <c r="I15" s="11">
        <v>15</v>
      </c>
      <c r="J15" s="11">
        <v>148</v>
      </c>
      <c r="K15" s="11">
        <v>27</v>
      </c>
      <c r="L15" s="11">
        <v>104</v>
      </c>
      <c r="M15" s="12">
        <v>2</v>
      </c>
      <c r="N15" s="11">
        <v>2</v>
      </c>
      <c r="O15" s="11">
        <v>0</v>
      </c>
      <c r="P15" s="12">
        <v>133</v>
      </c>
      <c r="Q15" s="11">
        <v>366</v>
      </c>
      <c r="R15" s="11">
        <v>0</v>
      </c>
      <c r="S15" s="11">
        <v>415</v>
      </c>
      <c r="T15" s="12">
        <v>15</v>
      </c>
      <c r="U15" s="12">
        <v>106</v>
      </c>
      <c r="V15" s="13">
        <v>14.821428571428571</v>
      </c>
      <c r="W15" s="13">
        <v>87.184873949579838</v>
      </c>
      <c r="X15" s="13">
        <v>3.9150943396226414</v>
      </c>
      <c r="Y15" s="14">
        <v>0.57547169811320764</v>
      </c>
      <c r="Z15" s="15">
        <v>6.2352941176470589</v>
      </c>
    </row>
    <row r="16" spans="1:26" ht="15.75" x14ac:dyDescent="0.25">
      <c r="A16" s="256"/>
      <c r="B16" s="191"/>
      <c r="C16" s="254"/>
      <c r="D16" s="21" t="s">
        <v>40</v>
      </c>
      <c r="E16" s="10">
        <v>28</v>
      </c>
      <c r="F16" s="10">
        <v>5</v>
      </c>
      <c r="G16" s="11">
        <v>2</v>
      </c>
      <c r="H16" s="11">
        <v>9</v>
      </c>
      <c r="I16" s="11">
        <v>25</v>
      </c>
      <c r="J16" s="11">
        <v>36</v>
      </c>
      <c r="K16" s="11">
        <v>6</v>
      </c>
      <c r="L16" s="11">
        <v>25</v>
      </c>
      <c r="M16" s="12">
        <v>0</v>
      </c>
      <c r="N16" s="11">
        <v>0</v>
      </c>
      <c r="O16" s="11">
        <v>0</v>
      </c>
      <c r="P16" s="12">
        <v>31</v>
      </c>
      <c r="Q16" s="11">
        <v>80</v>
      </c>
      <c r="R16" s="11">
        <v>1</v>
      </c>
      <c r="S16" s="11">
        <v>104</v>
      </c>
      <c r="T16" s="12">
        <v>5</v>
      </c>
      <c r="U16" s="12">
        <v>25</v>
      </c>
      <c r="V16" s="13">
        <v>3.7142857142857144</v>
      </c>
      <c r="W16" s="13">
        <v>74.285714285714292</v>
      </c>
      <c r="X16" s="13">
        <v>4.16</v>
      </c>
      <c r="Y16" s="14">
        <v>1.44</v>
      </c>
      <c r="Z16" s="15">
        <v>5</v>
      </c>
    </row>
    <row r="17" spans="1:26" ht="15.75" x14ac:dyDescent="0.25">
      <c r="A17" s="256"/>
      <c r="B17" s="191"/>
      <c r="C17" s="17" t="s">
        <v>39</v>
      </c>
      <c r="D17" s="16"/>
      <c r="E17" s="103">
        <v>28</v>
      </c>
      <c r="F17" s="17">
        <v>24</v>
      </c>
      <c r="G17" s="103">
        <v>16</v>
      </c>
      <c r="H17" s="17">
        <v>147</v>
      </c>
      <c r="I17" s="17">
        <v>46</v>
      </c>
      <c r="J17" s="17">
        <v>209</v>
      </c>
      <c r="K17" s="17">
        <v>47</v>
      </c>
      <c r="L17" s="17">
        <v>139</v>
      </c>
      <c r="M17" s="18">
        <v>2</v>
      </c>
      <c r="N17" s="17">
        <v>2</v>
      </c>
      <c r="O17" s="17">
        <v>0</v>
      </c>
      <c r="P17" s="18">
        <v>188</v>
      </c>
      <c r="Q17" s="17">
        <v>477</v>
      </c>
      <c r="R17" s="17">
        <v>1</v>
      </c>
      <c r="S17" s="17">
        <v>553</v>
      </c>
      <c r="T17" s="18">
        <v>21</v>
      </c>
      <c r="U17" s="18">
        <v>141</v>
      </c>
      <c r="V17" s="19">
        <v>19.75</v>
      </c>
      <c r="W17" s="19">
        <v>82.291666666666657</v>
      </c>
      <c r="X17" s="19">
        <v>3.9219858156028371</v>
      </c>
      <c r="Y17" s="20">
        <v>0.84397163120567376</v>
      </c>
      <c r="Z17" s="20">
        <v>5.875</v>
      </c>
    </row>
    <row r="18" spans="1:26" ht="15.75" x14ac:dyDescent="0.25">
      <c r="A18" s="248">
        <v>5</v>
      </c>
      <c r="B18" s="191"/>
      <c r="C18" s="248" t="s">
        <v>41</v>
      </c>
      <c r="D18" s="22" t="s">
        <v>115</v>
      </c>
      <c r="E18" s="10">
        <v>28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4" t="e">
        <v>#DIV/0!</v>
      </c>
      <c r="Z18" s="15">
        <v>0</v>
      </c>
    </row>
    <row r="19" spans="1:26" ht="15.75" x14ac:dyDescent="0.25">
      <c r="A19" s="249"/>
      <c r="B19" s="191"/>
      <c r="C19" s="249"/>
      <c r="D19" s="98" t="s">
        <v>42</v>
      </c>
      <c r="E19" s="10">
        <v>28</v>
      </c>
      <c r="F19" s="10">
        <v>15</v>
      </c>
      <c r="G19" s="11">
        <v>20</v>
      </c>
      <c r="H19" s="11">
        <v>114</v>
      </c>
      <c r="I19" s="11">
        <v>6</v>
      </c>
      <c r="J19" s="11">
        <v>140</v>
      </c>
      <c r="K19" s="11">
        <v>10</v>
      </c>
      <c r="L19" s="11">
        <v>99</v>
      </c>
      <c r="M19" s="12">
        <v>18</v>
      </c>
      <c r="N19" s="11">
        <v>11</v>
      </c>
      <c r="O19" s="11">
        <v>7</v>
      </c>
      <c r="P19" s="12">
        <v>127</v>
      </c>
      <c r="Q19" s="11">
        <v>478</v>
      </c>
      <c r="R19" s="11">
        <v>3</v>
      </c>
      <c r="S19" s="11">
        <v>489</v>
      </c>
      <c r="T19" s="12">
        <v>13</v>
      </c>
      <c r="U19" s="12">
        <v>117</v>
      </c>
      <c r="V19" s="13">
        <v>17.464285714285715</v>
      </c>
      <c r="W19" s="13">
        <v>116.42857142857143</v>
      </c>
      <c r="X19" s="13">
        <v>4.1794871794871797</v>
      </c>
      <c r="Y19" s="14">
        <v>-0.58974358974358998</v>
      </c>
      <c r="Z19" s="15">
        <v>7.8</v>
      </c>
    </row>
    <row r="20" spans="1:26" ht="15.75" x14ac:dyDescent="0.25">
      <c r="A20" s="249"/>
      <c r="B20" s="191"/>
      <c r="C20" s="250"/>
      <c r="D20" s="98" t="s">
        <v>43</v>
      </c>
      <c r="E20" s="10">
        <v>28</v>
      </c>
      <c r="F20" s="10">
        <v>12</v>
      </c>
      <c r="G20" s="11">
        <v>12</v>
      </c>
      <c r="H20" s="11">
        <v>65</v>
      </c>
      <c r="I20" s="11">
        <v>28</v>
      </c>
      <c r="J20" s="11">
        <v>105</v>
      </c>
      <c r="K20" s="11">
        <v>18</v>
      </c>
      <c r="L20" s="11">
        <v>68</v>
      </c>
      <c r="M20" s="12">
        <v>11</v>
      </c>
      <c r="N20" s="11">
        <v>9</v>
      </c>
      <c r="O20" s="11">
        <v>2</v>
      </c>
      <c r="P20" s="12">
        <v>97</v>
      </c>
      <c r="Q20" s="11">
        <v>307</v>
      </c>
      <c r="R20" s="11">
        <v>4</v>
      </c>
      <c r="S20" s="11">
        <v>345</v>
      </c>
      <c r="T20" s="12">
        <v>8</v>
      </c>
      <c r="U20" s="12">
        <v>79</v>
      </c>
      <c r="V20" s="13">
        <v>12.321428571428571</v>
      </c>
      <c r="W20" s="13">
        <v>102.67857142857142</v>
      </c>
      <c r="X20" s="13">
        <v>4.3670886075949369</v>
      </c>
      <c r="Y20" s="14">
        <v>-0.11392405063291131</v>
      </c>
      <c r="Z20" s="15">
        <v>6.583333333333333</v>
      </c>
    </row>
    <row r="21" spans="1:26" ht="15.75" x14ac:dyDescent="0.25">
      <c r="A21" s="250"/>
      <c r="B21" s="191"/>
      <c r="C21" s="17" t="s">
        <v>41</v>
      </c>
      <c r="D21" s="16"/>
      <c r="E21" s="103">
        <v>28</v>
      </c>
      <c r="F21" s="17">
        <v>31</v>
      </c>
      <c r="G21" s="103">
        <v>32</v>
      </c>
      <c r="H21" s="17">
        <v>179</v>
      </c>
      <c r="I21" s="17">
        <v>34</v>
      </c>
      <c r="J21" s="17">
        <v>245</v>
      </c>
      <c r="K21" s="17">
        <v>28</v>
      </c>
      <c r="L21" s="17">
        <v>167</v>
      </c>
      <c r="M21" s="18">
        <v>29</v>
      </c>
      <c r="N21" s="17">
        <v>20</v>
      </c>
      <c r="O21" s="17">
        <v>9</v>
      </c>
      <c r="P21" s="18">
        <v>224</v>
      </c>
      <c r="Q21" s="17">
        <v>785</v>
      </c>
      <c r="R21" s="17">
        <v>7</v>
      </c>
      <c r="S21" s="17">
        <v>834</v>
      </c>
      <c r="T21" s="18">
        <v>21</v>
      </c>
      <c r="U21" s="18">
        <v>196</v>
      </c>
      <c r="V21" s="19">
        <v>29.785714285714285</v>
      </c>
      <c r="W21" s="19">
        <v>110.31746031746033</v>
      </c>
      <c r="X21" s="19">
        <v>4.2551020408163263</v>
      </c>
      <c r="Y21" s="20">
        <v>-0.39795918367346939</v>
      </c>
      <c r="Z21" s="20">
        <v>14.383333333333333</v>
      </c>
    </row>
    <row r="22" spans="1:26" ht="15.75" x14ac:dyDescent="0.25">
      <c r="A22" s="254">
        <v>6</v>
      </c>
      <c r="B22" s="191"/>
      <c r="C22" s="10" t="s">
        <v>44</v>
      </c>
      <c r="D22" s="21" t="s">
        <v>34</v>
      </c>
      <c r="E22" s="10">
        <v>28</v>
      </c>
      <c r="F22" s="10">
        <v>18</v>
      </c>
      <c r="G22" s="11">
        <v>14</v>
      </c>
      <c r="H22" s="11">
        <v>139</v>
      </c>
      <c r="I22" s="11">
        <v>10</v>
      </c>
      <c r="J22" s="11">
        <v>163</v>
      </c>
      <c r="K22" s="11">
        <v>13</v>
      </c>
      <c r="L22" s="11">
        <v>127</v>
      </c>
      <c r="M22" s="12">
        <v>7</v>
      </c>
      <c r="N22" s="11">
        <v>4</v>
      </c>
      <c r="O22" s="11">
        <v>3</v>
      </c>
      <c r="P22" s="12">
        <v>147</v>
      </c>
      <c r="Q22" s="11">
        <v>440</v>
      </c>
      <c r="R22" s="11">
        <v>1</v>
      </c>
      <c r="S22" s="11">
        <v>511</v>
      </c>
      <c r="T22" s="12">
        <v>16</v>
      </c>
      <c r="U22" s="12">
        <v>134</v>
      </c>
      <c r="V22" s="13">
        <v>18.25</v>
      </c>
      <c r="W22" s="13">
        <v>101.38888888888889</v>
      </c>
      <c r="X22" s="13">
        <v>3.8134328358208953</v>
      </c>
      <c r="Y22" s="14">
        <v>-5.2238805970149252E-2</v>
      </c>
      <c r="Z22" s="15">
        <v>7.4444444444444446</v>
      </c>
    </row>
    <row r="23" spans="1:26" ht="15.75" x14ac:dyDescent="0.25">
      <c r="A23" s="254"/>
      <c r="B23" s="191"/>
      <c r="C23" s="17" t="s">
        <v>44</v>
      </c>
      <c r="D23" s="16"/>
      <c r="E23" s="103">
        <v>28</v>
      </c>
      <c r="F23" s="17">
        <v>18</v>
      </c>
      <c r="G23" s="103">
        <v>14</v>
      </c>
      <c r="H23" s="17">
        <v>139</v>
      </c>
      <c r="I23" s="17">
        <v>10</v>
      </c>
      <c r="J23" s="17">
        <v>163</v>
      </c>
      <c r="K23" s="17">
        <v>13</v>
      </c>
      <c r="L23" s="17">
        <v>127</v>
      </c>
      <c r="M23" s="18">
        <v>7</v>
      </c>
      <c r="N23" s="17">
        <v>4</v>
      </c>
      <c r="O23" s="17">
        <v>3</v>
      </c>
      <c r="P23" s="18">
        <v>147</v>
      </c>
      <c r="Q23" s="17">
        <v>440</v>
      </c>
      <c r="R23" s="17">
        <v>1</v>
      </c>
      <c r="S23" s="17">
        <v>511</v>
      </c>
      <c r="T23" s="18">
        <v>16</v>
      </c>
      <c r="U23" s="18">
        <v>134</v>
      </c>
      <c r="V23" s="19">
        <v>18.25</v>
      </c>
      <c r="W23" s="19">
        <v>101.38888888888889</v>
      </c>
      <c r="X23" s="19">
        <v>3.8134328358208953</v>
      </c>
      <c r="Y23" s="20">
        <v>-5.2238805970149252E-2</v>
      </c>
      <c r="Z23" s="20">
        <v>7.4444444444444446</v>
      </c>
    </row>
    <row r="24" spans="1:26" ht="15.75" x14ac:dyDescent="0.25">
      <c r="A24" s="248">
        <v>7</v>
      </c>
      <c r="B24" s="191"/>
      <c r="C24" s="248" t="s">
        <v>45</v>
      </c>
      <c r="D24" s="22" t="s">
        <v>40</v>
      </c>
      <c r="E24" s="10">
        <v>28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4" t="e">
        <v>#DIV/0!</v>
      </c>
      <c r="Z24" s="15">
        <v>0</v>
      </c>
    </row>
    <row r="25" spans="1:26" ht="15.75" x14ac:dyDescent="0.25">
      <c r="A25" s="249"/>
      <c r="B25" s="191"/>
      <c r="C25" s="250"/>
      <c r="D25" s="21" t="s">
        <v>34</v>
      </c>
      <c r="E25" s="10">
        <v>28</v>
      </c>
      <c r="F25" s="10">
        <v>16</v>
      </c>
      <c r="G25" s="11">
        <v>14</v>
      </c>
      <c r="H25" s="11">
        <v>116</v>
      </c>
      <c r="I25" s="11">
        <v>16</v>
      </c>
      <c r="J25" s="11">
        <v>146</v>
      </c>
      <c r="K25" s="11">
        <v>10</v>
      </c>
      <c r="L25" s="11">
        <v>116</v>
      </c>
      <c r="M25" s="12">
        <v>6</v>
      </c>
      <c r="N25" s="11">
        <v>3</v>
      </c>
      <c r="O25" s="11">
        <v>3</v>
      </c>
      <c r="P25" s="12">
        <v>132</v>
      </c>
      <c r="Q25" s="11">
        <v>420</v>
      </c>
      <c r="R25" s="11">
        <v>1</v>
      </c>
      <c r="S25" s="11">
        <v>423</v>
      </c>
      <c r="T25" s="12">
        <v>14</v>
      </c>
      <c r="U25" s="12">
        <v>122</v>
      </c>
      <c r="V25" s="13">
        <v>15.107142857142858</v>
      </c>
      <c r="W25" s="13">
        <v>94.419642857142861</v>
      </c>
      <c r="X25" s="13">
        <v>3.4672131147540983</v>
      </c>
      <c r="Y25" s="14">
        <v>0.20491803278688514</v>
      </c>
      <c r="Z25" s="15">
        <v>7.625</v>
      </c>
    </row>
    <row r="26" spans="1:26" ht="15.75" x14ac:dyDescent="0.25">
      <c r="A26" s="250"/>
      <c r="B26" s="191"/>
      <c r="C26" s="17" t="s">
        <v>45</v>
      </c>
      <c r="D26" s="16"/>
      <c r="E26" s="103">
        <v>28</v>
      </c>
      <c r="F26" s="17">
        <v>20</v>
      </c>
      <c r="G26" s="103">
        <v>14</v>
      </c>
      <c r="H26" s="17">
        <v>116</v>
      </c>
      <c r="I26" s="17">
        <v>16</v>
      </c>
      <c r="J26" s="17">
        <v>146</v>
      </c>
      <c r="K26" s="17">
        <v>10</v>
      </c>
      <c r="L26" s="17">
        <v>116</v>
      </c>
      <c r="M26" s="18">
        <v>6</v>
      </c>
      <c r="N26" s="17">
        <v>3</v>
      </c>
      <c r="O26" s="17">
        <v>3</v>
      </c>
      <c r="P26" s="18">
        <v>132</v>
      </c>
      <c r="Q26" s="17">
        <v>420</v>
      </c>
      <c r="R26" s="17">
        <v>1</v>
      </c>
      <c r="S26" s="17">
        <v>423</v>
      </c>
      <c r="T26" s="18">
        <v>14</v>
      </c>
      <c r="U26" s="18">
        <v>122</v>
      </c>
      <c r="V26" s="19">
        <v>15.107142857142858</v>
      </c>
      <c r="W26" s="19">
        <v>75.535714285714278</v>
      </c>
      <c r="X26" s="19">
        <v>3.4672131147540983</v>
      </c>
      <c r="Y26" s="20">
        <v>1.1229508196721312</v>
      </c>
      <c r="Z26" s="20">
        <v>6.1</v>
      </c>
    </row>
    <row r="27" spans="1:26" ht="15.75" x14ac:dyDescent="0.25">
      <c r="A27" s="256">
        <v>8</v>
      </c>
      <c r="B27" s="191"/>
      <c r="C27" s="11" t="s">
        <v>46</v>
      </c>
      <c r="D27" s="21" t="s">
        <v>34</v>
      </c>
      <c r="E27" s="10">
        <v>28</v>
      </c>
      <c r="F27" s="11">
        <v>20</v>
      </c>
      <c r="G27" s="11">
        <v>14</v>
      </c>
      <c r="H27" s="11">
        <v>150</v>
      </c>
      <c r="I27" s="11">
        <v>10</v>
      </c>
      <c r="J27" s="11">
        <v>174</v>
      </c>
      <c r="K27" s="11">
        <v>13</v>
      </c>
      <c r="L27" s="11">
        <v>143</v>
      </c>
      <c r="M27" s="12">
        <v>8</v>
      </c>
      <c r="N27" s="11">
        <v>6</v>
      </c>
      <c r="O27" s="11">
        <v>2</v>
      </c>
      <c r="P27" s="12">
        <v>164</v>
      </c>
      <c r="Q27" s="11">
        <v>467</v>
      </c>
      <c r="R27" s="11">
        <v>2</v>
      </c>
      <c r="S27" s="11">
        <v>431</v>
      </c>
      <c r="T27" s="12">
        <v>10</v>
      </c>
      <c r="U27" s="12">
        <v>151</v>
      </c>
      <c r="V27" s="13">
        <v>15.392857142857142</v>
      </c>
      <c r="W27" s="13">
        <v>76.964285714285708</v>
      </c>
      <c r="X27" s="13">
        <v>2.8543046357615895</v>
      </c>
      <c r="Y27" s="14">
        <v>0.85430463576158944</v>
      </c>
      <c r="Z27" s="15">
        <v>7.55</v>
      </c>
    </row>
    <row r="28" spans="1:26" ht="15.75" x14ac:dyDescent="0.25">
      <c r="A28" s="256"/>
      <c r="B28" s="191"/>
      <c r="C28" s="17" t="s">
        <v>46</v>
      </c>
      <c r="D28" s="16"/>
      <c r="E28" s="103">
        <v>28</v>
      </c>
      <c r="F28" s="17">
        <v>20</v>
      </c>
      <c r="G28" s="103">
        <v>14</v>
      </c>
      <c r="H28" s="17">
        <v>150</v>
      </c>
      <c r="I28" s="17">
        <v>10</v>
      </c>
      <c r="J28" s="17">
        <v>174</v>
      </c>
      <c r="K28" s="17">
        <v>13</v>
      </c>
      <c r="L28" s="17">
        <v>143</v>
      </c>
      <c r="M28" s="18">
        <v>8</v>
      </c>
      <c r="N28" s="17">
        <v>6</v>
      </c>
      <c r="O28" s="17">
        <v>2</v>
      </c>
      <c r="P28" s="18">
        <v>164</v>
      </c>
      <c r="Q28" s="17">
        <v>467</v>
      </c>
      <c r="R28" s="17">
        <v>2</v>
      </c>
      <c r="S28" s="17">
        <v>431</v>
      </c>
      <c r="T28" s="18">
        <v>10</v>
      </c>
      <c r="U28" s="18">
        <v>151</v>
      </c>
      <c r="V28" s="19">
        <v>15.392857142857142</v>
      </c>
      <c r="W28" s="19">
        <v>76.964285714285708</v>
      </c>
      <c r="X28" s="19">
        <v>2.8543046357615895</v>
      </c>
      <c r="Y28" s="20">
        <v>0.85430463576158944</v>
      </c>
      <c r="Z28" s="20">
        <v>7.55</v>
      </c>
    </row>
    <row r="29" spans="1:26" ht="15.75" x14ac:dyDescent="0.25">
      <c r="A29" s="53"/>
      <c r="B29" s="191"/>
      <c r="C29" s="11" t="s">
        <v>47</v>
      </c>
      <c r="D29" s="22" t="s">
        <v>40</v>
      </c>
      <c r="E29" s="10">
        <v>28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/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1">
        <v>0</v>
      </c>
      <c r="T29" s="12">
        <v>0</v>
      </c>
      <c r="U29" s="12">
        <v>0</v>
      </c>
      <c r="V29" s="13">
        <v>0</v>
      </c>
      <c r="W29" s="13">
        <v>0</v>
      </c>
      <c r="X29" s="13" t="e">
        <v>#DIV/0!</v>
      </c>
      <c r="Y29" s="14" t="e">
        <v>#DIV/0!</v>
      </c>
      <c r="Z29" s="15">
        <v>0</v>
      </c>
    </row>
    <row r="30" spans="1:26" ht="15.75" x14ac:dyDescent="0.25">
      <c r="A30" s="256">
        <v>9</v>
      </c>
      <c r="B30" s="191"/>
      <c r="C30" s="11" t="s">
        <v>47</v>
      </c>
      <c r="D30" s="22" t="s">
        <v>48</v>
      </c>
      <c r="E30" s="10">
        <v>28</v>
      </c>
      <c r="F30" s="11">
        <v>3</v>
      </c>
      <c r="G30" s="11">
        <v>2</v>
      </c>
      <c r="H30" s="11">
        <v>28</v>
      </c>
      <c r="I30" s="11">
        <v>12</v>
      </c>
      <c r="J30" s="11">
        <v>42</v>
      </c>
      <c r="K30" s="11">
        <v>7</v>
      </c>
      <c r="L30" s="11">
        <v>32</v>
      </c>
      <c r="M30" s="12">
        <v>0</v>
      </c>
      <c r="N30" s="11">
        <v>0</v>
      </c>
      <c r="O30" s="11">
        <v>0</v>
      </c>
      <c r="P30" s="12">
        <v>39</v>
      </c>
      <c r="Q30" s="11">
        <v>89</v>
      </c>
      <c r="R30" s="11">
        <v>1</v>
      </c>
      <c r="S30" s="11">
        <v>99</v>
      </c>
      <c r="T30" s="12">
        <v>3</v>
      </c>
      <c r="U30" s="12">
        <v>32</v>
      </c>
      <c r="V30" s="13">
        <v>3.5357142857142856</v>
      </c>
      <c r="W30" s="13">
        <v>117.85714285714286</v>
      </c>
      <c r="X30" s="13">
        <v>3.09375</v>
      </c>
      <c r="Y30" s="14">
        <v>-0.46874999999999989</v>
      </c>
      <c r="Z30" s="15">
        <v>10.666666666666666</v>
      </c>
    </row>
    <row r="31" spans="1:26" ht="15.75" x14ac:dyDescent="0.25">
      <c r="A31" s="256"/>
      <c r="B31" s="191"/>
      <c r="C31" s="11" t="s">
        <v>47</v>
      </c>
      <c r="D31" s="22" t="s">
        <v>112</v>
      </c>
      <c r="E31" s="10">
        <v>28</v>
      </c>
      <c r="F31" s="11">
        <v>8</v>
      </c>
      <c r="G31" s="11">
        <v>4</v>
      </c>
      <c r="H31" s="11">
        <v>35</v>
      </c>
      <c r="I31" s="11">
        <v>10</v>
      </c>
      <c r="J31" s="11">
        <v>49</v>
      </c>
      <c r="K31" s="11">
        <v>11</v>
      </c>
      <c r="L31" s="11">
        <v>34</v>
      </c>
      <c r="M31" s="12">
        <v>2</v>
      </c>
      <c r="N31" s="11">
        <v>1</v>
      </c>
      <c r="O31" s="11">
        <v>1</v>
      </c>
      <c r="P31" s="12">
        <v>47</v>
      </c>
      <c r="Q31" s="11">
        <v>126</v>
      </c>
      <c r="R31" s="11">
        <v>1</v>
      </c>
      <c r="S31" s="11">
        <v>123</v>
      </c>
      <c r="T31" s="12">
        <v>2</v>
      </c>
      <c r="U31" s="12">
        <v>36</v>
      </c>
      <c r="V31" s="13">
        <v>4.3928571428571432</v>
      </c>
      <c r="W31" s="13">
        <v>54.910714285714292</v>
      </c>
      <c r="X31" s="13">
        <v>3.4166666666666665</v>
      </c>
      <c r="Y31" s="14">
        <v>2.8055555555555554</v>
      </c>
      <c r="Z31" s="15">
        <v>4.5</v>
      </c>
    </row>
    <row r="32" spans="1:26" ht="15.75" x14ac:dyDescent="0.25">
      <c r="A32" s="256"/>
      <c r="B32" s="191"/>
      <c r="C32" s="17" t="s">
        <v>47</v>
      </c>
      <c r="D32" s="16"/>
      <c r="E32" s="103">
        <v>28</v>
      </c>
      <c r="F32" s="17">
        <v>12</v>
      </c>
      <c r="G32" s="103">
        <v>6</v>
      </c>
      <c r="H32" s="17">
        <v>63</v>
      </c>
      <c r="I32" s="17">
        <v>22</v>
      </c>
      <c r="J32" s="17">
        <v>91</v>
      </c>
      <c r="K32" s="17">
        <v>18</v>
      </c>
      <c r="L32" s="17">
        <v>66</v>
      </c>
      <c r="M32" s="18">
        <v>2</v>
      </c>
      <c r="N32" s="17">
        <v>1</v>
      </c>
      <c r="O32" s="17">
        <v>1</v>
      </c>
      <c r="P32" s="18">
        <v>86</v>
      </c>
      <c r="Q32" s="17">
        <v>215</v>
      </c>
      <c r="R32" s="17">
        <v>2</v>
      </c>
      <c r="S32" s="17">
        <v>222</v>
      </c>
      <c r="T32" s="18">
        <v>5</v>
      </c>
      <c r="U32" s="18">
        <v>68</v>
      </c>
      <c r="V32" s="19">
        <v>7.9285714285714288</v>
      </c>
      <c r="W32" s="19">
        <v>66.071428571428569</v>
      </c>
      <c r="X32" s="19">
        <v>3.2647058823529411</v>
      </c>
      <c r="Y32" s="20">
        <v>1.6764705882352942</v>
      </c>
      <c r="Z32" s="20">
        <v>5.666666666666667</v>
      </c>
    </row>
    <row r="33" spans="1:26" ht="15.75" x14ac:dyDescent="0.25">
      <c r="A33" s="262">
        <v>10</v>
      </c>
      <c r="B33" s="191"/>
      <c r="C33" s="11" t="s">
        <v>49</v>
      </c>
      <c r="D33" s="22" t="s">
        <v>40</v>
      </c>
      <c r="E33" s="10">
        <v>28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/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1">
        <v>0</v>
      </c>
      <c r="T33" s="12">
        <v>0</v>
      </c>
      <c r="U33" s="12">
        <v>0</v>
      </c>
      <c r="V33" s="13">
        <v>0</v>
      </c>
      <c r="W33" s="13">
        <v>0</v>
      </c>
      <c r="X33" s="13" t="e">
        <v>#DIV/0!</v>
      </c>
      <c r="Y33" s="14" t="e">
        <v>#DIV/0!</v>
      </c>
      <c r="Z33" s="15">
        <v>0</v>
      </c>
    </row>
    <row r="34" spans="1:26" ht="15.75" x14ac:dyDescent="0.25">
      <c r="A34" s="263"/>
      <c r="B34" s="191"/>
      <c r="C34" s="11" t="s">
        <v>49</v>
      </c>
      <c r="D34" s="22" t="s">
        <v>48</v>
      </c>
      <c r="E34" s="10">
        <v>28</v>
      </c>
      <c r="F34" s="11">
        <v>2</v>
      </c>
      <c r="G34" s="11">
        <v>3</v>
      </c>
      <c r="H34" s="11">
        <v>14</v>
      </c>
      <c r="I34" s="11">
        <v>4</v>
      </c>
      <c r="J34" s="11">
        <v>21</v>
      </c>
      <c r="K34" s="11">
        <v>2</v>
      </c>
      <c r="L34" s="11">
        <v>15</v>
      </c>
      <c r="M34" s="12">
        <v>2</v>
      </c>
      <c r="N34" s="11">
        <v>0</v>
      </c>
      <c r="O34" s="11">
        <v>2</v>
      </c>
      <c r="P34" s="12">
        <v>19</v>
      </c>
      <c r="Q34" s="11">
        <v>56</v>
      </c>
      <c r="R34" s="11">
        <v>0</v>
      </c>
      <c r="S34" s="11">
        <v>65</v>
      </c>
      <c r="T34" s="12">
        <v>2</v>
      </c>
      <c r="U34" s="12">
        <v>17</v>
      </c>
      <c r="V34" s="13">
        <v>2.3214285714285716</v>
      </c>
      <c r="W34" s="13">
        <v>116.07142857142858</v>
      </c>
      <c r="X34" s="13">
        <v>3.8235294117647061</v>
      </c>
      <c r="Y34" s="14">
        <v>-0.52941176470588269</v>
      </c>
      <c r="Z34" s="15">
        <v>8.5</v>
      </c>
    </row>
    <row r="35" spans="1:26" ht="15.75" x14ac:dyDescent="0.25">
      <c r="A35" s="263"/>
      <c r="B35" s="191"/>
      <c r="C35" s="11" t="s">
        <v>49</v>
      </c>
      <c r="D35" s="22" t="s">
        <v>38</v>
      </c>
      <c r="E35" s="10">
        <v>28</v>
      </c>
      <c r="F35" s="11">
        <v>4</v>
      </c>
      <c r="G35" s="11">
        <v>4</v>
      </c>
      <c r="H35" s="11">
        <v>24</v>
      </c>
      <c r="I35" s="11">
        <v>3</v>
      </c>
      <c r="J35" s="11">
        <v>31</v>
      </c>
      <c r="K35" s="11">
        <v>1</v>
      </c>
      <c r="L35" s="11">
        <v>25</v>
      </c>
      <c r="M35" s="12">
        <v>1</v>
      </c>
      <c r="N35" s="11">
        <v>1</v>
      </c>
      <c r="O35" s="11">
        <v>0</v>
      </c>
      <c r="P35" s="12">
        <v>27</v>
      </c>
      <c r="Q35" s="11">
        <v>82</v>
      </c>
      <c r="R35" s="11">
        <v>0</v>
      </c>
      <c r="S35" s="11">
        <v>90</v>
      </c>
      <c r="T35" s="12">
        <v>4</v>
      </c>
      <c r="U35" s="12">
        <v>26</v>
      </c>
      <c r="V35" s="13">
        <v>3.2142857142857144</v>
      </c>
      <c r="W35" s="13">
        <v>80.357142857142861</v>
      </c>
      <c r="X35" s="13">
        <v>3.4615384615384617</v>
      </c>
      <c r="Y35" s="14">
        <v>0.84615384615384603</v>
      </c>
      <c r="Z35" s="15">
        <v>6.5</v>
      </c>
    </row>
    <row r="36" spans="1:26" ht="15.75" x14ac:dyDescent="0.25">
      <c r="A36" s="263"/>
      <c r="B36" s="191"/>
      <c r="C36" s="11" t="s">
        <v>49</v>
      </c>
      <c r="D36" s="22" t="s">
        <v>34</v>
      </c>
      <c r="E36" s="10">
        <v>28</v>
      </c>
      <c r="F36" s="11">
        <v>12</v>
      </c>
      <c r="G36" s="11">
        <v>9</v>
      </c>
      <c r="H36" s="11">
        <v>75</v>
      </c>
      <c r="I36" s="11">
        <v>8</v>
      </c>
      <c r="J36" s="11">
        <v>92</v>
      </c>
      <c r="K36" s="11">
        <v>2</v>
      </c>
      <c r="L36" s="11">
        <v>74</v>
      </c>
      <c r="M36" s="12">
        <v>7</v>
      </c>
      <c r="N36" s="11">
        <v>4</v>
      </c>
      <c r="O36" s="11">
        <v>3</v>
      </c>
      <c r="P36" s="12">
        <v>83</v>
      </c>
      <c r="Q36" s="11">
        <v>288</v>
      </c>
      <c r="R36" s="11">
        <v>1</v>
      </c>
      <c r="S36" s="11">
        <v>273</v>
      </c>
      <c r="T36" s="12">
        <v>9</v>
      </c>
      <c r="U36" s="12">
        <v>81</v>
      </c>
      <c r="V36" s="13">
        <v>9.75</v>
      </c>
      <c r="W36" s="13">
        <v>81.25</v>
      </c>
      <c r="X36" s="13">
        <v>3.3703703703703702</v>
      </c>
      <c r="Y36" s="14">
        <v>0.77777777777777779</v>
      </c>
      <c r="Z36" s="15">
        <v>6.75</v>
      </c>
    </row>
    <row r="37" spans="1:26" ht="15.75" x14ac:dyDescent="0.25">
      <c r="A37" s="264"/>
      <c r="B37" s="191"/>
      <c r="C37" s="17" t="s">
        <v>49</v>
      </c>
      <c r="D37" s="16"/>
      <c r="E37" s="103">
        <v>28</v>
      </c>
      <c r="F37" s="17">
        <f>SUM(F33:F36)</f>
        <v>19</v>
      </c>
      <c r="G37" s="103">
        <v>16</v>
      </c>
      <c r="H37" s="17">
        <v>113</v>
      </c>
      <c r="I37" s="17">
        <v>15</v>
      </c>
      <c r="J37" s="17">
        <v>144</v>
      </c>
      <c r="K37" s="17">
        <v>5</v>
      </c>
      <c r="L37" s="17">
        <v>114</v>
      </c>
      <c r="M37" s="18">
        <v>10</v>
      </c>
      <c r="N37" s="17">
        <v>5</v>
      </c>
      <c r="O37" s="17">
        <v>5</v>
      </c>
      <c r="P37" s="18">
        <v>129</v>
      </c>
      <c r="Q37" s="17">
        <v>426</v>
      </c>
      <c r="R37" s="17">
        <v>1</v>
      </c>
      <c r="S37" s="17">
        <v>428</v>
      </c>
      <c r="T37" s="18">
        <v>15</v>
      </c>
      <c r="U37" s="18">
        <v>124</v>
      </c>
      <c r="V37" s="19">
        <v>15.285714285714286</v>
      </c>
      <c r="W37" s="19">
        <v>80.451127819548873</v>
      </c>
      <c r="X37" s="19">
        <v>3.4516129032258065</v>
      </c>
      <c r="Y37" s="20">
        <v>0.83870967741935465</v>
      </c>
      <c r="Z37" s="20">
        <v>6.5263157894736841</v>
      </c>
    </row>
    <row r="38" spans="1:26" ht="15.75" x14ac:dyDescent="0.25">
      <c r="A38" s="231">
        <v>11</v>
      </c>
      <c r="B38" s="191"/>
      <c r="C38" s="189" t="s">
        <v>50</v>
      </c>
      <c r="D38" s="22" t="s">
        <v>51</v>
      </c>
      <c r="E38" s="10">
        <v>28</v>
      </c>
      <c r="F38" s="10">
        <v>6</v>
      </c>
      <c r="G38" s="11">
        <v>8</v>
      </c>
      <c r="H38" s="11">
        <v>46</v>
      </c>
      <c r="I38" s="11">
        <v>8</v>
      </c>
      <c r="J38" s="11">
        <v>62</v>
      </c>
      <c r="K38" s="11">
        <v>3</v>
      </c>
      <c r="L38" s="11">
        <v>45</v>
      </c>
      <c r="M38" s="12">
        <v>7</v>
      </c>
      <c r="N38" s="11">
        <v>2</v>
      </c>
      <c r="O38" s="11">
        <v>5</v>
      </c>
      <c r="P38" s="12">
        <v>55</v>
      </c>
      <c r="Q38" s="11">
        <v>141</v>
      </c>
      <c r="R38" s="11">
        <v>0</v>
      </c>
      <c r="S38" s="11">
        <v>177</v>
      </c>
      <c r="T38" s="12">
        <v>7</v>
      </c>
      <c r="U38" s="12">
        <v>52</v>
      </c>
      <c r="V38" s="13">
        <v>6.3214285714285712</v>
      </c>
      <c r="W38" s="13">
        <v>105.35714285714286</v>
      </c>
      <c r="X38" s="13">
        <v>3.4038461538461537</v>
      </c>
      <c r="Y38" s="14">
        <v>-0.17307692307692293</v>
      </c>
      <c r="Z38" s="15">
        <v>8.6666666666666661</v>
      </c>
    </row>
    <row r="39" spans="1:26" ht="15.75" x14ac:dyDescent="0.25">
      <c r="A39" s="231"/>
      <c r="B39" s="191"/>
      <c r="C39" s="189" t="s">
        <v>50</v>
      </c>
      <c r="D39" s="22" t="s">
        <v>52</v>
      </c>
      <c r="E39" s="10">
        <v>28</v>
      </c>
      <c r="F39" s="10">
        <v>8</v>
      </c>
      <c r="G39" s="11">
        <v>4</v>
      </c>
      <c r="H39" s="11">
        <v>34</v>
      </c>
      <c r="I39" s="11">
        <v>10</v>
      </c>
      <c r="J39" s="11">
        <v>48</v>
      </c>
      <c r="K39" s="11">
        <v>5</v>
      </c>
      <c r="L39" s="11">
        <v>39</v>
      </c>
      <c r="M39" s="12">
        <v>1</v>
      </c>
      <c r="N39" s="11">
        <v>1</v>
      </c>
      <c r="O39" s="11">
        <v>0</v>
      </c>
      <c r="P39" s="12">
        <v>45</v>
      </c>
      <c r="Q39" s="11">
        <v>120</v>
      </c>
      <c r="R39" s="11">
        <v>1</v>
      </c>
      <c r="S39" s="11">
        <v>115</v>
      </c>
      <c r="T39" s="12">
        <v>3</v>
      </c>
      <c r="U39" s="12">
        <v>40</v>
      </c>
      <c r="V39" s="13">
        <v>4.1071428571428568</v>
      </c>
      <c r="W39" s="13">
        <v>51.339285714285708</v>
      </c>
      <c r="X39" s="13">
        <v>2.875</v>
      </c>
      <c r="Y39" s="14">
        <v>2.7250000000000005</v>
      </c>
      <c r="Z39" s="15">
        <v>5</v>
      </c>
    </row>
    <row r="40" spans="1:26" ht="15.75" x14ac:dyDescent="0.25">
      <c r="A40" s="231"/>
      <c r="B40" s="191"/>
      <c r="C40" s="189" t="s">
        <v>50</v>
      </c>
      <c r="D40" s="22" t="s">
        <v>53</v>
      </c>
      <c r="E40" s="10">
        <v>28</v>
      </c>
      <c r="F40" s="10">
        <v>14</v>
      </c>
      <c r="G40" s="11">
        <v>2</v>
      </c>
      <c r="H40" s="11">
        <v>63</v>
      </c>
      <c r="I40" s="11">
        <v>12</v>
      </c>
      <c r="J40" s="11">
        <v>77</v>
      </c>
      <c r="K40" s="11">
        <v>10</v>
      </c>
      <c r="L40" s="11">
        <v>54</v>
      </c>
      <c r="M40" s="12">
        <v>5</v>
      </c>
      <c r="N40" s="11">
        <v>5</v>
      </c>
      <c r="O40" s="11">
        <v>0</v>
      </c>
      <c r="P40" s="12">
        <v>69</v>
      </c>
      <c r="Q40" s="11">
        <v>157</v>
      </c>
      <c r="R40" s="11">
        <v>3</v>
      </c>
      <c r="S40" s="11">
        <v>200</v>
      </c>
      <c r="T40" s="12">
        <v>8</v>
      </c>
      <c r="U40" s="12">
        <v>59</v>
      </c>
      <c r="V40" s="13">
        <v>7.1428571428571432</v>
      </c>
      <c r="W40" s="13">
        <v>51.020408163265309</v>
      </c>
      <c r="X40" s="13">
        <v>3.3898305084745761</v>
      </c>
      <c r="Y40" s="23">
        <v>3.2542372881355934</v>
      </c>
      <c r="Z40" s="24">
        <v>4.2142857142857144</v>
      </c>
    </row>
    <row r="41" spans="1:26" ht="15.75" customHeight="1" x14ac:dyDescent="0.25">
      <c r="A41" s="231"/>
      <c r="B41" s="191"/>
      <c r="C41" s="189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 t="e">
        <v>#DIV/0!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191"/>
      <c r="C42" s="17" t="s">
        <v>50</v>
      </c>
      <c r="D42" s="16"/>
      <c r="E42" s="103">
        <v>28</v>
      </c>
      <c r="F42" s="17">
        <v>28</v>
      </c>
      <c r="G42" s="103">
        <v>14</v>
      </c>
      <c r="H42" s="17">
        <v>143</v>
      </c>
      <c r="I42" s="17">
        <v>30</v>
      </c>
      <c r="J42" s="17">
        <v>187</v>
      </c>
      <c r="K42" s="17">
        <v>18</v>
      </c>
      <c r="L42" s="17">
        <v>138</v>
      </c>
      <c r="M42" s="18">
        <v>13</v>
      </c>
      <c r="N42" s="17">
        <v>8</v>
      </c>
      <c r="O42" s="17">
        <v>5</v>
      </c>
      <c r="P42" s="18">
        <v>169</v>
      </c>
      <c r="Q42" s="17">
        <v>418</v>
      </c>
      <c r="R42" s="17">
        <v>4</v>
      </c>
      <c r="S42" s="17">
        <v>492</v>
      </c>
      <c r="T42" s="18">
        <v>18</v>
      </c>
      <c r="U42" s="18">
        <v>151</v>
      </c>
      <c r="V42" s="19">
        <v>17.571428571428573</v>
      </c>
      <c r="W42" s="19">
        <v>62.755102040816332</v>
      </c>
      <c r="X42" s="19">
        <v>3.2582781456953644</v>
      </c>
      <c r="Y42" s="20">
        <v>1.9337748344370858</v>
      </c>
      <c r="Z42" s="20">
        <v>5.3928571428571432</v>
      </c>
    </row>
    <row r="43" spans="1:26" ht="15.75" x14ac:dyDescent="0.25">
      <c r="A43" s="59"/>
      <c r="B43" s="191"/>
      <c r="C43" s="10" t="s">
        <v>54</v>
      </c>
      <c r="D43" s="22" t="s">
        <v>40</v>
      </c>
      <c r="E43" s="10">
        <v>28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4" t="e">
        <v>#DIV/0!</v>
      </c>
      <c r="Z43" s="15">
        <v>0</v>
      </c>
    </row>
    <row r="44" spans="1:26" ht="15.75" x14ac:dyDescent="0.25">
      <c r="A44" s="231">
        <v>12</v>
      </c>
      <c r="B44" s="191"/>
      <c r="C44" s="10" t="s">
        <v>54</v>
      </c>
      <c r="D44" s="21" t="s">
        <v>48</v>
      </c>
      <c r="E44" s="10">
        <v>28</v>
      </c>
      <c r="F44" s="10">
        <v>13</v>
      </c>
      <c r="G44" s="11">
        <v>7</v>
      </c>
      <c r="H44" s="11">
        <v>101</v>
      </c>
      <c r="I44" s="11">
        <v>12</v>
      </c>
      <c r="J44" s="11">
        <v>120</v>
      </c>
      <c r="K44" s="11">
        <v>8</v>
      </c>
      <c r="L44" s="11">
        <v>96</v>
      </c>
      <c r="M44" s="12">
        <v>5</v>
      </c>
      <c r="N44" s="11">
        <v>3</v>
      </c>
      <c r="O44" s="11">
        <v>2</v>
      </c>
      <c r="P44" s="12">
        <v>109</v>
      </c>
      <c r="Q44" s="11">
        <v>318</v>
      </c>
      <c r="R44" s="11">
        <v>0</v>
      </c>
      <c r="S44" s="11">
        <v>343</v>
      </c>
      <c r="T44" s="12">
        <v>11</v>
      </c>
      <c r="U44" s="12">
        <v>101</v>
      </c>
      <c r="V44" s="13">
        <v>12.25</v>
      </c>
      <c r="W44" s="13">
        <v>94.230769230769226</v>
      </c>
      <c r="X44" s="13">
        <v>3.3960396039603959</v>
      </c>
      <c r="Y44" s="14">
        <v>0.20792079207920791</v>
      </c>
      <c r="Z44" s="15">
        <v>7.7692307692307692</v>
      </c>
    </row>
    <row r="45" spans="1:26" ht="15.75" x14ac:dyDescent="0.25">
      <c r="A45" s="231"/>
      <c r="B45" s="191"/>
      <c r="C45" s="10" t="s">
        <v>54</v>
      </c>
      <c r="D45" s="21" t="s">
        <v>55</v>
      </c>
      <c r="E45" s="10">
        <v>28</v>
      </c>
      <c r="F45" s="10">
        <v>2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2">
        <v>0</v>
      </c>
      <c r="N45" s="11">
        <v>0</v>
      </c>
      <c r="O45" s="11">
        <v>0</v>
      </c>
      <c r="P45" s="12">
        <v>0</v>
      </c>
      <c r="Q45" s="11">
        <v>0</v>
      </c>
      <c r="R45" s="11">
        <v>0</v>
      </c>
      <c r="S45" s="11">
        <v>0</v>
      </c>
      <c r="T45" s="12">
        <v>0</v>
      </c>
      <c r="U45" s="12">
        <v>0</v>
      </c>
      <c r="V45" s="13">
        <v>0</v>
      </c>
      <c r="W45" s="13">
        <v>0</v>
      </c>
      <c r="X45" s="13" t="e">
        <v>#DIV/0!</v>
      </c>
      <c r="Y45" s="14" t="e">
        <v>#DIV/0!</v>
      </c>
      <c r="Z45" s="15">
        <v>0</v>
      </c>
    </row>
    <row r="46" spans="1:26" ht="15.75" x14ac:dyDescent="0.25">
      <c r="A46" s="231"/>
      <c r="B46" s="191"/>
      <c r="C46" s="17" t="s">
        <v>54</v>
      </c>
      <c r="D46" s="16"/>
      <c r="E46" s="103">
        <v>28</v>
      </c>
      <c r="F46" s="17">
        <v>17</v>
      </c>
      <c r="G46" s="103">
        <v>7</v>
      </c>
      <c r="H46" s="17">
        <v>101</v>
      </c>
      <c r="I46" s="17">
        <v>12</v>
      </c>
      <c r="J46" s="17">
        <v>120</v>
      </c>
      <c r="K46" s="17">
        <v>8</v>
      </c>
      <c r="L46" s="17">
        <v>96</v>
      </c>
      <c r="M46" s="18">
        <v>5</v>
      </c>
      <c r="N46" s="17">
        <v>3</v>
      </c>
      <c r="O46" s="17">
        <v>2</v>
      </c>
      <c r="P46" s="18">
        <v>109</v>
      </c>
      <c r="Q46" s="17">
        <v>318</v>
      </c>
      <c r="R46" s="17">
        <v>0</v>
      </c>
      <c r="S46" s="17">
        <v>343</v>
      </c>
      <c r="T46" s="18">
        <v>11</v>
      </c>
      <c r="U46" s="18">
        <v>101</v>
      </c>
      <c r="V46" s="25">
        <v>12.25</v>
      </c>
      <c r="W46" s="19">
        <v>72.058823529411768</v>
      </c>
      <c r="X46" s="19">
        <v>3.3960396039603959</v>
      </c>
      <c r="Y46" s="20">
        <v>1.3168316831683169</v>
      </c>
      <c r="Z46" s="20">
        <v>5.9411764705882355</v>
      </c>
    </row>
    <row r="47" spans="1:26" ht="15.75" customHeight="1" x14ac:dyDescent="0.25">
      <c r="A47" s="245">
        <v>13</v>
      </c>
      <c r="B47" s="191"/>
      <c r="C47" s="257" t="s">
        <v>56</v>
      </c>
      <c r="D47" s="22" t="s">
        <v>57</v>
      </c>
      <c r="E47" s="10">
        <v>28</v>
      </c>
      <c r="F47" s="11">
        <v>2</v>
      </c>
      <c r="G47" s="11">
        <v>0</v>
      </c>
      <c r="H47" s="11">
        <v>1</v>
      </c>
      <c r="I47" s="11">
        <v>0</v>
      </c>
      <c r="J47" s="11">
        <v>1</v>
      </c>
      <c r="K47" s="11">
        <v>0</v>
      </c>
      <c r="L47" s="11">
        <v>1</v>
      </c>
      <c r="M47" s="12">
        <v>0</v>
      </c>
      <c r="N47" s="11">
        <v>0</v>
      </c>
      <c r="O47" s="11">
        <v>0</v>
      </c>
      <c r="P47" s="12">
        <v>1</v>
      </c>
      <c r="Q47" s="11">
        <v>3</v>
      </c>
      <c r="R47" s="11">
        <v>0</v>
      </c>
      <c r="S47" s="11">
        <v>3</v>
      </c>
      <c r="T47" s="12">
        <v>0</v>
      </c>
      <c r="U47" s="12">
        <v>1</v>
      </c>
      <c r="V47" s="13">
        <v>0.10714285714285714</v>
      </c>
      <c r="W47" s="13">
        <v>5.3571428571428568</v>
      </c>
      <c r="X47" s="13">
        <v>3</v>
      </c>
      <c r="Y47" s="14">
        <v>53</v>
      </c>
      <c r="Z47" s="15">
        <v>0.5</v>
      </c>
    </row>
    <row r="48" spans="1:26" ht="15.75" x14ac:dyDescent="0.25">
      <c r="A48" s="246"/>
      <c r="B48" s="191"/>
      <c r="C48" s="257"/>
      <c r="D48" s="99" t="s">
        <v>58</v>
      </c>
      <c r="E48" s="10">
        <v>28</v>
      </c>
      <c r="F48" s="26">
        <v>3</v>
      </c>
      <c r="G48" s="26">
        <v>0</v>
      </c>
      <c r="H48" s="26">
        <v>4</v>
      </c>
      <c r="I48" s="26">
        <v>0</v>
      </c>
      <c r="J48" s="11">
        <v>4</v>
      </c>
      <c r="K48" s="26">
        <v>0</v>
      </c>
      <c r="L48" s="26">
        <v>1</v>
      </c>
      <c r="M48" s="12">
        <v>3</v>
      </c>
      <c r="N48" s="26">
        <v>1</v>
      </c>
      <c r="O48" s="26">
        <v>2</v>
      </c>
      <c r="P48" s="12">
        <v>4</v>
      </c>
      <c r="Q48" s="26">
        <v>12</v>
      </c>
      <c r="R48" s="26">
        <v>0</v>
      </c>
      <c r="S48" s="26">
        <v>11</v>
      </c>
      <c r="T48" s="12">
        <v>0</v>
      </c>
      <c r="U48" s="12">
        <v>4</v>
      </c>
      <c r="V48" s="13">
        <v>0.39285714285714285</v>
      </c>
      <c r="W48" s="13">
        <v>13.095238095238097</v>
      </c>
      <c r="X48" s="13">
        <v>2.75</v>
      </c>
      <c r="Y48" s="14">
        <v>18.25</v>
      </c>
      <c r="Z48" s="15">
        <v>1.3333333333333333</v>
      </c>
    </row>
    <row r="49" spans="1:26" ht="15.75" x14ac:dyDescent="0.25">
      <c r="A49" s="246"/>
      <c r="B49" s="191"/>
      <c r="C49" s="257"/>
      <c r="D49" s="99" t="s">
        <v>59</v>
      </c>
      <c r="E49" s="10">
        <v>28</v>
      </c>
      <c r="F49" s="26">
        <v>2</v>
      </c>
      <c r="G49" s="26">
        <v>0</v>
      </c>
      <c r="H49" s="26">
        <v>6</v>
      </c>
      <c r="I49" s="26">
        <v>4</v>
      </c>
      <c r="J49" s="11">
        <v>10</v>
      </c>
      <c r="K49" s="26">
        <v>0</v>
      </c>
      <c r="L49" s="26">
        <v>8</v>
      </c>
      <c r="M49" s="12">
        <v>0</v>
      </c>
      <c r="N49" s="26">
        <v>0</v>
      </c>
      <c r="O49" s="26">
        <v>0</v>
      </c>
      <c r="P49" s="12">
        <v>8</v>
      </c>
      <c r="Q49" s="26">
        <v>40</v>
      </c>
      <c r="R49" s="26">
        <v>0</v>
      </c>
      <c r="S49" s="26">
        <v>30</v>
      </c>
      <c r="T49" s="12">
        <v>2</v>
      </c>
      <c r="U49" s="12">
        <v>8</v>
      </c>
      <c r="V49" s="13">
        <v>1.0714285714285714</v>
      </c>
      <c r="W49" s="13">
        <v>53.571428571428569</v>
      </c>
      <c r="X49" s="13">
        <v>3.75</v>
      </c>
      <c r="Y49" s="14">
        <v>3.25</v>
      </c>
      <c r="Z49" s="15">
        <v>4</v>
      </c>
    </row>
    <row r="50" spans="1:26" ht="15.75" x14ac:dyDescent="0.25">
      <c r="A50" s="246"/>
      <c r="B50" s="191"/>
      <c r="C50" s="257"/>
      <c r="D50" s="99" t="s">
        <v>60</v>
      </c>
      <c r="E50" s="10">
        <v>28</v>
      </c>
      <c r="F50" s="26">
        <v>10</v>
      </c>
      <c r="G50" s="26">
        <v>5</v>
      </c>
      <c r="H50" s="26">
        <v>47</v>
      </c>
      <c r="I50" s="26">
        <v>7</v>
      </c>
      <c r="J50" s="11">
        <v>59</v>
      </c>
      <c r="K50" s="26">
        <v>2</v>
      </c>
      <c r="L50" s="26">
        <v>35</v>
      </c>
      <c r="M50" s="12">
        <v>14</v>
      </c>
      <c r="N50" s="26">
        <v>7</v>
      </c>
      <c r="O50" s="26">
        <v>7</v>
      </c>
      <c r="P50" s="12">
        <v>51</v>
      </c>
      <c r="Q50" s="26">
        <v>230</v>
      </c>
      <c r="R50" s="26">
        <v>0</v>
      </c>
      <c r="S50" s="26">
        <v>229</v>
      </c>
      <c r="T50" s="12">
        <v>8</v>
      </c>
      <c r="U50" s="12">
        <v>49</v>
      </c>
      <c r="V50" s="13">
        <v>8.1785714285714288</v>
      </c>
      <c r="W50" s="13">
        <v>81.785714285714278</v>
      </c>
      <c r="X50" s="13">
        <v>4.6734693877551017</v>
      </c>
      <c r="Y50" s="14">
        <v>1.0408163265306121</v>
      </c>
      <c r="Z50" s="15">
        <v>4.9000000000000004</v>
      </c>
    </row>
    <row r="51" spans="1:26" ht="15.75" x14ac:dyDescent="0.25">
      <c r="A51" s="247"/>
      <c r="B51" s="191"/>
      <c r="C51" s="17" t="s">
        <v>61</v>
      </c>
      <c r="D51" s="16"/>
      <c r="E51" s="103">
        <v>28</v>
      </c>
      <c r="F51" s="17">
        <v>17</v>
      </c>
      <c r="G51" s="103">
        <v>5</v>
      </c>
      <c r="H51" s="17">
        <v>58</v>
      </c>
      <c r="I51" s="17">
        <v>11</v>
      </c>
      <c r="J51" s="17">
        <v>74</v>
      </c>
      <c r="K51" s="17">
        <v>2</v>
      </c>
      <c r="L51" s="17">
        <v>45</v>
      </c>
      <c r="M51" s="18">
        <v>17</v>
      </c>
      <c r="N51" s="17">
        <v>8</v>
      </c>
      <c r="O51" s="17">
        <v>9</v>
      </c>
      <c r="P51" s="18">
        <v>64</v>
      </c>
      <c r="Q51" s="17">
        <v>285</v>
      </c>
      <c r="R51" s="17">
        <v>0</v>
      </c>
      <c r="S51" s="17">
        <v>273</v>
      </c>
      <c r="T51" s="18">
        <v>10</v>
      </c>
      <c r="U51" s="18">
        <v>62</v>
      </c>
      <c r="V51" s="19">
        <v>9.75</v>
      </c>
      <c r="W51" s="19">
        <v>57.352941176470587</v>
      </c>
      <c r="X51" s="19">
        <v>4.403225806451613</v>
      </c>
      <c r="Y51" s="20">
        <v>3.274193548387097</v>
      </c>
      <c r="Z51" s="20">
        <v>3.6470588235294117</v>
      </c>
    </row>
    <row r="52" spans="1:26" ht="15.75" x14ac:dyDescent="0.25">
      <c r="A52" s="183"/>
      <c r="B52" s="191"/>
      <c r="C52" s="11"/>
      <c r="D52" s="22"/>
      <c r="E52" s="10"/>
      <c r="F52" s="11"/>
      <c r="G52" s="11"/>
      <c r="H52" s="11"/>
      <c r="I52" s="11"/>
      <c r="J52" s="11"/>
      <c r="K52" s="11"/>
      <c r="L52" s="11"/>
      <c r="M52" s="12"/>
      <c r="N52" s="11"/>
      <c r="O52" s="11"/>
      <c r="P52" s="12"/>
      <c r="Q52" s="11"/>
      <c r="R52" s="11"/>
      <c r="S52" s="11"/>
      <c r="T52" s="12"/>
      <c r="U52" s="12"/>
      <c r="V52" s="13"/>
      <c r="W52" s="24"/>
      <c r="X52" s="24"/>
      <c r="Y52" s="23"/>
      <c r="Z52" s="24"/>
    </row>
    <row r="53" spans="1:26" ht="15.75" x14ac:dyDescent="0.25">
      <c r="A53" s="231">
        <v>14</v>
      </c>
      <c r="B53" s="191"/>
      <c r="C53" s="11" t="s">
        <v>62</v>
      </c>
      <c r="D53" s="22" t="s">
        <v>55</v>
      </c>
      <c r="E53" s="10">
        <v>28</v>
      </c>
      <c r="F53" s="11">
        <v>8</v>
      </c>
      <c r="G53" s="11">
        <v>3</v>
      </c>
      <c r="H53" s="11">
        <v>26</v>
      </c>
      <c r="I53" s="11">
        <v>5</v>
      </c>
      <c r="J53" s="11">
        <v>34</v>
      </c>
      <c r="K53" s="11">
        <v>4</v>
      </c>
      <c r="L53" s="11">
        <v>25</v>
      </c>
      <c r="M53" s="12">
        <v>1</v>
      </c>
      <c r="N53" s="11">
        <v>0</v>
      </c>
      <c r="O53" s="11">
        <v>1</v>
      </c>
      <c r="P53" s="12">
        <v>30</v>
      </c>
      <c r="Q53" s="11">
        <v>92</v>
      </c>
      <c r="R53" s="11">
        <v>1</v>
      </c>
      <c r="S53" s="11">
        <v>115</v>
      </c>
      <c r="T53" s="12">
        <v>4</v>
      </c>
      <c r="U53" s="12">
        <v>26</v>
      </c>
      <c r="V53" s="13">
        <v>4.1071428571428568</v>
      </c>
      <c r="W53" s="24">
        <v>51.339285714285708</v>
      </c>
      <c r="X53" s="24">
        <v>4.4230769230769234</v>
      </c>
      <c r="Y53" s="23">
        <v>4.1923076923076925</v>
      </c>
      <c r="Z53" s="24">
        <v>3.25</v>
      </c>
    </row>
    <row r="54" spans="1:26" ht="15.75" x14ac:dyDescent="0.25">
      <c r="A54" s="231"/>
      <c r="B54" s="191"/>
      <c r="C54" s="17" t="s">
        <v>62</v>
      </c>
      <c r="D54" s="16" t="s">
        <v>55</v>
      </c>
      <c r="E54" s="103">
        <v>28</v>
      </c>
      <c r="F54" s="17">
        <v>8</v>
      </c>
      <c r="G54" s="103">
        <v>3</v>
      </c>
      <c r="H54" s="17">
        <v>26</v>
      </c>
      <c r="I54" s="17">
        <v>5</v>
      </c>
      <c r="J54" s="17">
        <v>34</v>
      </c>
      <c r="K54" s="17">
        <v>4</v>
      </c>
      <c r="L54" s="17">
        <v>25</v>
      </c>
      <c r="M54" s="18">
        <v>1</v>
      </c>
      <c r="N54" s="17">
        <v>0</v>
      </c>
      <c r="O54" s="17">
        <v>1</v>
      </c>
      <c r="P54" s="18">
        <v>30</v>
      </c>
      <c r="Q54" s="17">
        <v>92</v>
      </c>
      <c r="R54" s="17">
        <v>1</v>
      </c>
      <c r="S54" s="17">
        <v>115</v>
      </c>
      <c r="T54" s="18">
        <v>4</v>
      </c>
      <c r="U54" s="18">
        <v>26</v>
      </c>
      <c r="V54" s="19">
        <v>4.1071428571428568</v>
      </c>
      <c r="W54" s="27">
        <v>51.339285714285708</v>
      </c>
      <c r="X54" s="27">
        <v>4.4230769230769234</v>
      </c>
      <c r="Y54" s="27">
        <v>4.1923076923076925</v>
      </c>
      <c r="Z54" s="27">
        <v>3.25</v>
      </c>
    </row>
    <row r="55" spans="1:26" ht="15.75" x14ac:dyDescent="0.25">
      <c r="A55" s="59"/>
      <c r="B55" s="191"/>
      <c r="C55" s="262" t="s">
        <v>63</v>
      </c>
      <c r="D55" s="22" t="s">
        <v>40</v>
      </c>
      <c r="E55" s="10">
        <v>28</v>
      </c>
      <c r="F55" s="11">
        <v>4</v>
      </c>
      <c r="G55" s="11">
        <v>0</v>
      </c>
      <c r="H55" s="11">
        <v>0</v>
      </c>
      <c r="I55" s="11">
        <v>0</v>
      </c>
      <c r="J55" s="11"/>
      <c r="K55" s="11">
        <v>0</v>
      </c>
      <c r="L55" s="11">
        <v>0</v>
      </c>
      <c r="M55" s="12"/>
      <c r="N55" s="11">
        <v>0</v>
      </c>
      <c r="O55" s="11">
        <v>0</v>
      </c>
      <c r="P55" s="12"/>
      <c r="Q55" s="11">
        <v>0</v>
      </c>
      <c r="R55" s="11">
        <v>0</v>
      </c>
      <c r="S55" s="11">
        <v>0</v>
      </c>
      <c r="T55" s="12">
        <v>0</v>
      </c>
      <c r="U55" s="12">
        <v>0</v>
      </c>
      <c r="V55" s="13">
        <v>0</v>
      </c>
      <c r="W55" s="13">
        <v>0</v>
      </c>
      <c r="X55" s="13" t="e">
        <v>#DIV/0!</v>
      </c>
      <c r="Y55" s="14" t="e">
        <v>#DIV/0!</v>
      </c>
      <c r="Z55" s="15">
        <v>0</v>
      </c>
    </row>
    <row r="56" spans="1:26" ht="15.75" x14ac:dyDescent="0.25">
      <c r="A56" s="231">
        <v>15</v>
      </c>
      <c r="B56" s="191"/>
      <c r="C56" s="264"/>
      <c r="D56" s="22" t="s">
        <v>34</v>
      </c>
      <c r="E56" s="10">
        <v>28</v>
      </c>
      <c r="F56" s="11">
        <v>12</v>
      </c>
      <c r="G56" s="11">
        <v>15</v>
      </c>
      <c r="H56" s="11">
        <v>110</v>
      </c>
      <c r="I56" s="11">
        <v>12</v>
      </c>
      <c r="J56" s="11">
        <v>137</v>
      </c>
      <c r="K56" s="11">
        <v>12</v>
      </c>
      <c r="L56" s="11">
        <v>105</v>
      </c>
      <c r="M56" s="11">
        <v>12</v>
      </c>
      <c r="N56" s="11">
        <v>7</v>
      </c>
      <c r="O56" s="11">
        <v>5</v>
      </c>
      <c r="P56" s="11">
        <v>129</v>
      </c>
      <c r="Q56" s="11">
        <v>397</v>
      </c>
      <c r="R56" s="11">
        <v>1</v>
      </c>
      <c r="S56" s="11">
        <v>412</v>
      </c>
      <c r="T56" s="11">
        <v>8</v>
      </c>
      <c r="U56" s="11">
        <v>117</v>
      </c>
      <c r="V56" s="15">
        <v>14.714285714285714</v>
      </c>
      <c r="W56" s="15">
        <v>122.61904761904761</v>
      </c>
      <c r="X56" s="15">
        <v>3.5213675213675213</v>
      </c>
      <c r="Y56" s="14">
        <v>-0.64957264957264937</v>
      </c>
      <c r="Z56" s="15">
        <v>9.75</v>
      </c>
    </row>
    <row r="57" spans="1:26" ht="17.25" customHeight="1" x14ac:dyDescent="0.25">
      <c r="A57" s="231"/>
      <c r="B57" s="191"/>
      <c r="C57" s="17" t="s">
        <v>63</v>
      </c>
      <c r="D57" s="16"/>
      <c r="E57" s="103">
        <v>28</v>
      </c>
      <c r="F57" s="17">
        <v>16</v>
      </c>
      <c r="G57" s="103">
        <v>15</v>
      </c>
      <c r="H57" s="17">
        <v>110</v>
      </c>
      <c r="I57" s="17">
        <v>12</v>
      </c>
      <c r="J57" s="17">
        <v>137</v>
      </c>
      <c r="K57" s="17">
        <v>12</v>
      </c>
      <c r="L57" s="17">
        <v>105</v>
      </c>
      <c r="M57" s="17">
        <v>12</v>
      </c>
      <c r="N57" s="17">
        <v>7</v>
      </c>
      <c r="O57" s="17">
        <v>5</v>
      </c>
      <c r="P57" s="17">
        <v>129</v>
      </c>
      <c r="Q57" s="17">
        <v>397</v>
      </c>
      <c r="R57" s="17">
        <v>1</v>
      </c>
      <c r="S57" s="17">
        <v>412</v>
      </c>
      <c r="T57" s="17">
        <v>8</v>
      </c>
      <c r="U57" s="17">
        <v>117</v>
      </c>
      <c r="V57" s="20">
        <v>14.714285714285714</v>
      </c>
      <c r="W57" s="20">
        <v>91.964285714285708</v>
      </c>
      <c r="X57" s="20">
        <v>3.5213675213675213</v>
      </c>
      <c r="Y57" s="20">
        <v>0.30769230769230788</v>
      </c>
      <c r="Z57" s="20">
        <v>7.3125</v>
      </c>
    </row>
    <row r="58" spans="1:26" ht="15.75" x14ac:dyDescent="0.25">
      <c r="A58" s="59"/>
      <c r="B58" s="191"/>
      <c r="C58" s="248" t="s">
        <v>64</v>
      </c>
      <c r="D58" s="22" t="s">
        <v>112</v>
      </c>
      <c r="E58" s="10">
        <v>28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>
        <v>0</v>
      </c>
      <c r="U58" s="12">
        <v>0</v>
      </c>
      <c r="V58" s="13" t="e">
        <v>#DIV/0!</v>
      </c>
      <c r="W58" s="13" t="e">
        <v>#DIV/0!</v>
      </c>
      <c r="X58" s="13" t="e">
        <v>#DIV/0!</v>
      </c>
      <c r="Y58" s="14" t="e">
        <v>#DIV/0!</v>
      </c>
      <c r="Z58" s="15" t="e">
        <v>#DIV/0!</v>
      </c>
    </row>
    <row r="59" spans="1:26" ht="15.75" x14ac:dyDescent="0.25">
      <c r="A59" s="253">
        <v>16</v>
      </c>
      <c r="B59" s="191"/>
      <c r="C59" s="249"/>
      <c r="D59" s="21" t="s">
        <v>48</v>
      </c>
      <c r="E59" s="10">
        <v>28</v>
      </c>
      <c r="F59" s="10">
        <v>2</v>
      </c>
      <c r="G59" s="11">
        <v>1</v>
      </c>
      <c r="H59" s="10">
        <v>3</v>
      </c>
      <c r="I59" s="10">
        <v>6</v>
      </c>
      <c r="J59" s="11">
        <v>10</v>
      </c>
      <c r="K59" s="10">
        <v>3</v>
      </c>
      <c r="L59" s="10">
        <v>7</v>
      </c>
      <c r="M59" s="11">
        <v>0</v>
      </c>
      <c r="N59" s="10">
        <v>0</v>
      </c>
      <c r="O59" s="10">
        <v>0</v>
      </c>
      <c r="P59" s="11">
        <v>10</v>
      </c>
      <c r="Q59" s="10">
        <v>25</v>
      </c>
      <c r="R59" s="10">
        <v>0</v>
      </c>
      <c r="S59" s="10">
        <v>10</v>
      </c>
      <c r="T59" s="12">
        <v>0</v>
      </c>
      <c r="U59" s="12">
        <v>7</v>
      </c>
      <c r="V59" s="13">
        <v>0.35714285714285715</v>
      </c>
      <c r="W59" s="24">
        <v>17.857142857142858</v>
      </c>
      <c r="X59" s="24">
        <v>1.4285714285714286</v>
      </c>
      <c r="Y59" s="23">
        <v>6.5714285714285712</v>
      </c>
      <c r="Z59" s="24">
        <v>3.5</v>
      </c>
    </row>
    <row r="60" spans="1:26" ht="15.75" x14ac:dyDescent="0.25">
      <c r="A60" s="253"/>
      <c r="B60" s="191"/>
      <c r="C60" s="249"/>
      <c r="D60" s="21" t="s">
        <v>38</v>
      </c>
      <c r="E60" s="10">
        <v>28</v>
      </c>
      <c r="F60" s="10">
        <v>8</v>
      </c>
      <c r="G60" s="11">
        <v>2</v>
      </c>
      <c r="H60" s="10">
        <v>30</v>
      </c>
      <c r="I60" s="10">
        <v>116</v>
      </c>
      <c r="J60" s="11">
        <v>148</v>
      </c>
      <c r="K60" s="10">
        <v>121</v>
      </c>
      <c r="L60" s="10">
        <v>20</v>
      </c>
      <c r="M60" s="11">
        <v>2</v>
      </c>
      <c r="N60" s="10">
        <v>1</v>
      </c>
      <c r="O60" s="10">
        <v>1</v>
      </c>
      <c r="P60" s="11">
        <v>143</v>
      </c>
      <c r="Q60" s="10">
        <v>54</v>
      </c>
      <c r="R60" s="10">
        <v>2</v>
      </c>
      <c r="S60" s="10">
        <v>172</v>
      </c>
      <c r="T60" s="12">
        <v>5</v>
      </c>
      <c r="U60" s="12">
        <v>22</v>
      </c>
      <c r="V60" s="13">
        <v>6.1428571428571432</v>
      </c>
      <c r="W60" s="24">
        <v>76.785714285714292</v>
      </c>
      <c r="X60" s="24">
        <v>7.8181818181818183</v>
      </c>
      <c r="Y60" s="23">
        <v>2.3636363636363629</v>
      </c>
      <c r="Z60" s="24">
        <v>2.75</v>
      </c>
    </row>
    <row r="61" spans="1:26" ht="15.75" x14ac:dyDescent="0.25">
      <c r="A61" s="253"/>
      <c r="B61" s="191"/>
      <c r="C61" s="250"/>
      <c r="D61" s="21" t="s">
        <v>34</v>
      </c>
      <c r="E61" s="10">
        <v>28</v>
      </c>
      <c r="F61" s="10">
        <v>21</v>
      </c>
      <c r="G61" s="11">
        <v>13</v>
      </c>
      <c r="H61" s="10">
        <v>115</v>
      </c>
      <c r="I61" s="10">
        <v>210</v>
      </c>
      <c r="J61" s="11">
        <v>338</v>
      </c>
      <c r="K61" s="10">
        <v>66</v>
      </c>
      <c r="L61" s="10">
        <v>250</v>
      </c>
      <c r="M61" s="11">
        <v>0</v>
      </c>
      <c r="N61" s="10">
        <v>0</v>
      </c>
      <c r="O61" s="10">
        <v>0</v>
      </c>
      <c r="P61" s="11">
        <v>316</v>
      </c>
      <c r="Q61" s="10">
        <v>555</v>
      </c>
      <c r="R61" s="10">
        <v>3</v>
      </c>
      <c r="S61" s="10">
        <v>398</v>
      </c>
      <c r="T61" s="12">
        <v>22</v>
      </c>
      <c r="U61" s="12">
        <v>250</v>
      </c>
      <c r="V61" s="13">
        <v>14.214285714285714</v>
      </c>
      <c r="W61" s="24">
        <v>67.687074829931973</v>
      </c>
      <c r="X61" s="24">
        <v>1.5920000000000001</v>
      </c>
      <c r="Y61" s="23">
        <v>0.76000000000000012</v>
      </c>
      <c r="Z61" s="24">
        <v>11.904761904761905</v>
      </c>
    </row>
    <row r="62" spans="1:26" ht="15.75" x14ac:dyDescent="0.25">
      <c r="A62" s="253"/>
      <c r="B62" s="191"/>
      <c r="C62" s="17" t="s">
        <v>64</v>
      </c>
      <c r="D62" s="16"/>
      <c r="E62" s="103">
        <v>28</v>
      </c>
      <c r="F62" s="17">
        <v>31</v>
      </c>
      <c r="G62" s="103">
        <v>16</v>
      </c>
      <c r="H62" s="17">
        <v>148</v>
      </c>
      <c r="I62" s="17">
        <v>332</v>
      </c>
      <c r="J62" s="17">
        <v>496</v>
      </c>
      <c r="K62" s="17">
        <v>190</v>
      </c>
      <c r="L62" s="17">
        <v>277</v>
      </c>
      <c r="M62" s="17">
        <v>2</v>
      </c>
      <c r="N62" s="17">
        <v>1</v>
      </c>
      <c r="O62" s="17">
        <v>1</v>
      </c>
      <c r="P62" s="17">
        <v>469</v>
      </c>
      <c r="Q62" s="17">
        <v>634</v>
      </c>
      <c r="R62" s="17">
        <v>5</v>
      </c>
      <c r="S62" s="17">
        <v>580</v>
      </c>
      <c r="T62" s="17">
        <v>27</v>
      </c>
      <c r="U62" s="17">
        <v>279</v>
      </c>
      <c r="V62" s="20">
        <v>20.714285714285715</v>
      </c>
      <c r="W62" s="20">
        <v>66.820276497695858</v>
      </c>
      <c r="X62" s="20">
        <v>2.0788530465949822</v>
      </c>
      <c r="Y62" s="20">
        <v>1.032258064516129</v>
      </c>
      <c r="Z62" s="20">
        <v>9</v>
      </c>
    </row>
    <row r="63" spans="1:26" ht="15.75" x14ac:dyDescent="0.25">
      <c r="A63" s="253">
        <v>17</v>
      </c>
      <c r="B63" s="191"/>
      <c r="C63" s="11"/>
      <c r="D63" s="2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192"/>
      <c r="C64" s="17"/>
      <c r="D64" s="16"/>
      <c r="E64" s="103"/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 t="e">
        <v>#DIV/0!</v>
      </c>
      <c r="W64" s="20" t="e">
        <v>#DIV/0!</v>
      </c>
      <c r="X64" s="20" t="e">
        <v>#DIV/0!</v>
      </c>
      <c r="Y64" s="20" t="e">
        <v>#DIV/0!</v>
      </c>
      <c r="Z64" s="20" t="e">
        <v>#DIV/0!</v>
      </c>
    </row>
    <row r="65" spans="1:26" ht="15.75" x14ac:dyDescent="0.25">
      <c r="A65" s="255" t="s">
        <v>65</v>
      </c>
      <c r="B65" s="255"/>
      <c r="C65" s="255"/>
      <c r="D65" s="255"/>
      <c r="E65" s="28">
        <v>28</v>
      </c>
      <c r="F65" s="29">
        <f>+F8+F10+F13+F17+F21+F23+F26++F28+F32+F37+F42+F46+F51+F54+F57+F62</f>
        <v>309</v>
      </c>
      <c r="G65" s="29">
        <v>208</v>
      </c>
      <c r="H65" s="29">
        <v>1790</v>
      </c>
      <c r="I65" s="29">
        <v>615</v>
      </c>
      <c r="J65" s="28">
        <v>2613</v>
      </c>
      <c r="K65" s="29">
        <v>383</v>
      </c>
      <c r="L65" s="29">
        <v>1873</v>
      </c>
      <c r="M65" s="28">
        <v>151</v>
      </c>
      <c r="N65" s="29">
        <v>90</v>
      </c>
      <c r="O65" s="29">
        <v>61</v>
      </c>
      <c r="P65" s="28">
        <v>2407</v>
      </c>
      <c r="Q65" s="29">
        <v>6647</v>
      </c>
      <c r="R65" s="29">
        <v>35</v>
      </c>
      <c r="S65" s="29">
        <v>6741</v>
      </c>
      <c r="T65" s="28">
        <f>+T8+T10+T13+T17+T21+T23+T26+T28+T32+T37+T42+T46+T51+T54+T57+T62</f>
        <v>206</v>
      </c>
      <c r="U65" s="28">
        <v>2024</v>
      </c>
      <c r="V65" s="30">
        <v>240.75</v>
      </c>
      <c r="W65" s="30">
        <v>77.912621359223294</v>
      </c>
      <c r="X65" s="30">
        <v>3.3305335968379448</v>
      </c>
      <c r="Y65" s="30">
        <v>0.94416996047430835</v>
      </c>
      <c r="Z65" s="30">
        <v>6.550161812297735</v>
      </c>
    </row>
    <row r="66" spans="1:26" ht="15.75" x14ac:dyDescent="0.25">
      <c r="A66" s="33" t="s">
        <v>66</v>
      </c>
      <c r="B66" s="34"/>
      <c r="C66" s="32"/>
      <c r="D66" s="32"/>
      <c r="E66" s="11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x14ac:dyDescent="0.25">
      <c r="A67" s="243" t="s">
        <v>1</v>
      </c>
      <c r="B67" s="243" t="s">
        <v>2</v>
      </c>
      <c r="C67" s="240" t="s">
        <v>3</v>
      </c>
      <c r="D67" s="240" t="s">
        <v>4</v>
      </c>
      <c r="E67" s="244" t="s">
        <v>5</v>
      </c>
      <c r="F67" s="240" t="s">
        <v>6</v>
      </c>
      <c r="G67" s="240" t="s">
        <v>7</v>
      </c>
      <c r="H67" s="240" t="s">
        <v>8</v>
      </c>
      <c r="I67" s="244" t="s">
        <v>9</v>
      </c>
      <c r="J67" s="240" t="s">
        <v>10</v>
      </c>
      <c r="K67" s="240" t="s">
        <v>11</v>
      </c>
      <c r="L67" s="240" t="s">
        <v>12</v>
      </c>
      <c r="M67" s="240" t="s">
        <v>13</v>
      </c>
      <c r="N67" s="240" t="s">
        <v>14</v>
      </c>
      <c r="O67" s="240" t="s">
        <v>15</v>
      </c>
      <c r="P67" s="240" t="s">
        <v>16</v>
      </c>
      <c r="Q67" s="240" t="s">
        <v>17</v>
      </c>
      <c r="R67" s="240" t="s">
        <v>18</v>
      </c>
      <c r="S67" s="240" t="s">
        <v>19</v>
      </c>
      <c r="T67" s="240" t="s">
        <v>20</v>
      </c>
      <c r="U67" s="241" t="s">
        <v>21</v>
      </c>
      <c r="V67" s="8" t="s">
        <v>22</v>
      </c>
      <c r="W67" s="8" t="s">
        <v>23</v>
      </c>
      <c r="X67" s="8" t="s">
        <v>24</v>
      </c>
      <c r="Y67" s="8" t="s">
        <v>25</v>
      </c>
      <c r="Z67" s="8" t="s">
        <v>26</v>
      </c>
    </row>
    <row r="68" spans="1:26" x14ac:dyDescent="0.25">
      <c r="A68" s="243"/>
      <c r="B68" s="243"/>
      <c r="C68" s="240"/>
      <c r="D68" s="240"/>
      <c r="E68" s="244"/>
      <c r="F68" s="240"/>
      <c r="G68" s="240"/>
      <c r="H68" s="240"/>
      <c r="I68" s="244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1"/>
      <c r="V68" s="238" t="s">
        <v>27</v>
      </c>
      <c r="W68" s="238" t="s">
        <v>28</v>
      </c>
      <c r="X68" s="238" t="s">
        <v>29</v>
      </c>
      <c r="Y68" s="238" t="s">
        <v>30</v>
      </c>
      <c r="Z68" s="238" t="s">
        <v>31</v>
      </c>
    </row>
    <row r="69" spans="1:26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42"/>
      <c r="W69" s="238"/>
      <c r="X69" s="238"/>
      <c r="Y69" s="238"/>
      <c r="Z69" s="238"/>
    </row>
    <row r="70" spans="1:26" x14ac:dyDescent="0.25">
      <c r="A70" s="243"/>
      <c r="B70" s="243"/>
      <c r="C70" s="240"/>
      <c r="D70" s="240"/>
      <c r="E70" s="244"/>
      <c r="F70" s="240"/>
      <c r="G70" s="9">
        <v>1</v>
      </c>
      <c r="H70" s="9">
        <v>2</v>
      </c>
      <c r="I70" s="9">
        <v>3</v>
      </c>
      <c r="J70" s="9">
        <v>4</v>
      </c>
      <c r="K70" s="9">
        <v>5</v>
      </c>
      <c r="L70" s="9">
        <v>6</v>
      </c>
      <c r="M70" s="9">
        <v>7</v>
      </c>
      <c r="N70" s="9">
        <v>8</v>
      </c>
      <c r="O70" s="9">
        <v>9</v>
      </c>
      <c r="P70" s="9">
        <v>10</v>
      </c>
      <c r="Q70" s="9">
        <v>11</v>
      </c>
      <c r="R70" s="9">
        <v>12</v>
      </c>
      <c r="S70" s="9">
        <v>13</v>
      </c>
      <c r="T70" s="9">
        <v>14</v>
      </c>
      <c r="U70" s="241"/>
      <c r="V70" s="58">
        <v>15</v>
      </c>
      <c r="W70" s="58">
        <v>16</v>
      </c>
      <c r="X70" s="58">
        <v>17</v>
      </c>
      <c r="Y70" s="58">
        <v>18</v>
      </c>
      <c r="Z70" s="58">
        <v>19</v>
      </c>
    </row>
    <row r="71" spans="1:26" ht="15.75" x14ac:dyDescent="0.25">
      <c r="A71" s="245">
        <v>1</v>
      </c>
      <c r="B71" s="245" t="s">
        <v>40</v>
      </c>
      <c r="C71" s="11" t="s">
        <v>69</v>
      </c>
      <c r="D71" s="11" t="s">
        <v>38</v>
      </c>
      <c r="E71" s="10">
        <v>28</v>
      </c>
      <c r="F71" s="11"/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5">
        <v>0</v>
      </c>
      <c r="W71" s="35" t="e">
        <v>#DIV/0!</v>
      </c>
      <c r="X71" s="35" t="e">
        <v>#DIV/0!</v>
      </c>
      <c r="Y71" s="36" t="e">
        <v>#DIV/0!</v>
      </c>
      <c r="Z71" s="35" t="e">
        <v>#DIV/0!</v>
      </c>
    </row>
    <row r="72" spans="1:26" ht="15.75" x14ac:dyDescent="0.25">
      <c r="A72" s="247"/>
      <c r="B72" s="246"/>
      <c r="C72" s="17" t="s">
        <v>69</v>
      </c>
      <c r="D72" s="17"/>
      <c r="E72" s="10">
        <v>28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20">
        <v>0</v>
      </c>
      <c r="W72" s="37">
        <v>0</v>
      </c>
      <c r="X72" s="37" t="e">
        <v>#DIV/0!</v>
      </c>
      <c r="Y72" s="37" t="e">
        <v>#DIV/0!</v>
      </c>
      <c r="Z72" s="37" t="e">
        <v>#DIV/0!</v>
      </c>
    </row>
    <row r="73" spans="1:26" ht="15.75" x14ac:dyDescent="0.25">
      <c r="A73" s="245">
        <v>2</v>
      </c>
      <c r="B73" s="246"/>
      <c r="C73" s="11" t="s">
        <v>70</v>
      </c>
      <c r="D73" s="11" t="s">
        <v>48</v>
      </c>
      <c r="E73" s="10">
        <v>28</v>
      </c>
      <c r="F73" s="11"/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5">
        <v>0</v>
      </c>
      <c r="W73" s="15" t="e">
        <v>#DIV/0!</v>
      </c>
      <c r="X73" s="15" t="e">
        <v>#DIV/0!</v>
      </c>
      <c r="Y73" s="14" t="e">
        <v>#DIV/0!</v>
      </c>
      <c r="Z73" s="15" t="e">
        <v>#DIV/0!</v>
      </c>
    </row>
    <row r="74" spans="1:26" ht="15.75" x14ac:dyDescent="0.25">
      <c r="A74" s="247"/>
      <c r="B74" s="246"/>
      <c r="C74" s="17" t="s">
        <v>70</v>
      </c>
      <c r="D74" s="17"/>
      <c r="E74" s="10">
        <v>28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20">
        <v>0</v>
      </c>
      <c r="W74" s="20" t="e">
        <v>#DIV/0!</v>
      </c>
      <c r="X74" s="20" t="e">
        <v>#DIV/0!</v>
      </c>
      <c r="Y74" s="20" t="e">
        <v>#DIV/0!</v>
      </c>
      <c r="Z74" s="20" t="e">
        <v>#DIV/0!</v>
      </c>
    </row>
    <row r="75" spans="1:26" ht="15.75" x14ac:dyDescent="0.25">
      <c r="A75" s="245">
        <v>3</v>
      </c>
      <c r="B75" s="246"/>
      <c r="C75" s="11" t="s">
        <v>63</v>
      </c>
      <c r="D75" s="11"/>
      <c r="E75" s="10">
        <v>28</v>
      </c>
      <c r="F75" s="11"/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5">
        <v>0</v>
      </c>
      <c r="W75" s="35" t="e">
        <v>#DIV/0!</v>
      </c>
      <c r="X75" s="35" t="e">
        <v>#DIV/0!</v>
      </c>
      <c r="Y75" s="36" t="e">
        <v>#DIV/0!</v>
      </c>
      <c r="Z75" s="35" t="e">
        <v>#DIV/0!</v>
      </c>
    </row>
    <row r="76" spans="1:26" ht="15.75" x14ac:dyDescent="0.25">
      <c r="A76" s="247"/>
      <c r="B76" s="247"/>
      <c r="C76" s="17" t="s">
        <v>63</v>
      </c>
      <c r="D76" s="17"/>
      <c r="E76" s="10">
        <v>28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20">
        <v>0</v>
      </c>
      <c r="W76" s="37" t="e">
        <v>#DIV/0!</v>
      </c>
      <c r="X76" s="37" t="e">
        <v>#DIV/0!</v>
      </c>
      <c r="Y76" s="37" t="e">
        <v>#DIV/0!</v>
      </c>
      <c r="Z76" s="37" t="e">
        <v>#DIV/0!</v>
      </c>
    </row>
    <row r="77" spans="1:26" ht="15.75" x14ac:dyDescent="0.25">
      <c r="A77" s="105" t="s">
        <v>71</v>
      </c>
      <c r="B77" s="105"/>
      <c r="C77" s="105"/>
      <c r="D77" s="105"/>
      <c r="E77" s="10">
        <v>28</v>
      </c>
      <c r="F77" s="29">
        <v>0</v>
      </c>
      <c r="G77" s="29">
        <v>0</v>
      </c>
      <c r="H77" s="29">
        <v>0</v>
      </c>
      <c r="I77" s="29">
        <v>0</v>
      </c>
      <c r="J77" s="28">
        <v>0</v>
      </c>
      <c r="K77" s="29">
        <v>0</v>
      </c>
      <c r="L77" s="29">
        <v>0</v>
      </c>
      <c r="M77" s="28">
        <v>0</v>
      </c>
      <c r="N77" s="29">
        <v>0</v>
      </c>
      <c r="O77" s="29">
        <v>0</v>
      </c>
      <c r="P77" s="28">
        <v>0</v>
      </c>
      <c r="Q77" s="29">
        <v>0</v>
      </c>
      <c r="R77" s="29">
        <v>0</v>
      </c>
      <c r="S77" s="29">
        <v>0</v>
      </c>
      <c r="T77" s="28">
        <v>0</v>
      </c>
      <c r="U77" s="28">
        <v>0</v>
      </c>
      <c r="V77" s="30">
        <v>0</v>
      </c>
      <c r="W77" s="30" t="e">
        <v>#DIV/0!</v>
      </c>
      <c r="X77" s="30" t="e">
        <v>#DIV/0!</v>
      </c>
      <c r="Y77" s="30" t="e">
        <v>#DIV/0!</v>
      </c>
      <c r="Z77" s="30" t="e">
        <v>#DIV/0!</v>
      </c>
    </row>
    <row r="78" spans="1:26" ht="18.75" x14ac:dyDescent="0.25">
      <c r="A78" s="106"/>
      <c r="B78" s="106"/>
      <c r="C78" s="106"/>
      <c r="D78" s="106"/>
      <c r="E78" s="10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9"/>
      <c r="W78" s="40"/>
      <c r="X78" s="40"/>
      <c r="Y78" s="40"/>
      <c r="Z78" s="40"/>
    </row>
    <row r="79" spans="1:26" x14ac:dyDescent="0.25">
      <c r="A79" s="243" t="s">
        <v>1</v>
      </c>
      <c r="B79" s="243" t="s">
        <v>2</v>
      </c>
      <c r="C79" s="240" t="s">
        <v>3</v>
      </c>
      <c r="D79" s="240" t="s">
        <v>4</v>
      </c>
      <c r="E79" s="244" t="s">
        <v>5</v>
      </c>
      <c r="F79" s="240" t="s">
        <v>6</v>
      </c>
      <c r="G79" s="240" t="s">
        <v>7</v>
      </c>
      <c r="H79" s="240" t="s">
        <v>8</v>
      </c>
      <c r="I79" s="244" t="s">
        <v>9</v>
      </c>
      <c r="J79" s="240" t="s">
        <v>10</v>
      </c>
      <c r="K79" s="240" t="s">
        <v>11</v>
      </c>
      <c r="L79" s="240" t="s">
        <v>12</v>
      </c>
      <c r="M79" s="240" t="s">
        <v>13</v>
      </c>
      <c r="N79" s="240" t="s">
        <v>14</v>
      </c>
      <c r="O79" s="240" t="s">
        <v>15</v>
      </c>
      <c r="P79" s="240" t="s">
        <v>16</v>
      </c>
      <c r="Q79" s="240" t="s">
        <v>17</v>
      </c>
      <c r="R79" s="240" t="s">
        <v>18</v>
      </c>
      <c r="S79" s="240" t="s">
        <v>19</v>
      </c>
      <c r="T79" s="240" t="s">
        <v>20</v>
      </c>
      <c r="U79" s="241" t="s">
        <v>21</v>
      </c>
      <c r="V79" s="8" t="s">
        <v>22</v>
      </c>
      <c r="W79" s="8" t="s">
        <v>23</v>
      </c>
      <c r="X79" s="8" t="s">
        <v>24</v>
      </c>
      <c r="Y79" s="8" t="s">
        <v>25</v>
      </c>
      <c r="Z79" s="8" t="s">
        <v>26</v>
      </c>
    </row>
    <row r="80" spans="1:26" x14ac:dyDescent="0.25">
      <c r="A80" s="243"/>
      <c r="B80" s="243"/>
      <c r="C80" s="240"/>
      <c r="D80" s="240"/>
      <c r="E80" s="244"/>
      <c r="F80" s="240"/>
      <c r="G80" s="240"/>
      <c r="H80" s="240"/>
      <c r="I80" s="244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1"/>
      <c r="V80" s="238" t="s">
        <v>27</v>
      </c>
      <c r="W80" s="238" t="s">
        <v>28</v>
      </c>
      <c r="X80" s="238" t="s">
        <v>29</v>
      </c>
      <c r="Y80" s="238" t="s">
        <v>30</v>
      </c>
      <c r="Z80" s="238" t="s">
        <v>31</v>
      </c>
    </row>
    <row r="81" spans="1:26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42"/>
      <c r="W81" s="238"/>
      <c r="X81" s="238"/>
      <c r="Y81" s="238"/>
      <c r="Z81" s="238"/>
    </row>
    <row r="82" spans="1:26" x14ac:dyDescent="0.25">
      <c r="A82" s="243"/>
      <c r="B82" s="243"/>
      <c r="C82" s="240"/>
      <c r="D82" s="240"/>
      <c r="E82" s="244"/>
      <c r="F82" s="240"/>
      <c r="G82" s="9">
        <v>1</v>
      </c>
      <c r="H82" s="9">
        <v>2</v>
      </c>
      <c r="I82" s="9">
        <v>3</v>
      </c>
      <c r="J82" s="9">
        <v>4</v>
      </c>
      <c r="K82" s="9">
        <v>5</v>
      </c>
      <c r="L82" s="9">
        <v>6</v>
      </c>
      <c r="M82" s="9">
        <v>7</v>
      </c>
      <c r="N82" s="9">
        <v>8</v>
      </c>
      <c r="O82" s="9">
        <v>9</v>
      </c>
      <c r="P82" s="9">
        <v>10</v>
      </c>
      <c r="Q82" s="9">
        <v>11</v>
      </c>
      <c r="R82" s="9">
        <v>12</v>
      </c>
      <c r="S82" s="9">
        <v>13</v>
      </c>
      <c r="T82" s="9">
        <v>14</v>
      </c>
      <c r="U82" s="241"/>
      <c r="V82" s="58">
        <v>15</v>
      </c>
      <c r="W82" s="58">
        <v>16</v>
      </c>
      <c r="X82" s="58">
        <v>17</v>
      </c>
      <c r="Y82" s="58">
        <v>18</v>
      </c>
      <c r="Z82" s="58">
        <v>19</v>
      </c>
    </row>
    <row r="83" spans="1:26" ht="15.75" x14ac:dyDescent="0.25">
      <c r="A83" s="245">
        <v>1</v>
      </c>
      <c r="B83" s="245" t="s">
        <v>72</v>
      </c>
      <c r="C83" s="10" t="s">
        <v>69</v>
      </c>
      <c r="D83" s="10" t="s">
        <v>38</v>
      </c>
      <c r="E83" s="10">
        <v>28</v>
      </c>
      <c r="F83" s="10">
        <v>30</v>
      </c>
      <c r="G83" s="10">
        <v>15</v>
      </c>
      <c r="H83" s="10">
        <v>151</v>
      </c>
      <c r="I83" s="10">
        <v>15</v>
      </c>
      <c r="J83" s="11">
        <v>181</v>
      </c>
      <c r="K83" s="10">
        <v>75</v>
      </c>
      <c r="L83" s="10">
        <v>79</v>
      </c>
      <c r="M83" s="11">
        <v>4</v>
      </c>
      <c r="N83" s="10">
        <v>3</v>
      </c>
      <c r="O83" s="10">
        <v>1</v>
      </c>
      <c r="P83" s="11">
        <v>158</v>
      </c>
      <c r="Q83" s="10">
        <v>453</v>
      </c>
      <c r="R83" s="10">
        <v>2</v>
      </c>
      <c r="S83" s="10">
        <v>476</v>
      </c>
      <c r="T83" s="11">
        <v>23</v>
      </c>
      <c r="U83" s="11">
        <v>83</v>
      </c>
      <c r="V83" s="15">
        <v>17</v>
      </c>
      <c r="W83" s="15">
        <v>56.666666666666664</v>
      </c>
      <c r="X83" s="15">
        <v>5.7349397590361448</v>
      </c>
      <c r="Y83" s="14">
        <v>4.3855421686746991</v>
      </c>
      <c r="Z83" s="15">
        <v>2.7666666666666666</v>
      </c>
    </row>
    <row r="84" spans="1:26" ht="15.75" x14ac:dyDescent="0.25">
      <c r="A84" s="247"/>
      <c r="B84" s="246"/>
      <c r="C84" s="17" t="s">
        <v>69</v>
      </c>
      <c r="D84" s="17"/>
      <c r="E84" s="10">
        <v>28</v>
      </c>
      <c r="F84" s="41">
        <v>30</v>
      </c>
      <c r="G84" s="17">
        <v>15</v>
      </c>
      <c r="H84" s="17">
        <v>151</v>
      </c>
      <c r="I84" s="17">
        <v>15</v>
      </c>
      <c r="J84" s="17">
        <v>181</v>
      </c>
      <c r="K84" s="17">
        <v>75</v>
      </c>
      <c r="L84" s="17">
        <v>79</v>
      </c>
      <c r="M84" s="17">
        <v>4</v>
      </c>
      <c r="N84" s="17">
        <v>3</v>
      </c>
      <c r="O84" s="17">
        <v>1</v>
      </c>
      <c r="P84" s="17">
        <v>158</v>
      </c>
      <c r="Q84" s="17">
        <v>453</v>
      </c>
      <c r="R84" s="17">
        <v>2</v>
      </c>
      <c r="S84" s="17">
        <v>476</v>
      </c>
      <c r="T84" s="17">
        <v>23</v>
      </c>
      <c r="U84" s="17">
        <v>83</v>
      </c>
      <c r="V84" s="20">
        <v>17</v>
      </c>
      <c r="W84" s="20">
        <v>56.666666666666664</v>
      </c>
      <c r="X84" s="20">
        <v>5.7349397590361448</v>
      </c>
      <c r="Y84" s="20">
        <v>4.3855421686746991</v>
      </c>
      <c r="Z84" s="20">
        <v>2.7666666666666666</v>
      </c>
    </row>
    <row r="85" spans="1:26" ht="15.75" x14ac:dyDescent="0.25">
      <c r="A85" s="141"/>
      <c r="B85" s="246"/>
      <c r="C85" s="144"/>
      <c r="D85" s="11" t="s">
        <v>55</v>
      </c>
      <c r="E85" s="10">
        <v>28</v>
      </c>
      <c r="F85" s="11"/>
      <c r="G85" s="11">
        <v>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5"/>
      <c r="X85" s="15"/>
      <c r="Y85" s="15"/>
      <c r="Z85" s="15"/>
    </row>
    <row r="86" spans="1:26" ht="15.75" x14ac:dyDescent="0.25">
      <c r="A86" s="245">
        <v>2</v>
      </c>
      <c r="B86" s="246"/>
      <c r="C86" s="248" t="s">
        <v>73</v>
      </c>
      <c r="D86" s="10" t="s">
        <v>48</v>
      </c>
      <c r="E86" s="10">
        <v>28</v>
      </c>
      <c r="F86" s="10">
        <v>2</v>
      </c>
      <c r="G86" s="11">
        <v>1</v>
      </c>
      <c r="H86" s="11">
        <v>0</v>
      </c>
      <c r="I86" s="11">
        <v>2</v>
      </c>
      <c r="J86" s="11">
        <v>3</v>
      </c>
      <c r="K86" s="11">
        <v>0</v>
      </c>
      <c r="L86" s="11">
        <v>3</v>
      </c>
      <c r="M86" s="11">
        <v>0</v>
      </c>
      <c r="N86" s="11">
        <v>0</v>
      </c>
      <c r="O86" s="11">
        <v>0</v>
      </c>
      <c r="P86" s="11">
        <v>3</v>
      </c>
      <c r="Q86" s="11">
        <v>5</v>
      </c>
      <c r="R86" s="11">
        <v>0</v>
      </c>
      <c r="S86" s="11">
        <v>2</v>
      </c>
      <c r="T86" s="11">
        <v>0</v>
      </c>
      <c r="U86" s="11">
        <v>3</v>
      </c>
      <c r="V86" s="15">
        <v>7.1428571428571425E-2</v>
      </c>
      <c r="W86" s="15">
        <v>3.5714285714285712</v>
      </c>
      <c r="X86" s="15">
        <v>0.66666666666666663</v>
      </c>
      <c r="Y86" s="14">
        <v>18</v>
      </c>
      <c r="Z86" s="15">
        <v>1.5</v>
      </c>
    </row>
    <row r="87" spans="1:26" ht="15.75" x14ac:dyDescent="0.25">
      <c r="A87" s="246"/>
      <c r="B87" s="246"/>
      <c r="C87" s="249"/>
      <c r="D87" s="10" t="s">
        <v>38</v>
      </c>
      <c r="E87" s="10">
        <v>28</v>
      </c>
      <c r="F87" s="10">
        <v>4</v>
      </c>
      <c r="G87" s="11">
        <v>0</v>
      </c>
      <c r="H87" s="11">
        <v>1</v>
      </c>
      <c r="I87" s="11">
        <v>56</v>
      </c>
      <c r="J87" s="11">
        <v>57</v>
      </c>
      <c r="K87" s="11">
        <v>51</v>
      </c>
      <c r="L87" s="11">
        <v>6</v>
      </c>
      <c r="M87" s="11">
        <v>0</v>
      </c>
      <c r="N87" s="11">
        <v>0</v>
      </c>
      <c r="O87" s="11">
        <v>0</v>
      </c>
      <c r="P87" s="11">
        <v>57</v>
      </c>
      <c r="Q87" s="11">
        <v>9</v>
      </c>
      <c r="R87" s="11">
        <v>0</v>
      </c>
      <c r="S87" s="11">
        <v>56</v>
      </c>
      <c r="T87" s="11">
        <v>0</v>
      </c>
      <c r="U87" s="11">
        <v>6</v>
      </c>
      <c r="V87" s="15">
        <v>2</v>
      </c>
      <c r="W87" s="15">
        <v>50</v>
      </c>
      <c r="X87" s="15">
        <v>9.3333333333333339</v>
      </c>
      <c r="Y87" s="14">
        <v>9.3333333333333339</v>
      </c>
      <c r="Z87" s="15">
        <v>1.5</v>
      </c>
    </row>
    <row r="88" spans="1:26" ht="15.75" x14ac:dyDescent="0.25">
      <c r="A88" s="246"/>
      <c r="B88" s="246"/>
      <c r="C88" s="250"/>
      <c r="D88" s="10" t="s">
        <v>34</v>
      </c>
      <c r="E88" s="10">
        <v>28</v>
      </c>
      <c r="F88" s="10">
        <v>10</v>
      </c>
      <c r="G88" s="11">
        <v>4</v>
      </c>
      <c r="H88" s="11">
        <v>6</v>
      </c>
      <c r="I88" s="11">
        <v>107</v>
      </c>
      <c r="J88" s="11">
        <v>117</v>
      </c>
      <c r="K88" s="11">
        <v>2</v>
      </c>
      <c r="L88" s="11">
        <v>105</v>
      </c>
      <c r="M88" s="11">
        <v>0</v>
      </c>
      <c r="N88" s="11">
        <v>0</v>
      </c>
      <c r="O88" s="11">
        <v>0</v>
      </c>
      <c r="P88" s="11">
        <v>107</v>
      </c>
      <c r="Q88" s="11">
        <v>160</v>
      </c>
      <c r="R88" s="11">
        <v>1</v>
      </c>
      <c r="S88" s="11">
        <v>113</v>
      </c>
      <c r="T88" s="11">
        <v>10</v>
      </c>
      <c r="U88" s="11">
        <v>105</v>
      </c>
      <c r="V88" s="15">
        <v>4.0357142857142856</v>
      </c>
      <c r="W88" s="15">
        <v>40.357142857142861</v>
      </c>
      <c r="X88" s="15">
        <v>1.0761904761904761</v>
      </c>
      <c r="Y88" s="14">
        <v>1.5904761904761904</v>
      </c>
      <c r="Z88" s="15">
        <v>10.5</v>
      </c>
    </row>
    <row r="89" spans="1:26" ht="15.75" x14ac:dyDescent="0.25">
      <c r="A89" s="247"/>
      <c r="B89" s="247"/>
      <c r="C89" s="17" t="s">
        <v>73</v>
      </c>
      <c r="D89" s="17"/>
      <c r="E89" s="10">
        <v>28</v>
      </c>
      <c r="F89" s="17">
        <v>16</v>
      </c>
      <c r="G89" s="17">
        <v>5</v>
      </c>
      <c r="H89" s="17">
        <v>7</v>
      </c>
      <c r="I89" s="17">
        <v>165</v>
      </c>
      <c r="J89" s="17">
        <v>177</v>
      </c>
      <c r="K89" s="17">
        <v>53</v>
      </c>
      <c r="L89" s="17">
        <v>114</v>
      </c>
      <c r="M89" s="17">
        <v>0</v>
      </c>
      <c r="N89" s="17">
        <v>0</v>
      </c>
      <c r="O89" s="17">
        <v>0</v>
      </c>
      <c r="P89" s="17">
        <v>167</v>
      </c>
      <c r="Q89" s="17">
        <v>174</v>
      </c>
      <c r="R89" s="17">
        <v>1</v>
      </c>
      <c r="S89" s="17">
        <v>171</v>
      </c>
      <c r="T89" s="17">
        <v>10</v>
      </c>
      <c r="U89" s="17">
        <v>114</v>
      </c>
      <c r="V89" s="20">
        <v>6.1071428571428568</v>
      </c>
      <c r="W89" s="20">
        <v>38.169642857142854</v>
      </c>
      <c r="X89" s="20">
        <v>1.5</v>
      </c>
      <c r="Y89" s="20">
        <v>2.4298245614035086</v>
      </c>
      <c r="Z89" s="20">
        <v>7.125</v>
      </c>
    </row>
    <row r="90" spans="1:26" ht="15.75" x14ac:dyDescent="0.25">
      <c r="A90" s="105" t="s">
        <v>74</v>
      </c>
      <c r="B90" s="105"/>
      <c r="C90" s="105"/>
      <c r="D90" s="105"/>
      <c r="E90" s="10">
        <v>28</v>
      </c>
      <c r="F90" s="29">
        <v>46</v>
      </c>
      <c r="G90" s="29">
        <v>20</v>
      </c>
      <c r="H90" s="29">
        <v>158</v>
      </c>
      <c r="I90" s="29">
        <v>180</v>
      </c>
      <c r="J90" s="28">
        <v>358</v>
      </c>
      <c r="K90" s="29">
        <v>128</v>
      </c>
      <c r="L90" s="29">
        <v>193</v>
      </c>
      <c r="M90" s="28">
        <v>4</v>
      </c>
      <c r="N90" s="29">
        <v>3</v>
      </c>
      <c r="O90" s="29">
        <v>1</v>
      </c>
      <c r="P90" s="28">
        <v>325</v>
      </c>
      <c r="Q90" s="29">
        <v>627</v>
      </c>
      <c r="R90" s="29">
        <v>3</v>
      </c>
      <c r="S90" s="29">
        <v>647</v>
      </c>
      <c r="T90" s="28">
        <v>33</v>
      </c>
      <c r="U90" s="28">
        <v>197</v>
      </c>
      <c r="V90" s="29">
        <v>23.107142857142858</v>
      </c>
      <c r="W90" s="30">
        <v>50.232919254658384</v>
      </c>
      <c r="X90" s="30">
        <v>3.2842639593908629</v>
      </c>
      <c r="Y90" s="30">
        <v>3.2538071065989849</v>
      </c>
      <c r="Z90" s="30">
        <v>4.2826086956521738</v>
      </c>
    </row>
    <row r="91" spans="1:26" ht="15.75" x14ac:dyDescent="0.25">
      <c r="A91" s="31"/>
      <c r="D91" s="32"/>
      <c r="E91" s="10"/>
      <c r="G91">
        <v>37</v>
      </c>
    </row>
    <row r="92" spans="1:26" ht="15" customHeight="1" x14ac:dyDescent="0.25">
      <c r="A92" s="243" t="s">
        <v>1</v>
      </c>
      <c r="B92" s="243" t="s">
        <v>2</v>
      </c>
      <c r="C92" s="240" t="s">
        <v>3</v>
      </c>
      <c r="D92" s="240" t="s">
        <v>4</v>
      </c>
      <c r="E92" s="244" t="s">
        <v>5</v>
      </c>
      <c r="F92" s="240" t="s">
        <v>6</v>
      </c>
      <c r="G92" s="240" t="s">
        <v>7</v>
      </c>
      <c r="H92" s="240" t="s">
        <v>8</v>
      </c>
      <c r="I92" s="244" t="s">
        <v>9</v>
      </c>
      <c r="J92" s="240" t="s">
        <v>10</v>
      </c>
      <c r="K92" s="240" t="s">
        <v>11</v>
      </c>
      <c r="L92" s="240" t="s">
        <v>12</v>
      </c>
      <c r="M92" s="240" t="s">
        <v>13</v>
      </c>
      <c r="N92" s="240" t="s">
        <v>14</v>
      </c>
      <c r="O92" s="240" t="s">
        <v>15</v>
      </c>
      <c r="P92" s="240" t="s">
        <v>16</v>
      </c>
      <c r="Q92" s="240" t="s">
        <v>17</v>
      </c>
      <c r="R92" s="240" t="s">
        <v>18</v>
      </c>
      <c r="S92" s="240" t="s">
        <v>19</v>
      </c>
      <c r="T92" s="240" t="s">
        <v>20</v>
      </c>
      <c r="U92" s="241" t="s">
        <v>21</v>
      </c>
      <c r="V92" s="8" t="s">
        <v>22</v>
      </c>
      <c r="W92" s="8" t="s">
        <v>23</v>
      </c>
      <c r="X92" s="8" t="s">
        <v>24</v>
      </c>
      <c r="Y92" s="8" t="s">
        <v>25</v>
      </c>
      <c r="Z92" s="8" t="s">
        <v>26</v>
      </c>
    </row>
    <row r="93" spans="1:26" ht="15" customHeight="1" x14ac:dyDescent="0.25">
      <c r="A93" s="243"/>
      <c r="B93" s="243"/>
      <c r="C93" s="240"/>
      <c r="D93" s="240"/>
      <c r="E93" s="244"/>
      <c r="F93" s="240"/>
      <c r="G93" s="240"/>
      <c r="H93" s="240"/>
      <c r="I93" s="244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1"/>
      <c r="V93" s="238" t="s">
        <v>27</v>
      </c>
      <c r="W93" s="238" t="s">
        <v>28</v>
      </c>
      <c r="X93" s="238" t="s">
        <v>29</v>
      </c>
      <c r="Y93" s="238" t="s">
        <v>30</v>
      </c>
      <c r="Z93" s="238" t="s">
        <v>31</v>
      </c>
    </row>
    <row r="94" spans="1:26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42"/>
      <c r="W94" s="238"/>
      <c r="X94" s="238"/>
      <c r="Y94" s="238"/>
      <c r="Z94" s="238"/>
    </row>
    <row r="95" spans="1:26" x14ac:dyDescent="0.25">
      <c r="A95" s="243"/>
      <c r="B95" s="243"/>
      <c r="C95" s="240"/>
      <c r="D95" s="240"/>
      <c r="E95" s="244"/>
      <c r="F95" s="240"/>
      <c r="G95" s="9">
        <v>1</v>
      </c>
      <c r="H95" s="9">
        <v>2</v>
      </c>
      <c r="I95" s="9">
        <v>3</v>
      </c>
      <c r="J95" s="9">
        <v>4</v>
      </c>
      <c r="K95" s="9">
        <v>5</v>
      </c>
      <c r="L95" s="9">
        <v>6</v>
      </c>
      <c r="M95" s="9">
        <v>7</v>
      </c>
      <c r="N95" s="9">
        <v>8</v>
      </c>
      <c r="O95" s="9">
        <v>9</v>
      </c>
      <c r="P95" s="9">
        <v>10</v>
      </c>
      <c r="Q95" s="9">
        <v>11</v>
      </c>
      <c r="R95" s="9">
        <v>12</v>
      </c>
      <c r="S95" s="9">
        <v>13</v>
      </c>
      <c r="T95" s="9">
        <v>14</v>
      </c>
      <c r="U95" s="241"/>
      <c r="V95" s="58">
        <v>15</v>
      </c>
      <c r="W95" s="58">
        <v>16</v>
      </c>
      <c r="X95" s="58">
        <v>17</v>
      </c>
      <c r="Y95" s="58">
        <v>18</v>
      </c>
      <c r="Z95" s="58">
        <v>19</v>
      </c>
    </row>
    <row r="96" spans="1:26" ht="15.75" x14ac:dyDescent="0.25">
      <c r="A96" s="245">
        <v>1</v>
      </c>
      <c r="B96" s="259" t="s">
        <v>75</v>
      </c>
      <c r="C96" s="10" t="s">
        <v>76</v>
      </c>
      <c r="D96" s="10" t="s">
        <v>48</v>
      </c>
      <c r="E96" s="10">
        <v>28</v>
      </c>
      <c r="F96" s="10">
        <v>14</v>
      </c>
      <c r="G96" s="11">
        <v>6</v>
      </c>
      <c r="H96" s="11">
        <v>14</v>
      </c>
      <c r="I96" s="11">
        <v>96</v>
      </c>
      <c r="J96" s="11">
        <v>116</v>
      </c>
      <c r="K96" s="11">
        <v>94</v>
      </c>
      <c r="L96" s="11">
        <v>0</v>
      </c>
      <c r="M96" s="11">
        <v>13</v>
      </c>
      <c r="N96" s="11">
        <v>2</v>
      </c>
      <c r="O96" s="11">
        <v>11</v>
      </c>
      <c r="P96" s="11">
        <v>107</v>
      </c>
      <c r="Q96" s="11">
        <v>149</v>
      </c>
      <c r="R96" s="11">
        <v>1</v>
      </c>
      <c r="S96" s="11">
        <v>255</v>
      </c>
      <c r="T96" s="11">
        <v>9</v>
      </c>
      <c r="U96" s="11">
        <v>13</v>
      </c>
      <c r="V96" s="15">
        <v>9.1071428571428577</v>
      </c>
      <c r="W96" s="15">
        <v>65.051020408163268</v>
      </c>
      <c r="X96" s="15">
        <v>19.615384615384617</v>
      </c>
      <c r="Y96" s="14">
        <v>10.538461538461538</v>
      </c>
      <c r="Z96" s="15">
        <v>0.9285714285714286</v>
      </c>
    </row>
    <row r="97" spans="1:26" ht="15.75" x14ac:dyDescent="0.25">
      <c r="A97" s="247"/>
      <c r="B97" s="260"/>
      <c r="C97" s="17" t="s">
        <v>76</v>
      </c>
      <c r="D97" s="17" t="s">
        <v>48</v>
      </c>
      <c r="E97" s="10">
        <v>28</v>
      </c>
      <c r="F97" s="17">
        <v>14</v>
      </c>
      <c r="G97" s="17">
        <v>6</v>
      </c>
      <c r="H97" s="17">
        <v>14</v>
      </c>
      <c r="I97" s="17">
        <v>96</v>
      </c>
      <c r="J97" s="17">
        <v>116</v>
      </c>
      <c r="K97" s="17">
        <v>94</v>
      </c>
      <c r="L97" s="17">
        <v>0</v>
      </c>
      <c r="M97" s="17">
        <v>13</v>
      </c>
      <c r="N97" s="17">
        <v>2</v>
      </c>
      <c r="O97" s="17">
        <v>11</v>
      </c>
      <c r="P97" s="17">
        <v>107</v>
      </c>
      <c r="Q97" s="17">
        <v>149</v>
      </c>
      <c r="R97" s="17">
        <v>1</v>
      </c>
      <c r="S97" s="17">
        <v>255</v>
      </c>
      <c r="T97" s="17">
        <v>9</v>
      </c>
      <c r="U97" s="17">
        <v>13</v>
      </c>
      <c r="V97" s="20">
        <v>9.1071428571428577</v>
      </c>
      <c r="W97" s="20">
        <v>65.051020408163268</v>
      </c>
      <c r="X97" s="20">
        <v>19.615384615384617</v>
      </c>
      <c r="Y97" s="20">
        <v>10.538461538461538</v>
      </c>
      <c r="Z97" s="20">
        <v>0.9285714285714286</v>
      </c>
    </row>
    <row r="98" spans="1:26" ht="15.75" x14ac:dyDescent="0.25">
      <c r="A98" s="245">
        <v>2</v>
      </c>
      <c r="B98" s="260"/>
      <c r="C98" s="10" t="s">
        <v>77</v>
      </c>
      <c r="D98" s="10" t="s">
        <v>48</v>
      </c>
      <c r="E98" s="10">
        <v>28</v>
      </c>
      <c r="F98" s="10">
        <v>5</v>
      </c>
      <c r="G98" s="11">
        <v>5</v>
      </c>
      <c r="H98" s="11">
        <v>69</v>
      </c>
      <c r="I98" s="11">
        <v>8</v>
      </c>
      <c r="J98" s="11">
        <v>82</v>
      </c>
      <c r="K98" s="11">
        <v>71</v>
      </c>
      <c r="L98" s="11">
        <v>1</v>
      </c>
      <c r="M98" s="11">
        <v>7</v>
      </c>
      <c r="N98" s="11">
        <v>7</v>
      </c>
      <c r="O98" s="11">
        <v>0</v>
      </c>
      <c r="P98" s="11">
        <v>79</v>
      </c>
      <c r="Q98" s="11">
        <v>8</v>
      </c>
      <c r="R98" s="11">
        <v>4</v>
      </c>
      <c r="S98" s="11">
        <v>102</v>
      </c>
      <c r="T98" s="11">
        <v>3</v>
      </c>
      <c r="U98" s="11">
        <v>8</v>
      </c>
      <c r="V98" s="15">
        <v>3.6428571428571428</v>
      </c>
      <c r="W98" s="15">
        <v>72.857142857142847</v>
      </c>
      <c r="X98" s="15">
        <v>12.75</v>
      </c>
      <c r="Y98" s="14">
        <v>4.75</v>
      </c>
      <c r="Z98" s="15">
        <v>1.6</v>
      </c>
    </row>
    <row r="99" spans="1:26" ht="15.75" x14ac:dyDescent="0.25">
      <c r="A99" s="247"/>
      <c r="B99" s="260"/>
      <c r="C99" s="17" t="s">
        <v>77</v>
      </c>
      <c r="D99" s="17" t="s">
        <v>48</v>
      </c>
      <c r="E99" s="10">
        <v>28</v>
      </c>
      <c r="F99" s="17">
        <v>5</v>
      </c>
      <c r="G99" s="17">
        <v>5</v>
      </c>
      <c r="H99" s="17">
        <v>69</v>
      </c>
      <c r="I99" s="17">
        <v>8</v>
      </c>
      <c r="J99" s="17">
        <v>82</v>
      </c>
      <c r="K99" s="17">
        <v>71</v>
      </c>
      <c r="L99" s="17">
        <v>1</v>
      </c>
      <c r="M99" s="17">
        <v>7</v>
      </c>
      <c r="N99" s="17">
        <v>7</v>
      </c>
      <c r="O99" s="17">
        <v>0</v>
      </c>
      <c r="P99" s="17">
        <v>79</v>
      </c>
      <c r="Q99" s="17">
        <v>8</v>
      </c>
      <c r="R99" s="17">
        <v>4</v>
      </c>
      <c r="S99" s="17">
        <v>102</v>
      </c>
      <c r="T99" s="17">
        <v>3</v>
      </c>
      <c r="U99" s="17">
        <v>8</v>
      </c>
      <c r="V99" s="20">
        <v>3.6428571428571428</v>
      </c>
      <c r="W99" s="20">
        <v>72.857142857142847</v>
      </c>
      <c r="X99" s="20">
        <v>12.75</v>
      </c>
      <c r="Y99" s="20">
        <v>4.75</v>
      </c>
      <c r="Z99" s="20">
        <v>1.6</v>
      </c>
    </row>
    <row r="100" spans="1:26" ht="15.75" x14ac:dyDescent="0.25">
      <c r="A100" s="245">
        <v>3</v>
      </c>
      <c r="B100" s="260"/>
      <c r="C100" s="10" t="s">
        <v>78</v>
      </c>
      <c r="D100" s="10" t="s">
        <v>48</v>
      </c>
      <c r="E100" s="10">
        <v>28</v>
      </c>
      <c r="F100" s="10">
        <v>3</v>
      </c>
      <c r="G100" s="43">
        <v>3</v>
      </c>
      <c r="H100" s="43">
        <v>12</v>
      </c>
      <c r="I100" s="43">
        <v>7</v>
      </c>
      <c r="J100" s="11">
        <v>22</v>
      </c>
      <c r="K100" s="43">
        <v>17</v>
      </c>
      <c r="L100" s="43">
        <v>0</v>
      </c>
      <c r="M100" s="11">
        <v>4</v>
      </c>
      <c r="N100" s="43">
        <v>1</v>
      </c>
      <c r="O100" s="43">
        <v>3</v>
      </c>
      <c r="P100" s="11">
        <v>21</v>
      </c>
      <c r="Q100" s="43">
        <v>23</v>
      </c>
      <c r="R100" s="43">
        <v>0</v>
      </c>
      <c r="S100" s="43">
        <v>48</v>
      </c>
      <c r="T100" s="11">
        <v>1</v>
      </c>
      <c r="U100" s="11">
        <v>4</v>
      </c>
      <c r="V100" s="15">
        <v>1.7142857142857142</v>
      </c>
      <c r="W100" s="15">
        <v>57.142857142857139</v>
      </c>
      <c r="X100" s="15">
        <v>12</v>
      </c>
      <c r="Y100" s="14">
        <v>9</v>
      </c>
      <c r="Z100" s="15">
        <v>1.3333333333333333</v>
      </c>
    </row>
    <row r="101" spans="1:26" ht="15.75" x14ac:dyDescent="0.25">
      <c r="A101" s="247"/>
      <c r="B101" s="260"/>
      <c r="C101" s="17" t="s">
        <v>78</v>
      </c>
      <c r="D101" s="17" t="s">
        <v>48</v>
      </c>
      <c r="E101" s="10">
        <v>28</v>
      </c>
      <c r="F101" s="17">
        <v>3</v>
      </c>
      <c r="G101" s="17">
        <v>3</v>
      </c>
      <c r="H101" s="17">
        <v>12</v>
      </c>
      <c r="I101" s="17">
        <v>7</v>
      </c>
      <c r="J101" s="17">
        <v>22</v>
      </c>
      <c r="K101" s="17">
        <v>17</v>
      </c>
      <c r="L101" s="17">
        <v>0</v>
      </c>
      <c r="M101" s="17">
        <v>4</v>
      </c>
      <c r="N101" s="17">
        <v>1</v>
      </c>
      <c r="O101" s="17">
        <v>3</v>
      </c>
      <c r="P101" s="17">
        <v>21</v>
      </c>
      <c r="Q101" s="17">
        <v>23</v>
      </c>
      <c r="R101" s="17">
        <v>0</v>
      </c>
      <c r="S101" s="17">
        <v>48</v>
      </c>
      <c r="T101" s="17">
        <v>1</v>
      </c>
      <c r="U101" s="17">
        <v>4</v>
      </c>
      <c r="V101" s="20">
        <v>1.7142857142857142</v>
      </c>
      <c r="W101" s="20">
        <v>57.142857142857139</v>
      </c>
      <c r="X101" s="20">
        <v>12</v>
      </c>
      <c r="Y101" s="20">
        <v>9</v>
      </c>
      <c r="Z101" s="20">
        <v>1.3333333333333333</v>
      </c>
    </row>
    <row r="102" spans="1:26" ht="15.75" x14ac:dyDescent="0.25">
      <c r="A102" s="245">
        <v>4</v>
      </c>
      <c r="B102" s="260"/>
      <c r="C102" s="11" t="s">
        <v>79</v>
      </c>
      <c r="D102" s="11" t="s">
        <v>48</v>
      </c>
      <c r="E102" s="10">
        <v>28</v>
      </c>
      <c r="F102" s="11">
        <v>5</v>
      </c>
      <c r="G102" s="11">
        <v>5</v>
      </c>
      <c r="H102" s="11">
        <v>9</v>
      </c>
      <c r="I102" s="11">
        <v>17</v>
      </c>
      <c r="J102" s="11">
        <v>31</v>
      </c>
      <c r="K102" s="11">
        <v>16</v>
      </c>
      <c r="L102" s="11">
        <v>1</v>
      </c>
      <c r="M102" s="11">
        <v>10</v>
      </c>
      <c r="N102" s="11">
        <v>6</v>
      </c>
      <c r="O102" s="11">
        <v>4</v>
      </c>
      <c r="P102" s="11">
        <v>27</v>
      </c>
      <c r="Q102" s="11">
        <v>51</v>
      </c>
      <c r="R102" s="11">
        <v>1</v>
      </c>
      <c r="S102" s="11">
        <v>119</v>
      </c>
      <c r="T102" s="11">
        <v>4</v>
      </c>
      <c r="U102" s="11">
        <v>11</v>
      </c>
      <c r="V102" s="15">
        <v>4.25</v>
      </c>
      <c r="W102" s="15">
        <v>85</v>
      </c>
      <c r="X102" s="15">
        <v>10.818181818181818</v>
      </c>
      <c r="Y102" s="14">
        <v>1.9090909090909092</v>
      </c>
      <c r="Z102" s="15">
        <v>2.2000000000000002</v>
      </c>
    </row>
    <row r="103" spans="1:26" ht="15.75" x14ac:dyDescent="0.25">
      <c r="A103" s="247"/>
      <c r="B103" s="260"/>
      <c r="C103" s="17" t="s">
        <v>79</v>
      </c>
      <c r="D103" s="17" t="s">
        <v>48</v>
      </c>
      <c r="E103" s="10">
        <v>28</v>
      </c>
      <c r="F103" s="17">
        <v>5</v>
      </c>
      <c r="G103" s="17">
        <v>5</v>
      </c>
      <c r="H103" s="17">
        <v>9</v>
      </c>
      <c r="I103" s="17">
        <v>17</v>
      </c>
      <c r="J103" s="17">
        <v>31</v>
      </c>
      <c r="K103" s="17">
        <v>16</v>
      </c>
      <c r="L103" s="17">
        <v>1</v>
      </c>
      <c r="M103" s="17">
        <v>10</v>
      </c>
      <c r="N103" s="17">
        <v>6</v>
      </c>
      <c r="O103" s="17">
        <v>4</v>
      </c>
      <c r="P103" s="17">
        <v>27</v>
      </c>
      <c r="Q103" s="17">
        <v>51</v>
      </c>
      <c r="R103" s="17">
        <v>1</v>
      </c>
      <c r="S103" s="17">
        <v>119</v>
      </c>
      <c r="T103" s="17">
        <v>4</v>
      </c>
      <c r="U103" s="17">
        <v>11</v>
      </c>
      <c r="V103" s="20">
        <v>4.25</v>
      </c>
      <c r="W103" s="20">
        <v>85</v>
      </c>
      <c r="X103" s="20">
        <v>10.818181818181818</v>
      </c>
      <c r="Y103" s="20">
        <v>1.9090909090909092</v>
      </c>
      <c r="Z103" s="20">
        <v>2.2000000000000002</v>
      </c>
    </row>
    <row r="104" spans="1:26" ht="15.75" x14ac:dyDescent="0.25">
      <c r="A104" s="245">
        <v>5</v>
      </c>
      <c r="B104" s="260"/>
      <c r="C104" s="11" t="s">
        <v>80</v>
      </c>
      <c r="D104" s="11" t="s">
        <v>48</v>
      </c>
      <c r="E104" s="10">
        <v>28</v>
      </c>
      <c r="F104" s="11">
        <v>4</v>
      </c>
      <c r="G104" s="11">
        <v>3</v>
      </c>
      <c r="H104" s="11">
        <v>29</v>
      </c>
      <c r="I104" s="11">
        <v>8</v>
      </c>
      <c r="J104" s="11">
        <v>40</v>
      </c>
      <c r="K104" s="11">
        <v>25</v>
      </c>
      <c r="L104" s="11">
        <v>0</v>
      </c>
      <c r="M104" s="11">
        <v>11</v>
      </c>
      <c r="N104" s="11">
        <v>9</v>
      </c>
      <c r="O104" s="11">
        <v>2</v>
      </c>
      <c r="P104" s="11">
        <v>36</v>
      </c>
      <c r="Q104" s="11">
        <v>21</v>
      </c>
      <c r="R104" s="11">
        <v>2</v>
      </c>
      <c r="S104" s="11">
        <v>67</v>
      </c>
      <c r="T104" s="11">
        <v>4</v>
      </c>
      <c r="U104" s="11">
        <v>11</v>
      </c>
      <c r="V104" s="15">
        <v>2.3928571428571428</v>
      </c>
      <c r="W104" s="15">
        <v>59.821428571428569</v>
      </c>
      <c r="X104" s="15">
        <v>6.0909090909090908</v>
      </c>
      <c r="Y104" s="14">
        <v>4.0909090909090908</v>
      </c>
      <c r="Z104" s="15">
        <v>2.75</v>
      </c>
    </row>
    <row r="105" spans="1:26" ht="15.75" x14ac:dyDescent="0.25">
      <c r="A105" s="247"/>
      <c r="B105" s="260"/>
      <c r="C105" s="17" t="s">
        <v>80</v>
      </c>
      <c r="D105" s="17" t="s">
        <v>48</v>
      </c>
      <c r="E105" s="10">
        <v>28</v>
      </c>
      <c r="F105" s="17">
        <v>4</v>
      </c>
      <c r="G105" s="17">
        <v>3</v>
      </c>
      <c r="H105" s="17">
        <v>29</v>
      </c>
      <c r="I105" s="17">
        <v>8</v>
      </c>
      <c r="J105" s="17">
        <v>40</v>
      </c>
      <c r="K105" s="17">
        <v>25</v>
      </c>
      <c r="L105" s="17">
        <v>0</v>
      </c>
      <c r="M105" s="17">
        <v>11</v>
      </c>
      <c r="N105" s="17">
        <v>9</v>
      </c>
      <c r="O105" s="17">
        <v>2</v>
      </c>
      <c r="P105" s="17">
        <v>36</v>
      </c>
      <c r="Q105" s="17">
        <v>21</v>
      </c>
      <c r="R105" s="17">
        <v>2</v>
      </c>
      <c r="S105" s="17">
        <v>67</v>
      </c>
      <c r="T105" s="17">
        <v>4</v>
      </c>
      <c r="U105" s="17">
        <v>11</v>
      </c>
      <c r="V105" s="20">
        <v>2.3928571428571428</v>
      </c>
      <c r="W105" s="20">
        <v>59.821428571428569</v>
      </c>
      <c r="X105" s="20">
        <v>6.0909090909090908</v>
      </c>
      <c r="Y105" s="20">
        <v>4.0909090909090908</v>
      </c>
      <c r="Z105" s="20">
        <v>2.75</v>
      </c>
    </row>
    <row r="106" spans="1:26" ht="15.75" x14ac:dyDescent="0.25">
      <c r="A106" s="245">
        <v>6</v>
      </c>
      <c r="B106" s="260"/>
      <c r="C106" s="11" t="s">
        <v>70</v>
      </c>
      <c r="D106" s="11" t="s">
        <v>48</v>
      </c>
      <c r="E106" s="10">
        <v>28</v>
      </c>
      <c r="F106" s="11">
        <v>2</v>
      </c>
      <c r="G106" s="11">
        <v>1</v>
      </c>
      <c r="H106" s="11">
        <v>8</v>
      </c>
      <c r="I106" s="11">
        <v>3</v>
      </c>
      <c r="J106" s="11">
        <v>12</v>
      </c>
      <c r="K106" s="11">
        <v>7</v>
      </c>
      <c r="L106" s="11">
        <v>0</v>
      </c>
      <c r="M106" s="11">
        <v>3</v>
      </c>
      <c r="N106" s="11">
        <v>1</v>
      </c>
      <c r="O106" s="11">
        <v>2</v>
      </c>
      <c r="P106" s="11">
        <v>10</v>
      </c>
      <c r="Q106" s="11">
        <v>8</v>
      </c>
      <c r="R106" s="11">
        <v>0</v>
      </c>
      <c r="S106" s="11">
        <v>24</v>
      </c>
      <c r="T106" s="11">
        <v>2</v>
      </c>
      <c r="U106" s="11">
        <v>3</v>
      </c>
      <c r="V106" s="44">
        <v>0.8571428571428571</v>
      </c>
      <c r="W106" s="44">
        <v>42.857142857142854</v>
      </c>
      <c r="X106" s="44">
        <v>8</v>
      </c>
      <c r="Y106" s="45">
        <v>10.666666666666666</v>
      </c>
      <c r="Z106" s="44">
        <v>1.5</v>
      </c>
    </row>
    <row r="107" spans="1:26" ht="15.75" x14ac:dyDescent="0.25">
      <c r="A107" s="247"/>
      <c r="B107" s="260"/>
      <c r="C107" s="17" t="s">
        <v>70</v>
      </c>
      <c r="D107" s="17"/>
      <c r="E107" s="10">
        <v>28</v>
      </c>
      <c r="F107" s="17">
        <v>2</v>
      </c>
      <c r="G107" s="17">
        <v>1</v>
      </c>
      <c r="H107" s="17">
        <v>8</v>
      </c>
      <c r="I107" s="17">
        <v>3</v>
      </c>
      <c r="J107" s="17">
        <v>12</v>
      </c>
      <c r="K107" s="17">
        <v>7</v>
      </c>
      <c r="L107" s="17">
        <v>0</v>
      </c>
      <c r="M107" s="17">
        <v>3</v>
      </c>
      <c r="N107" s="17">
        <v>1</v>
      </c>
      <c r="O107" s="17">
        <v>2</v>
      </c>
      <c r="P107" s="17">
        <v>10</v>
      </c>
      <c r="Q107" s="17">
        <v>8</v>
      </c>
      <c r="R107" s="17">
        <v>0</v>
      </c>
      <c r="S107" s="17">
        <v>24</v>
      </c>
      <c r="T107" s="17">
        <v>2</v>
      </c>
      <c r="U107" s="17">
        <v>3</v>
      </c>
      <c r="V107" s="46">
        <v>0.8571428571428571</v>
      </c>
      <c r="W107" s="46">
        <v>42.857142857142854</v>
      </c>
      <c r="X107" s="46">
        <v>8</v>
      </c>
      <c r="Y107" s="46">
        <v>10.666666666666666</v>
      </c>
      <c r="Z107" s="46">
        <v>1.5</v>
      </c>
    </row>
    <row r="108" spans="1:26" ht="15.75" x14ac:dyDescent="0.25">
      <c r="A108" s="245">
        <v>7</v>
      </c>
      <c r="B108" s="260"/>
      <c r="C108" s="11" t="s">
        <v>81</v>
      </c>
      <c r="D108" s="11" t="s">
        <v>48</v>
      </c>
      <c r="E108" s="10">
        <v>28</v>
      </c>
      <c r="F108" s="11"/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5">
        <v>0</v>
      </c>
      <c r="W108" s="15" t="e">
        <v>#DIV/0!</v>
      </c>
      <c r="X108" s="15" t="e">
        <v>#DIV/0!</v>
      </c>
      <c r="Y108" s="14" t="e">
        <v>#DIV/0!</v>
      </c>
      <c r="Z108" s="15" t="e">
        <v>#DIV/0!</v>
      </c>
    </row>
    <row r="109" spans="1:26" ht="15.75" x14ac:dyDescent="0.25">
      <c r="A109" s="247"/>
      <c r="B109" s="260"/>
      <c r="C109" s="17" t="s">
        <v>81</v>
      </c>
      <c r="D109" s="17" t="s">
        <v>48</v>
      </c>
      <c r="E109" s="10">
        <v>28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20">
        <v>0</v>
      </c>
      <c r="W109" s="20" t="e">
        <v>#DIV/0!</v>
      </c>
      <c r="X109" s="20" t="e">
        <v>#DIV/0!</v>
      </c>
      <c r="Y109" s="20" t="e">
        <v>#DIV/0!</v>
      </c>
      <c r="Z109" s="20" t="e">
        <v>#DIV/0!</v>
      </c>
    </row>
    <row r="110" spans="1:26" ht="15.75" x14ac:dyDescent="0.25">
      <c r="A110" s="245">
        <v>8</v>
      </c>
      <c r="B110" s="260"/>
      <c r="C110" s="11" t="s">
        <v>82</v>
      </c>
      <c r="D110" s="11" t="s">
        <v>38</v>
      </c>
      <c r="E110" s="10">
        <v>28</v>
      </c>
      <c r="F110" s="11"/>
      <c r="G110" s="11">
        <v>1</v>
      </c>
      <c r="H110" s="11">
        <v>205</v>
      </c>
      <c r="I110" s="11">
        <v>4</v>
      </c>
      <c r="J110" s="11">
        <v>210</v>
      </c>
      <c r="K110" s="11">
        <v>201</v>
      </c>
      <c r="L110" s="11">
        <v>2</v>
      </c>
      <c r="M110" s="11">
        <v>2</v>
      </c>
      <c r="N110" s="11">
        <v>2</v>
      </c>
      <c r="O110" s="11">
        <v>0</v>
      </c>
      <c r="P110" s="11">
        <v>205</v>
      </c>
      <c r="Q110" s="11">
        <v>4</v>
      </c>
      <c r="R110" s="11">
        <v>3</v>
      </c>
      <c r="S110" s="11">
        <v>100</v>
      </c>
      <c r="T110" s="11">
        <v>5</v>
      </c>
      <c r="U110" s="11">
        <v>4</v>
      </c>
      <c r="V110" s="15">
        <v>3.5714285714285716</v>
      </c>
      <c r="W110" s="15" t="e">
        <v>#DIV/0!</v>
      </c>
      <c r="X110" s="15">
        <v>25</v>
      </c>
      <c r="Y110" s="14">
        <v>-25</v>
      </c>
      <c r="Z110" s="15" t="e">
        <v>#DIV/0!</v>
      </c>
    </row>
    <row r="111" spans="1:26" ht="15.75" x14ac:dyDescent="0.25">
      <c r="A111" s="247"/>
      <c r="B111" s="260"/>
      <c r="C111" s="17" t="s">
        <v>82</v>
      </c>
      <c r="D111" s="17" t="s">
        <v>38</v>
      </c>
      <c r="E111" s="10">
        <v>28</v>
      </c>
      <c r="F111" s="17">
        <v>0</v>
      </c>
      <c r="G111" s="17">
        <v>1</v>
      </c>
      <c r="H111" s="17">
        <v>205</v>
      </c>
      <c r="I111" s="17">
        <v>4</v>
      </c>
      <c r="J111" s="17">
        <v>210</v>
      </c>
      <c r="K111" s="17">
        <v>201</v>
      </c>
      <c r="L111" s="17">
        <v>2</v>
      </c>
      <c r="M111" s="17">
        <v>2</v>
      </c>
      <c r="N111" s="17">
        <v>2</v>
      </c>
      <c r="O111" s="17">
        <v>0</v>
      </c>
      <c r="P111" s="17">
        <v>205</v>
      </c>
      <c r="Q111" s="17">
        <v>4</v>
      </c>
      <c r="R111" s="17">
        <v>3</v>
      </c>
      <c r="S111" s="17">
        <v>100</v>
      </c>
      <c r="T111" s="17">
        <v>5</v>
      </c>
      <c r="U111" s="17">
        <v>4</v>
      </c>
      <c r="V111" s="20">
        <v>3.5714285714285716</v>
      </c>
      <c r="W111" s="20" t="e">
        <v>#DIV/0!</v>
      </c>
      <c r="X111" s="20">
        <v>25</v>
      </c>
      <c r="Y111" s="20">
        <v>-25</v>
      </c>
      <c r="Z111" s="20" t="e">
        <v>#DIV/0!</v>
      </c>
    </row>
    <row r="112" spans="1:26" ht="15.75" x14ac:dyDescent="0.25">
      <c r="A112" s="245">
        <v>9</v>
      </c>
      <c r="B112" s="260"/>
      <c r="C112" s="11" t="s">
        <v>64</v>
      </c>
      <c r="D112" s="11" t="s">
        <v>83</v>
      </c>
      <c r="E112" s="10">
        <v>28</v>
      </c>
      <c r="F112" s="11"/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5">
        <v>0</v>
      </c>
      <c r="W112" s="35" t="e">
        <v>#DIV/0!</v>
      </c>
      <c r="X112" s="35" t="e">
        <v>#DIV/0!</v>
      </c>
      <c r="Y112" s="36" t="e">
        <v>#DIV/0!</v>
      </c>
      <c r="Z112" s="35" t="e">
        <v>#DIV/0!</v>
      </c>
    </row>
    <row r="113" spans="1:26" ht="15.75" x14ac:dyDescent="0.25">
      <c r="A113" s="247"/>
      <c r="B113" s="260"/>
      <c r="C113" s="17" t="s">
        <v>64</v>
      </c>
      <c r="D113" s="17" t="s">
        <v>83</v>
      </c>
      <c r="E113" s="10">
        <v>28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20">
        <v>0</v>
      </c>
      <c r="W113" s="20" t="e">
        <v>#DIV/0!</v>
      </c>
      <c r="X113" s="20" t="e">
        <v>#DIV/0!</v>
      </c>
      <c r="Y113" s="20" t="e">
        <v>#DIV/0!</v>
      </c>
      <c r="Z113" s="20" t="e">
        <v>#DIV/0!</v>
      </c>
    </row>
    <row r="114" spans="1:26" ht="15.75" x14ac:dyDescent="0.25">
      <c r="A114" s="245">
        <v>10</v>
      </c>
      <c r="B114" s="260"/>
      <c r="C114" s="10" t="s">
        <v>73</v>
      </c>
      <c r="D114" s="10" t="s">
        <v>83</v>
      </c>
      <c r="E114" s="10">
        <v>28</v>
      </c>
      <c r="F114" s="10"/>
      <c r="G114" s="10">
        <v>0</v>
      </c>
      <c r="H114" s="10">
        <v>0</v>
      </c>
      <c r="I114" s="10">
        <v>0</v>
      </c>
      <c r="J114" s="11">
        <v>0</v>
      </c>
      <c r="K114" s="10">
        <v>0</v>
      </c>
      <c r="L114" s="10">
        <v>0</v>
      </c>
      <c r="M114" s="11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1">
        <v>0</v>
      </c>
      <c r="V114" s="15">
        <v>0</v>
      </c>
      <c r="W114" s="35" t="e">
        <v>#DIV/0!</v>
      </c>
      <c r="X114" s="35" t="e">
        <v>#DIV/0!</v>
      </c>
      <c r="Y114" s="36" t="e">
        <v>#DIV/0!</v>
      </c>
      <c r="Z114" s="35" t="e">
        <v>#DIV/0!</v>
      </c>
    </row>
    <row r="115" spans="1:26" ht="15.75" x14ac:dyDescent="0.25">
      <c r="A115" s="247"/>
      <c r="B115" s="261"/>
      <c r="C115" s="17" t="s">
        <v>73</v>
      </c>
      <c r="D115" s="17" t="s">
        <v>83</v>
      </c>
      <c r="E115" s="10">
        <v>28</v>
      </c>
      <c r="F115" s="17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20">
        <v>0</v>
      </c>
      <c r="W115" s="20" t="e">
        <v>#DIV/0!</v>
      </c>
      <c r="X115" s="20" t="e">
        <v>#DIV/0!</v>
      </c>
      <c r="Y115" s="20" t="e">
        <v>#DIV/0!</v>
      </c>
      <c r="Z115" s="20" t="e">
        <v>#DIV/0!</v>
      </c>
    </row>
    <row r="116" spans="1:26" ht="15.75" x14ac:dyDescent="0.25">
      <c r="A116" s="232" t="s">
        <v>84</v>
      </c>
      <c r="B116" s="233"/>
      <c r="C116" s="233"/>
      <c r="D116" s="234"/>
      <c r="E116" s="10">
        <v>28</v>
      </c>
      <c r="F116" s="29">
        <v>33</v>
      </c>
      <c r="G116" s="29">
        <v>24</v>
      </c>
      <c r="H116" s="29">
        <v>346</v>
      </c>
      <c r="I116" s="29">
        <v>143</v>
      </c>
      <c r="J116" s="28">
        <v>513</v>
      </c>
      <c r="K116" s="29">
        <v>431</v>
      </c>
      <c r="L116" s="29">
        <v>4</v>
      </c>
      <c r="M116" s="28">
        <v>50</v>
      </c>
      <c r="N116" s="29">
        <v>28</v>
      </c>
      <c r="O116" s="29">
        <v>22</v>
      </c>
      <c r="P116" s="28">
        <v>485</v>
      </c>
      <c r="Q116" s="29">
        <v>264</v>
      </c>
      <c r="R116" s="29">
        <v>11</v>
      </c>
      <c r="S116" s="29">
        <v>715</v>
      </c>
      <c r="T116" s="28">
        <f>+T97+T99+T101+T103+T105+T107+T111</f>
        <v>28</v>
      </c>
      <c r="U116" s="28">
        <v>54</v>
      </c>
      <c r="V116" s="47">
        <v>25.535714285714285</v>
      </c>
      <c r="W116" s="30">
        <v>77.38095238095238</v>
      </c>
      <c r="X116" s="30">
        <v>13.24074074074074</v>
      </c>
      <c r="Y116" s="30">
        <v>3.8703703703703707</v>
      </c>
      <c r="Z116" s="30">
        <v>1.6363636363636365</v>
      </c>
    </row>
    <row r="117" spans="1:26" ht="15.75" x14ac:dyDescent="0.25">
      <c r="A117" s="235" t="s">
        <v>85</v>
      </c>
      <c r="B117" s="236"/>
      <c r="C117" s="236"/>
      <c r="D117" s="237"/>
      <c r="E117" s="10">
        <v>28</v>
      </c>
      <c r="F117" s="49">
        <v>388</v>
      </c>
      <c r="G117" s="49">
        <v>252</v>
      </c>
      <c r="H117" s="49">
        <v>2294</v>
      </c>
      <c r="I117" s="49">
        <v>938</v>
      </c>
      <c r="J117" s="48">
        <v>3484</v>
      </c>
      <c r="K117" s="49">
        <v>942</v>
      </c>
      <c r="L117" s="49">
        <v>2070</v>
      </c>
      <c r="M117" s="48">
        <v>205</v>
      </c>
      <c r="N117" s="49">
        <v>121</v>
      </c>
      <c r="O117" s="49">
        <v>84</v>
      </c>
      <c r="P117" s="48">
        <v>3217</v>
      </c>
      <c r="Q117" s="49">
        <v>7538</v>
      </c>
      <c r="R117" s="49">
        <v>49</v>
      </c>
      <c r="S117" s="49">
        <v>8103</v>
      </c>
      <c r="T117" s="49">
        <f>+T65+T90+T116</f>
        <v>267</v>
      </c>
      <c r="U117" s="48">
        <v>2275</v>
      </c>
      <c r="V117" s="50">
        <v>289.39285714285717</v>
      </c>
      <c r="W117" s="51">
        <v>74.585787923416788</v>
      </c>
      <c r="X117" s="51">
        <v>3.5617582417582416</v>
      </c>
      <c r="Y117" s="51">
        <v>1.2136263736263733</v>
      </c>
      <c r="Z117" s="51">
        <v>5.8634020618556697</v>
      </c>
    </row>
    <row r="118" spans="1:26" ht="15.75" x14ac:dyDescent="0.25">
      <c r="E118" s="11">
        <v>28</v>
      </c>
      <c r="F118" s="26">
        <v>388</v>
      </c>
      <c r="G118" s="26">
        <v>252</v>
      </c>
      <c r="H118" s="26">
        <v>2294</v>
      </c>
      <c r="I118" s="26">
        <v>938</v>
      </c>
      <c r="J118" s="11">
        <v>3484</v>
      </c>
      <c r="K118" s="26">
        <v>942</v>
      </c>
      <c r="L118" s="26">
        <v>2070</v>
      </c>
      <c r="M118" s="11">
        <v>205</v>
      </c>
      <c r="N118" s="26">
        <v>121</v>
      </c>
      <c r="O118" s="26">
        <v>84</v>
      </c>
      <c r="P118" s="11">
        <v>3217</v>
      </c>
      <c r="Q118" s="26">
        <v>7538</v>
      </c>
      <c r="R118" s="26">
        <v>49</v>
      </c>
      <c r="S118" s="26">
        <v>8103</v>
      </c>
      <c r="T118" s="26">
        <v>267</v>
      </c>
      <c r="U118" s="11">
        <v>2275</v>
      </c>
      <c r="V118" s="24">
        <v>289.39285714285717</v>
      </c>
      <c r="W118" s="15">
        <v>74.585787923416788</v>
      </c>
      <c r="X118" s="15">
        <v>3.5617582417582416</v>
      </c>
      <c r="Y118" s="15">
        <v>1.2136263736263733</v>
      </c>
      <c r="Z118" s="15">
        <v>5.8634020618556697</v>
      </c>
    </row>
    <row r="119" spans="1:26" x14ac:dyDescent="0.25">
      <c r="T119">
        <f>+T8+T10+T13+T17+T21+T23+T26+T28+T32+T37+T42+T46+T51+T54+T57+T62+T84+T89+T97+T99+T101+T103+T105+T107+T109+T111+T113+T115</f>
        <v>267</v>
      </c>
    </row>
    <row r="120" spans="1:26" ht="15.75" x14ac:dyDescent="0.25">
      <c r="E120" s="193">
        <v>28</v>
      </c>
      <c r="F120">
        <f>+F105+F107</f>
        <v>6</v>
      </c>
      <c r="G120">
        <f t="shared" ref="G120:R120" si="0">+G105+G107</f>
        <v>4</v>
      </c>
      <c r="H120">
        <f t="shared" si="0"/>
        <v>37</v>
      </c>
      <c r="I120">
        <f t="shared" si="0"/>
        <v>11</v>
      </c>
      <c r="J120">
        <f t="shared" si="0"/>
        <v>52</v>
      </c>
      <c r="K120">
        <f t="shared" si="0"/>
        <v>32</v>
      </c>
      <c r="L120">
        <f t="shared" si="0"/>
        <v>0</v>
      </c>
      <c r="M120">
        <f t="shared" si="0"/>
        <v>14</v>
      </c>
      <c r="N120">
        <f t="shared" si="0"/>
        <v>10</v>
      </c>
      <c r="O120">
        <f t="shared" si="0"/>
        <v>4</v>
      </c>
      <c r="P120">
        <f t="shared" si="0"/>
        <v>46</v>
      </c>
      <c r="Q120">
        <f t="shared" si="0"/>
        <v>29</v>
      </c>
      <c r="R120">
        <f t="shared" si="0"/>
        <v>2</v>
      </c>
      <c r="S120">
        <f>+S105+S107</f>
        <v>91</v>
      </c>
      <c r="T120">
        <f>J120-P120</f>
        <v>6</v>
      </c>
      <c r="U120">
        <f>+L120+M120</f>
        <v>14</v>
      </c>
      <c r="V120" s="50">
        <f t="shared" ref="V120" si="1">$S120/$E120</f>
        <v>3.25</v>
      </c>
      <c r="W120" s="51">
        <f t="shared" ref="W120" si="2">$V120/$F120*100</f>
        <v>54.166666666666664</v>
      </c>
      <c r="X120" s="51">
        <f t="shared" ref="X120" si="3">$S120/($L120+$M120)</f>
        <v>6.5</v>
      </c>
      <c r="Y120" s="51">
        <f t="shared" ref="Y120" si="4">(($F120-$V120)*$E120)/($L120+$M120)</f>
        <v>5.5</v>
      </c>
      <c r="Z120" s="51">
        <f t="shared" ref="Z120" si="5">($L120+$M120)/$F120</f>
        <v>2.3333333333333335</v>
      </c>
    </row>
  </sheetData>
  <mergeCells count="149">
    <mergeCell ref="A116:D116"/>
    <mergeCell ref="W68:W69"/>
    <mergeCell ref="X68:X69"/>
    <mergeCell ref="Y68:Y69"/>
    <mergeCell ref="Z68:Z69"/>
    <mergeCell ref="A71:A72"/>
    <mergeCell ref="B71:B76"/>
    <mergeCell ref="A73:A74"/>
    <mergeCell ref="A75:A76"/>
    <mergeCell ref="Q67:Q69"/>
    <mergeCell ref="R67:R69"/>
    <mergeCell ref="S67:S69"/>
    <mergeCell ref="T67:T69"/>
    <mergeCell ref="U67:U70"/>
    <mergeCell ref="V68:V69"/>
    <mergeCell ref="K67:K69"/>
    <mergeCell ref="L67:L69"/>
    <mergeCell ref="M67:M69"/>
    <mergeCell ref="N67:N69"/>
    <mergeCell ref="O67:O69"/>
    <mergeCell ref="P67:P69"/>
    <mergeCell ref="E67:E70"/>
    <mergeCell ref="F67:F70"/>
    <mergeCell ref="G67:G69"/>
    <mergeCell ref="H67:H69"/>
    <mergeCell ref="A53:A54"/>
    <mergeCell ref="C55:C56"/>
    <mergeCell ref="A56:A57"/>
    <mergeCell ref="I67:I69"/>
    <mergeCell ref="J67:J69"/>
    <mergeCell ref="A67:A70"/>
    <mergeCell ref="B67:B70"/>
    <mergeCell ref="C67:C70"/>
    <mergeCell ref="D67:D70"/>
    <mergeCell ref="C58:C61"/>
    <mergeCell ref="A59:A62"/>
    <mergeCell ref="A63:A64"/>
    <mergeCell ref="A65:D65"/>
    <mergeCell ref="A38:A42"/>
    <mergeCell ref="A44:A46"/>
    <mergeCell ref="A47:A51"/>
    <mergeCell ref="C47:C50"/>
    <mergeCell ref="A22:A23"/>
    <mergeCell ref="A24:A26"/>
    <mergeCell ref="C24:C25"/>
    <mergeCell ref="A27:A28"/>
    <mergeCell ref="A30:A32"/>
    <mergeCell ref="A33:A37"/>
    <mergeCell ref="Y4:Y5"/>
    <mergeCell ref="Z4:Z5"/>
    <mergeCell ref="A7:A8"/>
    <mergeCell ref="A9:A10"/>
    <mergeCell ref="A11:A13"/>
    <mergeCell ref="A14:A17"/>
    <mergeCell ref="C14:C16"/>
    <mergeCell ref="A18:A21"/>
    <mergeCell ref="C18:C20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  <mergeCell ref="Z80:Z81"/>
    <mergeCell ref="A83:A84"/>
    <mergeCell ref="B83:B89"/>
    <mergeCell ref="A86:A89"/>
    <mergeCell ref="C86:C88"/>
    <mergeCell ref="M79:M81"/>
    <mergeCell ref="N79:N81"/>
    <mergeCell ref="O79:O81"/>
    <mergeCell ref="P79:P81"/>
    <mergeCell ref="Q79:Q81"/>
    <mergeCell ref="R79:R81"/>
    <mergeCell ref="S79:S81"/>
    <mergeCell ref="T79:T81"/>
    <mergeCell ref="U79:U82"/>
    <mergeCell ref="A79:A82"/>
    <mergeCell ref="B79:B82"/>
    <mergeCell ref="C79:C82"/>
    <mergeCell ref="D79:D82"/>
    <mergeCell ref="E79:E82"/>
    <mergeCell ref="F79:F82"/>
    <mergeCell ref="G79:G81"/>
    <mergeCell ref="H79:H81"/>
    <mergeCell ref="I79:I81"/>
    <mergeCell ref="J79:J81"/>
    <mergeCell ref="E92:E95"/>
    <mergeCell ref="F92:F95"/>
    <mergeCell ref="G92:G94"/>
    <mergeCell ref="H92:H94"/>
    <mergeCell ref="I92:I94"/>
    <mergeCell ref="V80:V81"/>
    <mergeCell ref="W80:W81"/>
    <mergeCell ref="X80:X81"/>
    <mergeCell ref="Y80:Y81"/>
    <mergeCell ref="K79:K81"/>
    <mergeCell ref="L79:L81"/>
    <mergeCell ref="J92:J94"/>
    <mergeCell ref="K92:K94"/>
    <mergeCell ref="L92:L94"/>
    <mergeCell ref="M92:M94"/>
    <mergeCell ref="N92:N94"/>
    <mergeCell ref="O92:O94"/>
    <mergeCell ref="P92:P94"/>
    <mergeCell ref="Q92:Q94"/>
    <mergeCell ref="R92:R94"/>
    <mergeCell ref="A117:D117"/>
    <mergeCell ref="S92:S94"/>
    <mergeCell ref="T92:T94"/>
    <mergeCell ref="U92:U95"/>
    <mergeCell ref="V93:V94"/>
    <mergeCell ref="W93:W94"/>
    <mergeCell ref="X93:X94"/>
    <mergeCell ref="Y93:Y94"/>
    <mergeCell ref="Z93:Z94"/>
    <mergeCell ref="A96:A97"/>
    <mergeCell ref="B96:B115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92:A95"/>
    <mergeCell ref="B92:B95"/>
    <mergeCell ref="C92:C95"/>
    <mergeCell ref="D92:D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C3ED-AF8E-4939-9E10-96F5589A45A1}">
  <dimension ref="A1:AC118"/>
  <sheetViews>
    <sheetView zoomScale="80" zoomScaleNormal="80" workbookViewId="0">
      <pane xSplit="5" ySplit="6" topLeftCell="I39" activePane="bottomRight" state="frozen"/>
      <selection pane="topRight" activeCell="F1" sqref="F1"/>
      <selection pane="bottomLeft" activeCell="A7" sqref="A7"/>
      <selection pane="bottomRight" activeCell="J118" sqref="J118"/>
    </sheetView>
  </sheetViews>
  <sheetFormatPr defaultRowHeight="15" x14ac:dyDescent="0.25"/>
  <cols>
    <col min="1" max="1" width="4.85546875" customWidth="1"/>
    <col min="2" max="2" width="11.5703125" customWidth="1"/>
    <col min="3" max="3" width="14.28515625" customWidth="1"/>
    <col min="4" max="4" width="17.5703125" bestFit="1" customWidth="1"/>
    <col min="5" max="5" width="6.28515625" customWidth="1"/>
    <col min="6" max="6" width="7.85546875" customWidth="1"/>
    <col min="13" max="13" width="0" hidden="1" customWidth="1"/>
  </cols>
  <sheetData>
    <row r="1" spans="1:29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9" ht="15.75" x14ac:dyDescent="0.25">
      <c r="A2" s="1" t="s">
        <v>130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9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9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9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9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  <c r="AA6" t="s">
        <v>48</v>
      </c>
      <c r="AB6" t="s">
        <v>38</v>
      </c>
      <c r="AC6" t="s">
        <v>34</v>
      </c>
    </row>
    <row r="7" spans="1:29" ht="24" customHeight="1" x14ac:dyDescent="0.25">
      <c r="A7" s="254">
        <v>1</v>
      </c>
      <c r="B7" s="265" t="s">
        <v>32</v>
      </c>
      <c r="C7" s="97" t="s">
        <v>35</v>
      </c>
      <c r="D7" s="21" t="s">
        <v>34</v>
      </c>
      <c r="E7" s="10">
        <v>31</v>
      </c>
      <c r="F7" s="10">
        <v>20</v>
      </c>
      <c r="G7" s="11">
        <v>13</v>
      </c>
      <c r="H7" s="11">
        <v>123</v>
      </c>
      <c r="I7" s="11">
        <v>28</v>
      </c>
      <c r="J7" s="11">
        <v>164</v>
      </c>
      <c r="K7" s="11">
        <v>7</v>
      </c>
      <c r="L7" s="11">
        <v>117</v>
      </c>
      <c r="M7" s="12">
        <v>17</v>
      </c>
      <c r="N7" s="11">
        <v>6</v>
      </c>
      <c r="O7" s="11">
        <v>11</v>
      </c>
      <c r="P7" s="12">
        <v>141</v>
      </c>
      <c r="Q7" s="11">
        <v>496</v>
      </c>
      <c r="R7" s="11">
        <v>1</v>
      </c>
      <c r="S7" s="11">
        <v>463</v>
      </c>
      <c r="T7" s="12">
        <v>23</v>
      </c>
      <c r="U7" s="12">
        <v>134</v>
      </c>
      <c r="V7" s="13">
        <v>14.935483870967742</v>
      </c>
      <c r="W7" s="13">
        <v>74.677419354838719</v>
      </c>
      <c r="X7" s="13">
        <v>3.455223880597015</v>
      </c>
      <c r="Y7" s="14">
        <v>1.1716417910447761</v>
      </c>
      <c r="Z7" s="15">
        <v>6.7</v>
      </c>
      <c r="AA7">
        <f>+S30+S34+S40+S44</f>
        <v>706</v>
      </c>
      <c r="AB7">
        <f>+S35+S38+S39+S47+S49+S110</f>
        <v>542</v>
      </c>
      <c r="AC7">
        <f>+S8+S10+S13+S21+S23+S26+S28+S36+S48+S50+S56</f>
        <v>4329</v>
      </c>
    </row>
    <row r="8" spans="1:29" ht="15.75" x14ac:dyDescent="0.25">
      <c r="A8" s="254"/>
      <c r="B8" s="266"/>
      <c r="C8" s="17" t="s">
        <v>35</v>
      </c>
      <c r="D8" s="16"/>
      <c r="E8" s="10">
        <v>31</v>
      </c>
      <c r="F8" s="17">
        <v>20</v>
      </c>
      <c r="G8" s="103">
        <v>13</v>
      </c>
      <c r="H8" s="17">
        <v>123</v>
      </c>
      <c r="I8" s="17">
        <v>28</v>
      </c>
      <c r="J8" s="17">
        <v>164</v>
      </c>
      <c r="K8" s="17">
        <v>7</v>
      </c>
      <c r="L8" s="17">
        <v>117</v>
      </c>
      <c r="M8" s="18">
        <v>17</v>
      </c>
      <c r="N8" s="17">
        <v>6</v>
      </c>
      <c r="O8" s="17">
        <v>11</v>
      </c>
      <c r="P8" s="18">
        <v>141</v>
      </c>
      <c r="Q8" s="17">
        <v>496</v>
      </c>
      <c r="R8" s="17">
        <v>1</v>
      </c>
      <c r="S8" s="17">
        <v>463</v>
      </c>
      <c r="T8" s="18">
        <v>23</v>
      </c>
      <c r="U8" s="18">
        <v>134</v>
      </c>
      <c r="V8" s="19">
        <v>14.935483870967742</v>
      </c>
      <c r="W8" s="19">
        <v>74.677419354838719</v>
      </c>
      <c r="X8" s="19">
        <v>3.455223880597015</v>
      </c>
      <c r="Y8" s="20">
        <v>1.1716417910447761</v>
      </c>
      <c r="Z8" s="20">
        <v>6.7</v>
      </c>
    </row>
    <row r="9" spans="1:29" ht="15.75" x14ac:dyDescent="0.25">
      <c r="A9" s="256">
        <v>2</v>
      </c>
      <c r="B9" s="266"/>
      <c r="C9" s="11" t="s">
        <v>36</v>
      </c>
      <c r="D9" s="21" t="s">
        <v>34</v>
      </c>
      <c r="E9" s="10">
        <v>31</v>
      </c>
      <c r="F9" s="11">
        <v>16</v>
      </c>
      <c r="G9" s="11">
        <v>10</v>
      </c>
      <c r="H9" s="11">
        <v>101</v>
      </c>
      <c r="I9" s="11">
        <v>27</v>
      </c>
      <c r="J9" s="11">
        <v>138</v>
      </c>
      <c r="K9" s="11">
        <v>2</v>
      </c>
      <c r="L9" s="11">
        <v>102</v>
      </c>
      <c r="M9" s="12">
        <v>18</v>
      </c>
      <c r="N9" s="11">
        <v>6</v>
      </c>
      <c r="O9" s="11">
        <v>12</v>
      </c>
      <c r="P9" s="12">
        <v>122</v>
      </c>
      <c r="Q9" s="11">
        <v>449</v>
      </c>
      <c r="R9" s="11">
        <v>0</v>
      </c>
      <c r="S9" s="11">
        <v>411</v>
      </c>
      <c r="T9" s="12">
        <v>16</v>
      </c>
      <c r="U9" s="12">
        <v>120</v>
      </c>
      <c r="V9" s="13">
        <v>13.258064516129032</v>
      </c>
      <c r="W9" s="13">
        <v>82.862903225806448</v>
      </c>
      <c r="X9" s="13">
        <v>3.4249999999999998</v>
      </c>
      <c r="Y9" s="14">
        <v>0.70833333333333337</v>
      </c>
      <c r="Z9" s="15">
        <v>7.5</v>
      </c>
    </row>
    <row r="10" spans="1:29" ht="15.75" x14ac:dyDescent="0.25">
      <c r="A10" s="256"/>
      <c r="B10" s="266"/>
      <c r="C10" s="17" t="s">
        <v>36</v>
      </c>
      <c r="D10" s="16"/>
      <c r="E10" s="10">
        <v>31</v>
      </c>
      <c r="F10" s="17">
        <v>16</v>
      </c>
      <c r="G10" s="103">
        <v>10</v>
      </c>
      <c r="H10" s="17">
        <v>101</v>
      </c>
      <c r="I10" s="17">
        <v>27</v>
      </c>
      <c r="J10" s="17">
        <v>138</v>
      </c>
      <c r="K10" s="17">
        <v>2</v>
      </c>
      <c r="L10" s="17">
        <v>102</v>
      </c>
      <c r="M10" s="18">
        <v>18</v>
      </c>
      <c r="N10" s="17">
        <v>6</v>
      </c>
      <c r="O10" s="17">
        <v>12</v>
      </c>
      <c r="P10" s="18">
        <v>122</v>
      </c>
      <c r="Q10" s="17">
        <v>449</v>
      </c>
      <c r="R10" s="17">
        <v>0</v>
      </c>
      <c r="S10" s="17">
        <v>411</v>
      </c>
      <c r="T10" s="18">
        <v>16</v>
      </c>
      <c r="U10" s="18">
        <v>120</v>
      </c>
      <c r="V10" s="19">
        <v>13.258064516129032</v>
      </c>
      <c r="W10" s="19">
        <v>82.862903225806448</v>
      </c>
      <c r="X10" s="19">
        <v>3.4249999999999998</v>
      </c>
      <c r="Y10" s="20">
        <v>0.70833333333333337</v>
      </c>
      <c r="Z10" s="20">
        <v>7.5</v>
      </c>
    </row>
    <row r="11" spans="1:29" ht="15.75" customHeight="1" x14ac:dyDescent="0.25">
      <c r="A11" s="256">
        <v>3</v>
      </c>
      <c r="B11" s="266"/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9" ht="15.75" x14ac:dyDescent="0.25">
      <c r="A12" s="256"/>
      <c r="B12" s="266"/>
      <c r="C12" s="53" t="s">
        <v>37</v>
      </c>
      <c r="D12" s="21" t="s">
        <v>34</v>
      </c>
      <c r="E12" s="10">
        <v>31</v>
      </c>
      <c r="F12" s="11">
        <v>12</v>
      </c>
      <c r="G12" s="11">
        <v>3</v>
      </c>
      <c r="H12" s="11">
        <v>90</v>
      </c>
      <c r="I12" s="11">
        <v>2</v>
      </c>
      <c r="J12" s="11">
        <v>95</v>
      </c>
      <c r="K12" s="11">
        <v>2</v>
      </c>
      <c r="L12" s="11">
        <v>73</v>
      </c>
      <c r="M12" s="12">
        <v>8</v>
      </c>
      <c r="N12" s="11">
        <v>1</v>
      </c>
      <c r="O12" s="11">
        <v>7</v>
      </c>
      <c r="P12" s="12">
        <v>83</v>
      </c>
      <c r="Q12" s="11">
        <v>251</v>
      </c>
      <c r="R12" s="11">
        <v>0</v>
      </c>
      <c r="S12" s="11">
        <v>262</v>
      </c>
      <c r="T12" s="12">
        <v>12</v>
      </c>
      <c r="U12" s="12">
        <v>81</v>
      </c>
      <c r="V12" s="13">
        <v>8.4516129032258061</v>
      </c>
      <c r="W12" s="13">
        <v>70.430107526881713</v>
      </c>
      <c r="X12" s="13">
        <v>3.2345679012345681</v>
      </c>
      <c r="Y12" s="14">
        <v>1.3580246913580249</v>
      </c>
      <c r="Z12" s="15">
        <v>6.75</v>
      </c>
    </row>
    <row r="13" spans="1:29" ht="15.75" x14ac:dyDescent="0.25">
      <c r="A13" s="256"/>
      <c r="B13" s="266"/>
      <c r="C13" s="17" t="s">
        <v>37</v>
      </c>
      <c r="D13" s="16"/>
      <c r="E13" s="10">
        <v>31</v>
      </c>
      <c r="F13" s="17">
        <v>12</v>
      </c>
      <c r="G13" s="103">
        <v>3</v>
      </c>
      <c r="H13" s="17">
        <v>90</v>
      </c>
      <c r="I13" s="17">
        <v>2</v>
      </c>
      <c r="J13" s="17">
        <v>95</v>
      </c>
      <c r="K13" s="17">
        <v>2</v>
      </c>
      <c r="L13" s="17">
        <v>73</v>
      </c>
      <c r="M13" s="18">
        <v>8</v>
      </c>
      <c r="N13" s="17">
        <v>1</v>
      </c>
      <c r="O13" s="17">
        <v>7</v>
      </c>
      <c r="P13" s="18">
        <v>83</v>
      </c>
      <c r="Q13" s="17">
        <v>251</v>
      </c>
      <c r="R13" s="17">
        <v>0</v>
      </c>
      <c r="S13" s="17">
        <v>262</v>
      </c>
      <c r="T13" s="18">
        <v>12</v>
      </c>
      <c r="U13" s="18">
        <v>81</v>
      </c>
      <c r="V13" s="19">
        <v>8.4516129032258061</v>
      </c>
      <c r="W13" s="19">
        <v>70.430107526881713</v>
      </c>
      <c r="X13" s="19">
        <v>3.2345679012345681</v>
      </c>
      <c r="Y13" s="20">
        <v>1.3580246913580249</v>
      </c>
      <c r="Z13" s="20">
        <v>6.75</v>
      </c>
    </row>
    <row r="14" spans="1:29" ht="15.75" hidden="1" x14ac:dyDescent="0.25">
      <c r="A14" s="256">
        <v>4</v>
      </c>
      <c r="B14" s="266"/>
      <c r="C14" s="198" t="s">
        <v>39</v>
      </c>
      <c r="D14" s="21" t="s">
        <v>38</v>
      </c>
      <c r="E14" s="10">
        <v>31</v>
      </c>
      <c r="F14" s="10">
        <v>2</v>
      </c>
      <c r="G14" s="11">
        <v>1</v>
      </c>
      <c r="H14" s="11">
        <v>12</v>
      </c>
      <c r="I14" s="11">
        <v>4</v>
      </c>
      <c r="J14" s="11">
        <v>17</v>
      </c>
      <c r="K14" s="11">
        <v>7</v>
      </c>
      <c r="L14" s="11">
        <v>9</v>
      </c>
      <c r="M14" s="12">
        <v>0</v>
      </c>
      <c r="N14" s="11">
        <v>0</v>
      </c>
      <c r="O14" s="11">
        <v>0</v>
      </c>
      <c r="P14" s="12">
        <v>16</v>
      </c>
      <c r="Q14" s="11">
        <v>35</v>
      </c>
      <c r="R14" s="11">
        <v>0</v>
      </c>
      <c r="S14" s="11">
        <v>36</v>
      </c>
      <c r="T14" s="12">
        <v>1</v>
      </c>
      <c r="U14" s="12">
        <v>9</v>
      </c>
      <c r="V14" s="13">
        <v>1.1612903225806452</v>
      </c>
      <c r="W14" s="13">
        <v>58.064516129032263</v>
      </c>
      <c r="X14" s="13">
        <v>4</v>
      </c>
      <c r="Y14" s="14">
        <v>2.8888888888888884</v>
      </c>
      <c r="Z14" s="15">
        <v>4.5</v>
      </c>
    </row>
    <row r="15" spans="1:29" ht="15.75" hidden="1" x14ac:dyDescent="0.25">
      <c r="A15" s="256"/>
      <c r="B15" s="266"/>
      <c r="C15" s="52" t="s">
        <v>39</v>
      </c>
      <c r="D15" s="21" t="s">
        <v>34</v>
      </c>
      <c r="E15" s="10">
        <v>31</v>
      </c>
      <c r="F15" s="10">
        <v>17</v>
      </c>
      <c r="G15" s="11">
        <v>15</v>
      </c>
      <c r="H15" s="11">
        <v>106</v>
      </c>
      <c r="I15" s="11">
        <v>14</v>
      </c>
      <c r="J15" s="11">
        <v>135</v>
      </c>
      <c r="K15" s="11">
        <v>21</v>
      </c>
      <c r="L15" s="11">
        <v>97</v>
      </c>
      <c r="M15" s="12">
        <v>4</v>
      </c>
      <c r="N15" s="11">
        <v>0</v>
      </c>
      <c r="O15" s="11">
        <v>4</v>
      </c>
      <c r="P15" s="12">
        <v>122</v>
      </c>
      <c r="Q15" s="11">
        <v>438</v>
      </c>
      <c r="R15" s="11">
        <v>0</v>
      </c>
      <c r="S15" s="11">
        <v>393</v>
      </c>
      <c r="T15" s="12">
        <v>13</v>
      </c>
      <c r="U15" s="12">
        <v>101</v>
      </c>
      <c r="V15" s="13">
        <v>12.67741935483871</v>
      </c>
      <c r="W15" s="13">
        <v>74.573055028463003</v>
      </c>
      <c r="X15" s="13">
        <v>3.891089108910891</v>
      </c>
      <c r="Y15" s="14">
        <v>1.3267326732673268</v>
      </c>
      <c r="Z15" s="15">
        <v>5.9411764705882355</v>
      </c>
    </row>
    <row r="16" spans="1:29" ht="15.75" hidden="1" x14ac:dyDescent="0.25">
      <c r="A16" s="256"/>
      <c r="B16" s="266"/>
      <c r="C16" s="198" t="s">
        <v>39</v>
      </c>
      <c r="D16" s="21" t="s">
        <v>40</v>
      </c>
      <c r="E16" s="10">
        <v>31</v>
      </c>
      <c r="F16" s="10">
        <v>5</v>
      </c>
      <c r="G16" s="11">
        <v>5</v>
      </c>
      <c r="H16" s="11">
        <v>14</v>
      </c>
      <c r="I16" s="11">
        <v>20</v>
      </c>
      <c r="J16" s="11">
        <v>39</v>
      </c>
      <c r="K16" s="11">
        <v>2</v>
      </c>
      <c r="L16" s="11">
        <v>31</v>
      </c>
      <c r="M16" s="12">
        <v>1</v>
      </c>
      <c r="N16" s="11">
        <v>0</v>
      </c>
      <c r="O16" s="11">
        <v>1</v>
      </c>
      <c r="P16" s="12">
        <v>34</v>
      </c>
      <c r="Q16" s="11">
        <v>133</v>
      </c>
      <c r="R16" s="11">
        <v>1</v>
      </c>
      <c r="S16" s="11">
        <v>105</v>
      </c>
      <c r="T16" s="12">
        <v>5</v>
      </c>
      <c r="U16" s="12">
        <v>32</v>
      </c>
      <c r="V16" s="13">
        <v>3.3870967741935485</v>
      </c>
      <c r="W16" s="13">
        <v>67.741935483870975</v>
      </c>
      <c r="X16" s="13">
        <v>3.28125</v>
      </c>
      <c r="Y16" s="14">
        <v>1.5625</v>
      </c>
      <c r="Z16" s="15">
        <v>6.4</v>
      </c>
    </row>
    <row r="17" spans="1:26" ht="15.75" hidden="1" x14ac:dyDescent="0.25">
      <c r="A17" s="256"/>
      <c r="B17" s="266"/>
      <c r="C17" s="17" t="s">
        <v>39</v>
      </c>
      <c r="D17" s="16"/>
      <c r="E17" s="10">
        <v>31</v>
      </c>
      <c r="F17" s="17">
        <v>24</v>
      </c>
      <c r="G17" s="103">
        <v>21</v>
      </c>
      <c r="H17" s="17">
        <v>132</v>
      </c>
      <c r="I17" s="17">
        <v>38</v>
      </c>
      <c r="J17" s="17">
        <v>191</v>
      </c>
      <c r="K17" s="17">
        <v>30</v>
      </c>
      <c r="L17" s="17">
        <v>137</v>
      </c>
      <c r="M17" s="18">
        <v>5</v>
      </c>
      <c r="N17" s="17">
        <v>0</v>
      </c>
      <c r="O17" s="17">
        <v>5</v>
      </c>
      <c r="P17" s="18">
        <v>172</v>
      </c>
      <c r="Q17" s="17">
        <v>606</v>
      </c>
      <c r="R17" s="17">
        <v>1</v>
      </c>
      <c r="S17" s="17">
        <v>534</v>
      </c>
      <c r="T17" s="18">
        <v>19</v>
      </c>
      <c r="U17" s="18">
        <v>142</v>
      </c>
      <c r="V17" s="19">
        <v>17.225806451612904</v>
      </c>
      <c r="W17" s="19">
        <v>71.774193548387103</v>
      </c>
      <c r="X17" s="19">
        <v>3.76056338028169</v>
      </c>
      <c r="Y17" s="20">
        <v>1.4788732394366195</v>
      </c>
      <c r="Z17" s="20">
        <v>5.916666666666667</v>
      </c>
    </row>
    <row r="18" spans="1:26" ht="15.75" x14ac:dyDescent="0.25">
      <c r="A18" s="248">
        <v>5</v>
      </c>
      <c r="B18" s="266"/>
      <c r="C18" s="199" t="s">
        <v>41</v>
      </c>
      <c r="D18" s="22" t="s">
        <v>115</v>
      </c>
      <c r="E18" s="10">
        <v>31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4" t="e">
        <v>#DIV/0!</v>
      </c>
      <c r="Z18" s="15">
        <v>0</v>
      </c>
    </row>
    <row r="19" spans="1:26" ht="15.75" x14ac:dyDescent="0.25">
      <c r="A19" s="249"/>
      <c r="B19" s="266"/>
      <c r="C19" s="194" t="s">
        <v>41</v>
      </c>
      <c r="D19" s="98" t="s">
        <v>42</v>
      </c>
      <c r="E19" s="10">
        <v>31</v>
      </c>
      <c r="F19" s="10">
        <v>15</v>
      </c>
      <c r="G19" s="11">
        <v>13</v>
      </c>
      <c r="H19" s="11">
        <v>137</v>
      </c>
      <c r="I19" s="11">
        <v>5</v>
      </c>
      <c r="J19" s="11">
        <v>155</v>
      </c>
      <c r="K19" s="11">
        <v>11</v>
      </c>
      <c r="L19" s="11">
        <v>89</v>
      </c>
      <c r="M19" s="12">
        <v>38</v>
      </c>
      <c r="N19" s="11">
        <v>21</v>
      </c>
      <c r="O19" s="11">
        <v>17</v>
      </c>
      <c r="P19" s="12">
        <v>138</v>
      </c>
      <c r="Q19" s="11">
        <v>546</v>
      </c>
      <c r="R19" s="11">
        <v>2</v>
      </c>
      <c r="S19" s="11">
        <v>518</v>
      </c>
      <c r="T19" s="12">
        <v>17</v>
      </c>
      <c r="U19" s="12">
        <v>127</v>
      </c>
      <c r="V19" s="13">
        <v>16.70967741935484</v>
      </c>
      <c r="W19" s="13">
        <v>111.3978494623656</v>
      </c>
      <c r="X19" s="13">
        <v>4.0787401574803148</v>
      </c>
      <c r="Y19" s="14">
        <v>-0.41732283464566955</v>
      </c>
      <c r="Z19" s="15">
        <v>8.4666666666666668</v>
      </c>
    </row>
    <row r="20" spans="1:26" ht="15.75" x14ac:dyDescent="0.25">
      <c r="A20" s="249"/>
      <c r="B20" s="266"/>
      <c r="C20" s="199" t="s">
        <v>41</v>
      </c>
      <c r="D20" s="98" t="s">
        <v>43</v>
      </c>
      <c r="E20" s="10">
        <v>31</v>
      </c>
      <c r="F20" s="10">
        <v>15</v>
      </c>
      <c r="G20" s="11">
        <v>8</v>
      </c>
      <c r="H20" s="11">
        <v>81</v>
      </c>
      <c r="I20" s="11">
        <v>27</v>
      </c>
      <c r="J20" s="11">
        <v>116</v>
      </c>
      <c r="K20" s="11">
        <v>18</v>
      </c>
      <c r="L20" s="11">
        <v>69</v>
      </c>
      <c r="M20" s="12">
        <v>15</v>
      </c>
      <c r="N20" s="11">
        <v>7</v>
      </c>
      <c r="O20" s="11">
        <v>8</v>
      </c>
      <c r="P20" s="12">
        <v>102</v>
      </c>
      <c r="Q20" s="11">
        <v>437</v>
      </c>
      <c r="R20" s="11">
        <v>2</v>
      </c>
      <c r="S20" s="11">
        <v>375</v>
      </c>
      <c r="T20" s="12">
        <v>14</v>
      </c>
      <c r="U20" s="12">
        <v>84</v>
      </c>
      <c r="V20" s="13">
        <v>12.096774193548388</v>
      </c>
      <c r="W20" s="13">
        <v>80.645161290322591</v>
      </c>
      <c r="X20" s="13">
        <v>4.4642857142857144</v>
      </c>
      <c r="Y20" s="14">
        <v>1.0714285714285712</v>
      </c>
      <c r="Z20" s="15">
        <v>5.6</v>
      </c>
    </row>
    <row r="21" spans="1:26" ht="15.75" x14ac:dyDescent="0.25">
      <c r="A21" s="250"/>
      <c r="B21" s="266"/>
      <c r="C21" s="17" t="s">
        <v>41</v>
      </c>
      <c r="D21" s="16"/>
      <c r="E21" s="10">
        <v>31</v>
      </c>
      <c r="F21" s="17">
        <v>34</v>
      </c>
      <c r="G21" s="103">
        <v>21</v>
      </c>
      <c r="H21" s="17">
        <v>218</v>
      </c>
      <c r="I21" s="17">
        <v>32</v>
      </c>
      <c r="J21" s="17">
        <v>271</v>
      </c>
      <c r="K21" s="17">
        <v>29</v>
      </c>
      <c r="L21" s="17">
        <v>158</v>
      </c>
      <c r="M21" s="18">
        <v>53</v>
      </c>
      <c r="N21" s="17">
        <v>28</v>
      </c>
      <c r="O21" s="17">
        <v>25</v>
      </c>
      <c r="P21" s="18">
        <v>240</v>
      </c>
      <c r="Q21" s="17">
        <v>983</v>
      </c>
      <c r="R21" s="17">
        <v>4</v>
      </c>
      <c r="S21" s="17">
        <v>893</v>
      </c>
      <c r="T21" s="18">
        <v>31</v>
      </c>
      <c r="U21" s="18">
        <v>211</v>
      </c>
      <c r="V21" s="19">
        <v>28.806451612903224</v>
      </c>
      <c r="W21" s="19">
        <v>96.021505376344081</v>
      </c>
      <c r="X21" s="19">
        <v>4.2322274881516586</v>
      </c>
      <c r="Y21" s="20">
        <v>0.17535545023696683</v>
      </c>
      <c r="Z21" s="20">
        <v>14.066666666666666</v>
      </c>
    </row>
    <row r="22" spans="1:26" ht="15.75" x14ac:dyDescent="0.25">
      <c r="A22" s="254">
        <v>6</v>
      </c>
      <c r="B22" s="266"/>
      <c r="C22" s="10" t="s">
        <v>44</v>
      </c>
      <c r="D22" s="21" t="s">
        <v>34</v>
      </c>
      <c r="E22" s="10">
        <v>31</v>
      </c>
      <c r="F22" s="10">
        <v>24</v>
      </c>
      <c r="G22" s="11">
        <v>16</v>
      </c>
      <c r="H22" s="11">
        <v>160</v>
      </c>
      <c r="I22" s="11">
        <v>3</v>
      </c>
      <c r="J22" s="11">
        <v>179</v>
      </c>
      <c r="K22" s="11">
        <v>8</v>
      </c>
      <c r="L22" s="11">
        <v>140</v>
      </c>
      <c r="M22" s="12">
        <v>7</v>
      </c>
      <c r="N22" s="11">
        <v>3</v>
      </c>
      <c r="O22" s="11">
        <v>4</v>
      </c>
      <c r="P22" s="12">
        <v>155</v>
      </c>
      <c r="Q22" s="11">
        <v>491</v>
      </c>
      <c r="R22" s="11">
        <v>0</v>
      </c>
      <c r="S22" s="11">
        <v>490</v>
      </c>
      <c r="T22" s="12">
        <v>24</v>
      </c>
      <c r="U22" s="12">
        <v>147</v>
      </c>
      <c r="V22" s="13">
        <v>15.806451612903226</v>
      </c>
      <c r="W22" s="13">
        <v>65.86021505376344</v>
      </c>
      <c r="X22" s="13">
        <v>3.3333333333333335</v>
      </c>
      <c r="Y22" s="14">
        <v>1.727891156462585</v>
      </c>
      <c r="Z22" s="15">
        <v>6.125</v>
      </c>
    </row>
    <row r="23" spans="1:26" ht="15.75" x14ac:dyDescent="0.25">
      <c r="A23" s="254"/>
      <c r="B23" s="266"/>
      <c r="C23" s="17" t="s">
        <v>44</v>
      </c>
      <c r="D23" s="16"/>
      <c r="E23" s="10">
        <v>31</v>
      </c>
      <c r="F23" s="17">
        <v>24</v>
      </c>
      <c r="G23" s="103">
        <v>16</v>
      </c>
      <c r="H23" s="17">
        <v>160</v>
      </c>
      <c r="I23" s="17">
        <v>3</v>
      </c>
      <c r="J23" s="17">
        <v>179</v>
      </c>
      <c r="K23" s="17">
        <v>8</v>
      </c>
      <c r="L23" s="17">
        <v>140</v>
      </c>
      <c r="M23" s="18">
        <v>7</v>
      </c>
      <c r="N23" s="17">
        <v>3</v>
      </c>
      <c r="O23" s="17">
        <v>4</v>
      </c>
      <c r="P23" s="18">
        <v>155</v>
      </c>
      <c r="Q23" s="17">
        <v>491</v>
      </c>
      <c r="R23" s="17">
        <v>0</v>
      </c>
      <c r="S23" s="17">
        <v>490</v>
      </c>
      <c r="T23" s="18">
        <v>24</v>
      </c>
      <c r="U23" s="18">
        <v>147</v>
      </c>
      <c r="V23" s="19">
        <v>15.806451612903226</v>
      </c>
      <c r="W23" s="19">
        <v>65.86021505376344</v>
      </c>
      <c r="X23" s="19">
        <v>3.3333333333333335</v>
      </c>
      <c r="Y23" s="20">
        <v>1.727891156462585</v>
      </c>
      <c r="Z23" s="20">
        <v>6.125</v>
      </c>
    </row>
    <row r="24" spans="1:26" ht="15.75" x14ac:dyDescent="0.25">
      <c r="A24" s="248">
        <v>7</v>
      </c>
      <c r="B24" s="266"/>
      <c r="C24" s="194" t="s">
        <v>45</v>
      </c>
      <c r="D24" s="22" t="s">
        <v>40</v>
      </c>
      <c r="E24" s="10">
        <v>31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4" t="e">
        <v>#DIV/0!</v>
      </c>
      <c r="Z24" s="15">
        <v>0</v>
      </c>
    </row>
    <row r="25" spans="1:26" ht="15.75" x14ac:dyDescent="0.25">
      <c r="A25" s="249"/>
      <c r="B25" s="266"/>
      <c r="C25" s="199" t="s">
        <v>45</v>
      </c>
      <c r="D25" s="21" t="s">
        <v>34</v>
      </c>
      <c r="E25" s="10">
        <v>31</v>
      </c>
      <c r="F25" s="10">
        <v>16</v>
      </c>
      <c r="G25" s="11">
        <v>14</v>
      </c>
      <c r="H25" s="11">
        <v>134</v>
      </c>
      <c r="I25" s="11">
        <v>12</v>
      </c>
      <c r="J25" s="11">
        <v>160</v>
      </c>
      <c r="K25" s="11">
        <v>5</v>
      </c>
      <c r="L25" s="11">
        <v>122</v>
      </c>
      <c r="M25" s="12">
        <v>15</v>
      </c>
      <c r="N25" s="11">
        <v>6</v>
      </c>
      <c r="O25" s="11">
        <v>9</v>
      </c>
      <c r="P25" s="12">
        <v>142</v>
      </c>
      <c r="Q25" s="11">
        <v>500</v>
      </c>
      <c r="R25" s="11">
        <v>2</v>
      </c>
      <c r="S25" s="11">
        <v>478</v>
      </c>
      <c r="T25" s="12">
        <v>18</v>
      </c>
      <c r="U25" s="12">
        <v>137</v>
      </c>
      <c r="V25" s="13">
        <v>15.419354838709678</v>
      </c>
      <c r="W25" s="13">
        <v>96.370967741935488</v>
      </c>
      <c r="X25" s="13">
        <v>3.4890510948905109</v>
      </c>
      <c r="Y25" s="14">
        <v>0.13138686131386851</v>
      </c>
      <c r="Z25" s="15">
        <v>8.5625</v>
      </c>
    </row>
    <row r="26" spans="1:26" ht="15.75" x14ac:dyDescent="0.25">
      <c r="A26" s="250"/>
      <c r="B26" s="266"/>
      <c r="C26" s="17" t="s">
        <v>45</v>
      </c>
      <c r="D26" s="16"/>
      <c r="E26" s="10">
        <v>31</v>
      </c>
      <c r="F26" s="17">
        <v>20</v>
      </c>
      <c r="G26" s="103">
        <v>14</v>
      </c>
      <c r="H26" s="17">
        <v>134</v>
      </c>
      <c r="I26" s="17">
        <v>12</v>
      </c>
      <c r="J26" s="17">
        <v>160</v>
      </c>
      <c r="K26" s="17">
        <v>5</v>
      </c>
      <c r="L26" s="17">
        <v>122</v>
      </c>
      <c r="M26" s="18">
        <v>15</v>
      </c>
      <c r="N26" s="17">
        <v>6</v>
      </c>
      <c r="O26" s="17">
        <v>9</v>
      </c>
      <c r="P26" s="18">
        <v>142</v>
      </c>
      <c r="Q26" s="17">
        <v>500</v>
      </c>
      <c r="R26" s="17">
        <v>2</v>
      </c>
      <c r="S26" s="17">
        <v>478</v>
      </c>
      <c r="T26" s="18">
        <v>18</v>
      </c>
      <c r="U26" s="18">
        <v>137</v>
      </c>
      <c r="V26" s="19">
        <v>15.419354838709678</v>
      </c>
      <c r="W26" s="19">
        <v>77.096774193548384</v>
      </c>
      <c r="X26" s="19">
        <v>3.4890510948905109</v>
      </c>
      <c r="Y26" s="20">
        <v>1.0364963503649633</v>
      </c>
      <c r="Z26" s="20">
        <v>6.85</v>
      </c>
    </row>
    <row r="27" spans="1:26" ht="15.75" x14ac:dyDescent="0.25">
      <c r="A27" s="256">
        <v>8</v>
      </c>
      <c r="B27" s="266"/>
      <c r="C27" s="11" t="s">
        <v>46</v>
      </c>
      <c r="D27" s="21" t="s">
        <v>34</v>
      </c>
      <c r="E27" s="10">
        <v>31</v>
      </c>
      <c r="F27" s="11">
        <v>20</v>
      </c>
      <c r="G27" s="11">
        <v>10</v>
      </c>
      <c r="H27" s="11">
        <v>147</v>
      </c>
      <c r="I27" s="11">
        <v>4</v>
      </c>
      <c r="J27" s="11">
        <v>161</v>
      </c>
      <c r="K27" s="11">
        <v>10</v>
      </c>
      <c r="L27" s="11">
        <v>128</v>
      </c>
      <c r="M27" s="12">
        <v>3</v>
      </c>
      <c r="N27" s="11">
        <v>3</v>
      </c>
      <c r="O27" s="11">
        <v>0</v>
      </c>
      <c r="P27" s="12">
        <v>141</v>
      </c>
      <c r="Q27" s="11">
        <v>423</v>
      </c>
      <c r="R27" s="11">
        <v>1</v>
      </c>
      <c r="S27" s="11">
        <v>449</v>
      </c>
      <c r="T27" s="12">
        <v>20</v>
      </c>
      <c r="U27" s="12">
        <v>131</v>
      </c>
      <c r="V27" s="13">
        <v>14.483870967741936</v>
      </c>
      <c r="W27" s="13">
        <v>72.41935483870968</v>
      </c>
      <c r="X27" s="13">
        <v>3.4274809160305342</v>
      </c>
      <c r="Y27" s="14">
        <v>1.3053435114503817</v>
      </c>
      <c r="Z27" s="15">
        <v>6.55</v>
      </c>
    </row>
    <row r="28" spans="1:26" ht="15.75" x14ac:dyDescent="0.25">
      <c r="A28" s="256"/>
      <c r="B28" s="266"/>
      <c r="C28" s="17" t="s">
        <v>46</v>
      </c>
      <c r="D28" s="16"/>
      <c r="E28" s="10">
        <v>31</v>
      </c>
      <c r="F28" s="17">
        <v>20</v>
      </c>
      <c r="G28" s="103">
        <v>10</v>
      </c>
      <c r="H28" s="17">
        <v>147</v>
      </c>
      <c r="I28" s="17">
        <v>4</v>
      </c>
      <c r="J28" s="17">
        <v>161</v>
      </c>
      <c r="K28" s="17">
        <v>10</v>
      </c>
      <c r="L28" s="17">
        <v>128</v>
      </c>
      <c r="M28" s="18">
        <v>3</v>
      </c>
      <c r="N28" s="17">
        <v>3</v>
      </c>
      <c r="O28" s="17">
        <v>0</v>
      </c>
      <c r="P28" s="18">
        <v>141</v>
      </c>
      <c r="Q28" s="17">
        <v>423</v>
      </c>
      <c r="R28" s="17">
        <v>1</v>
      </c>
      <c r="S28" s="17">
        <v>449</v>
      </c>
      <c r="T28" s="18">
        <v>20</v>
      </c>
      <c r="U28" s="18">
        <v>131</v>
      </c>
      <c r="V28" s="19">
        <v>14.483870967741936</v>
      </c>
      <c r="W28" s="19">
        <v>72.41935483870968</v>
      </c>
      <c r="X28" s="19">
        <v>3.4274809160305342</v>
      </c>
      <c r="Y28" s="20">
        <v>1.3053435114503817</v>
      </c>
      <c r="Z28" s="20">
        <v>6.55</v>
      </c>
    </row>
    <row r="29" spans="1:26" ht="15.75" x14ac:dyDescent="0.25">
      <c r="A29" s="53"/>
      <c r="B29" s="266"/>
      <c r="C29" s="200" t="s">
        <v>47</v>
      </c>
      <c r="D29" s="22" t="s">
        <v>40</v>
      </c>
      <c r="E29" s="10">
        <v>31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/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1">
        <v>0</v>
      </c>
      <c r="T29" s="12">
        <v>0</v>
      </c>
      <c r="U29" s="12">
        <v>0</v>
      </c>
      <c r="V29" s="13">
        <v>0</v>
      </c>
      <c r="W29" s="13">
        <v>0</v>
      </c>
      <c r="X29" s="13" t="e">
        <v>#DIV/0!</v>
      </c>
      <c r="Y29" s="14" t="e">
        <v>#DIV/0!</v>
      </c>
      <c r="Z29" s="15">
        <v>0</v>
      </c>
    </row>
    <row r="30" spans="1:26" ht="15.75" x14ac:dyDescent="0.25">
      <c r="A30" s="256">
        <v>9</v>
      </c>
      <c r="B30" s="266"/>
      <c r="C30" s="11" t="s">
        <v>47</v>
      </c>
      <c r="D30" s="22" t="s">
        <v>48</v>
      </c>
      <c r="E30" s="10">
        <v>31</v>
      </c>
      <c r="F30" s="11">
        <v>3</v>
      </c>
      <c r="G30" s="11">
        <v>3</v>
      </c>
      <c r="H30" s="11">
        <v>18</v>
      </c>
      <c r="I30" s="11">
        <v>14</v>
      </c>
      <c r="J30" s="11">
        <v>35</v>
      </c>
      <c r="K30" s="11">
        <v>4</v>
      </c>
      <c r="L30" s="11">
        <v>29</v>
      </c>
      <c r="M30" s="12">
        <v>0</v>
      </c>
      <c r="N30" s="11">
        <v>0</v>
      </c>
      <c r="O30" s="11">
        <v>0</v>
      </c>
      <c r="P30" s="12">
        <v>33</v>
      </c>
      <c r="Q30" s="11">
        <v>115</v>
      </c>
      <c r="R30" s="11">
        <v>0</v>
      </c>
      <c r="S30" s="11">
        <v>107</v>
      </c>
      <c r="T30" s="12">
        <v>2</v>
      </c>
      <c r="U30" s="12">
        <v>29</v>
      </c>
      <c r="V30" s="13">
        <v>3.4516129032258065</v>
      </c>
      <c r="W30" s="13">
        <v>115.05376344086022</v>
      </c>
      <c r="X30" s="13">
        <v>3.6896551724137931</v>
      </c>
      <c r="Y30" s="14">
        <v>-0.48275862068965525</v>
      </c>
      <c r="Z30" s="15">
        <v>9.6666666666666661</v>
      </c>
    </row>
    <row r="31" spans="1:26" ht="15.75" hidden="1" x14ac:dyDescent="0.25">
      <c r="A31" s="256"/>
      <c r="B31" s="266"/>
      <c r="C31" s="200" t="s">
        <v>47</v>
      </c>
      <c r="D31" s="22" t="s">
        <v>112</v>
      </c>
      <c r="E31" s="10">
        <v>31</v>
      </c>
      <c r="F31" s="11">
        <v>8</v>
      </c>
      <c r="G31" s="11">
        <v>2</v>
      </c>
      <c r="H31" s="11">
        <v>38</v>
      </c>
      <c r="I31" s="11">
        <v>3</v>
      </c>
      <c r="J31" s="11">
        <v>43</v>
      </c>
      <c r="K31" s="11">
        <v>14</v>
      </c>
      <c r="L31" s="11">
        <v>23</v>
      </c>
      <c r="M31" s="12">
        <v>2</v>
      </c>
      <c r="N31" s="11">
        <v>1</v>
      </c>
      <c r="O31" s="11">
        <v>1</v>
      </c>
      <c r="P31" s="12">
        <v>39</v>
      </c>
      <c r="Q31" s="11">
        <v>84</v>
      </c>
      <c r="R31" s="11">
        <v>0</v>
      </c>
      <c r="S31" s="11">
        <v>83</v>
      </c>
      <c r="T31" s="12">
        <v>4</v>
      </c>
      <c r="U31" s="12">
        <v>25</v>
      </c>
      <c r="V31" s="13">
        <v>2.6774193548387095</v>
      </c>
      <c r="W31" s="13">
        <v>33.467741935483872</v>
      </c>
      <c r="X31" s="13">
        <v>3.32</v>
      </c>
      <c r="Y31" s="14">
        <v>6.6</v>
      </c>
      <c r="Z31" s="15">
        <v>3.125</v>
      </c>
    </row>
    <row r="32" spans="1:26" ht="15.75" hidden="1" x14ac:dyDescent="0.25">
      <c r="A32" s="256"/>
      <c r="B32" s="266"/>
      <c r="C32" s="17" t="s">
        <v>47</v>
      </c>
      <c r="D32" s="16"/>
      <c r="E32" s="10">
        <v>31</v>
      </c>
      <c r="F32" s="17">
        <v>12</v>
      </c>
      <c r="G32" s="103">
        <v>5</v>
      </c>
      <c r="H32" s="17">
        <v>56</v>
      </c>
      <c r="I32" s="17">
        <v>17</v>
      </c>
      <c r="J32" s="17">
        <v>78</v>
      </c>
      <c r="K32" s="17">
        <v>18</v>
      </c>
      <c r="L32" s="17">
        <v>52</v>
      </c>
      <c r="M32" s="18">
        <v>2</v>
      </c>
      <c r="N32" s="17">
        <v>1</v>
      </c>
      <c r="O32" s="17">
        <v>1</v>
      </c>
      <c r="P32" s="18">
        <v>72</v>
      </c>
      <c r="Q32" s="17">
        <v>199</v>
      </c>
      <c r="R32" s="17">
        <v>0</v>
      </c>
      <c r="S32" s="17">
        <v>190</v>
      </c>
      <c r="T32" s="18">
        <v>6</v>
      </c>
      <c r="U32" s="18">
        <v>54</v>
      </c>
      <c r="V32" s="19">
        <v>6.129032258064516</v>
      </c>
      <c r="W32" s="19">
        <v>51.075268817204304</v>
      </c>
      <c r="X32" s="19">
        <v>3.5185185185185186</v>
      </c>
      <c r="Y32" s="20">
        <v>3.3703703703703702</v>
      </c>
      <c r="Z32" s="20">
        <v>4.5</v>
      </c>
    </row>
    <row r="33" spans="1:26" ht="15.75" x14ac:dyDescent="0.25">
      <c r="A33" s="262">
        <v>10</v>
      </c>
      <c r="B33" s="266"/>
      <c r="C33" s="200" t="s">
        <v>49</v>
      </c>
      <c r="D33" s="22" t="s">
        <v>40</v>
      </c>
      <c r="E33" s="10">
        <v>31</v>
      </c>
      <c r="F33" s="11">
        <v>1</v>
      </c>
      <c r="G33" s="11">
        <v>0</v>
      </c>
      <c r="H33" s="11">
        <v>9</v>
      </c>
      <c r="I33" s="11">
        <v>1</v>
      </c>
      <c r="J33" s="11">
        <v>10</v>
      </c>
      <c r="K33" s="11">
        <v>2</v>
      </c>
      <c r="L33" s="11">
        <v>7</v>
      </c>
      <c r="M33" s="12"/>
      <c r="N33" s="11">
        <v>0</v>
      </c>
      <c r="O33" s="11">
        <v>0</v>
      </c>
      <c r="P33" s="12">
        <v>9</v>
      </c>
      <c r="Q33" s="11">
        <v>21</v>
      </c>
      <c r="R33" s="11">
        <v>0</v>
      </c>
      <c r="S33" s="11">
        <v>21</v>
      </c>
      <c r="T33" s="12">
        <v>1</v>
      </c>
      <c r="U33" s="12">
        <v>7</v>
      </c>
      <c r="V33" s="13">
        <v>0.67741935483870963</v>
      </c>
      <c r="W33" s="13">
        <v>67.741935483870961</v>
      </c>
      <c r="X33" s="13">
        <v>3</v>
      </c>
      <c r="Y33" s="14">
        <v>1.4285714285714288</v>
      </c>
      <c r="Z33" s="15">
        <v>7</v>
      </c>
    </row>
    <row r="34" spans="1:26" ht="15.75" x14ac:dyDescent="0.25">
      <c r="A34" s="263"/>
      <c r="B34" s="266"/>
      <c r="C34" s="11" t="s">
        <v>49</v>
      </c>
      <c r="D34" s="22" t="s">
        <v>48</v>
      </c>
      <c r="E34" s="10">
        <v>31</v>
      </c>
      <c r="F34" s="11">
        <v>2</v>
      </c>
      <c r="G34" s="11">
        <v>2</v>
      </c>
      <c r="H34" s="11">
        <v>10</v>
      </c>
      <c r="I34" s="11">
        <v>3</v>
      </c>
      <c r="J34" s="11">
        <v>15</v>
      </c>
      <c r="K34" s="11">
        <v>0</v>
      </c>
      <c r="L34" s="11">
        <v>13</v>
      </c>
      <c r="M34" s="12">
        <v>0</v>
      </c>
      <c r="N34" s="11">
        <v>0</v>
      </c>
      <c r="O34" s="11">
        <v>0</v>
      </c>
      <c r="P34" s="12">
        <v>13</v>
      </c>
      <c r="Q34" s="11">
        <v>67</v>
      </c>
      <c r="R34" s="11">
        <v>0</v>
      </c>
      <c r="S34" s="11">
        <v>50</v>
      </c>
      <c r="T34" s="12">
        <v>2</v>
      </c>
      <c r="U34" s="12">
        <v>13</v>
      </c>
      <c r="V34" s="13">
        <v>1.6129032258064515</v>
      </c>
      <c r="W34" s="13">
        <v>80.645161290322577</v>
      </c>
      <c r="X34" s="13">
        <v>3.8461538461538463</v>
      </c>
      <c r="Y34" s="14">
        <v>0.92307692307692335</v>
      </c>
      <c r="Z34" s="15">
        <v>6.5</v>
      </c>
    </row>
    <row r="35" spans="1:26" ht="15.75" x14ac:dyDescent="0.25">
      <c r="A35" s="263"/>
      <c r="B35" s="266"/>
      <c r="C35" s="200" t="s">
        <v>49</v>
      </c>
      <c r="D35" s="22" t="s">
        <v>38</v>
      </c>
      <c r="E35" s="10">
        <v>31</v>
      </c>
      <c r="F35" s="11">
        <v>4</v>
      </c>
      <c r="G35" s="11">
        <v>4</v>
      </c>
      <c r="H35" s="11">
        <v>18</v>
      </c>
      <c r="I35" s="11">
        <v>2</v>
      </c>
      <c r="J35" s="11">
        <v>24</v>
      </c>
      <c r="K35" s="11">
        <v>1</v>
      </c>
      <c r="L35" s="11">
        <v>18</v>
      </c>
      <c r="M35" s="12">
        <v>1</v>
      </c>
      <c r="N35" s="11">
        <v>0</v>
      </c>
      <c r="O35" s="11">
        <v>1</v>
      </c>
      <c r="P35" s="12">
        <v>20</v>
      </c>
      <c r="Q35" s="11">
        <v>95</v>
      </c>
      <c r="R35" s="11">
        <v>0</v>
      </c>
      <c r="S35" s="11">
        <v>97</v>
      </c>
      <c r="T35" s="12">
        <v>4</v>
      </c>
      <c r="U35" s="12">
        <v>19</v>
      </c>
      <c r="V35" s="13">
        <v>3.129032258064516</v>
      </c>
      <c r="W35" s="13">
        <v>78.225806451612897</v>
      </c>
      <c r="X35" s="13">
        <v>5.1052631578947372</v>
      </c>
      <c r="Y35" s="14">
        <v>1.4210526315789476</v>
      </c>
      <c r="Z35" s="15">
        <v>4.75</v>
      </c>
    </row>
    <row r="36" spans="1:26" ht="15.75" x14ac:dyDescent="0.25">
      <c r="A36" s="263"/>
      <c r="B36" s="266"/>
      <c r="C36" s="200" t="s">
        <v>49</v>
      </c>
      <c r="D36" s="22" t="s">
        <v>34</v>
      </c>
      <c r="E36" s="10">
        <v>31</v>
      </c>
      <c r="F36" s="11">
        <v>12</v>
      </c>
      <c r="G36" s="11">
        <v>9</v>
      </c>
      <c r="H36" s="11">
        <v>67</v>
      </c>
      <c r="I36" s="11">
        <v>8</v>
      </c>
      <c r="J36" s="11">
        <v>84</v>
      </c>
      <c r="K36" s="11">
        <v>2</v>
      </c>
      <c r="L36" s="11">
        <v>64</v>
      </c>
      <c r="M36" s="12">
        <v>6</v>
      </c>
      <c r="N36" s="11">
        <v>0</v>
      </c>
      <c r="O36" s="11">
        <v>6</v>
      </c>
      <c r="P36" s="12">
        <v>72</v>
      </c>
      <c r="Q36" s="11">
        <v>297</v>
      </c>
      <c r="R36" s="11">
        <v>0</v>
      </c>
      <c r="S36" s="11">
        <v>280</v>
      </c>
      <c r="T36" s="12">
        <v>12</v>
      </c>
      <c r="U36" s="12">
        <v>70</v>
      </c>
      <c r="V36" s="13">
        <v>9.0322580645161299</v>
      </c>
      <c r="W36" s="13">
        <v>75.268817204301087</v>
      </c>
      <c r="X36" s="13">
        <v>4</v>
      </c>
      <c r="Y36" s="14">
        <v>1.3142857142857138</v>
      </c>
      <c r="Z36" s="15">
        <v>5.833333333333333</v>
      </c>
    </row>
    <row r="37" spans="1:26" ht="15.75" x14ac:dyDescent="0.25">
      <c r="A37" s="264"/>
      <c r="B37" s="266"/>
      <c r="C37" s="17" t="s">
        <v>49</v>
      </c>
      <c r="D37" s="16"/>
      <c r="E37" s="10">
        <v>31</v>
      </c>
      <c r="F37" s="17">
        <v>19</v>
      </c>
      <c r="G37" s="17">
        <v>15</v>
      </c>
      <c r="H37" s="17">
        <v>104</v>
      </c>
      <c r="I37" s="17">
        <v>14</v>
      </c>
      <c r="J37" s="17">
        <v>133</v>
      </c>
      <c r="K37" s="17">
        <v>5</v>
      </c>
      <c r="L37" s="17">
        <v>102</v>
      </c>
      <c r="M37" s="18">
        <v>7</v>
      </c>
      <c r="N37" s="17">
        <v>0</v>
      </c>
      <c r="O37" s="17">
        <v>7</v>
      </c>
      <c r="P37" s="18">
        <v>114</v>
      </c>
      <c r="Q37" s="17">
        <v>480</v>
      </c>
      <c r="R37" s="17">
        <v>0</v>
      </c>
      <c r="S37" s="17">
        <v>448</v>
      </c>
      <c r="T37" s="18">
        <v>19</v>
      </c>
      <c r="U37" s="18">
        <v>109</v>
      </c>
      <c r="V37" s="19">
        <v>14.451612903225806</v>
      </c>
      <c r="W37" s="19">
        <v>76.061120543293711</v>
      </c>
      <c r="X37" s="19">
        <v>4.1100917431192663</v>
      </c>
      <c r="Y37" s="20">
        <v>1.2935779816513762</v>
      </c>
      <c r="Z37" s="20">
        <v>5.7368421052631575</v>
      </c>
    </row>
    <row r="38" spans="1:26" ht="15.75" x14ac:dyDescent="0.25">
      <c r="A38" s="231">
        <v>11</v>
      </c>
      <c r="B38" s="266"/>
      <c r="C38" s="198" t="s">
        <v>50</v>
      </c>
      <c r="D38" s="22" t="s">
        <v>51</v>
      </c>
      <c r="E38" s="10">
        <v>31</v>
      </c>
      <c r="F38" s="10">
        <v>6</v>
      </c>
      <c r="G38" s="11">
        <v>7</v>
      </c>
      <c r="H38" s="11">
        <v>21</v>
      </c>
      <c r="I38" s="11">
        <v>4</v>
      </c>
      <c r="J38" s="11">
        <v>32</v>
      </c>
      <c r="K38" s="11">
        <v>13</v>
      </c>
      <c r="L38" s="11">
        <v>19</v>
      </c>
      <c r="M38" s="12">
        <v>0</v>
      </c>
      <c r="N38" s="11">
        <v>0</v>
      </c>
      <c r="O38" s="11">
        <v>0</v>
      </c>
      <c r="P38" s="12">
        <v>32</v>
      </c>
      <c r="Q38" s="11">
        <v>60</v>
      </c>
      <c r="R38" s="11">
        <v>0</v>
      </c>
      <c r="S38" s="11">
        <v>102</v>
      </c>
      <c r="T38" s="12">
        <v>0</v>
      </c>
      <c r="U38" s="12">
        <v>19</v>
      </c>
      <c r="V38" s="13">
        <v>3.2903225806451615</v>
      </c>
      <c r="W38" s="13">
        <v>54.838709677419359</v>
      </c>
      <c r="X38" s="13">
        <v>5.3684210526315788</v>
      </c>
      <c r="Y38" s="14">
        <v>4.4210526315789478</v>
      </c>
      <c r="Z38" s="15">
        <v>3.1666666666666665</v>
      </c>
    </row>
    <row r="39" spans="1:26" ht="15.75" x14ac:dyDescent="0.25">
      <c r="A39" s="231"/>
      <c r="B39" s="266"/>
      <c r="C39" s="189" t="s">
        <v>50</v>
      </c>
      <c r="D39" s="22" t="s">
        <v>52</v>
      </c>
      <c r="E39" s="10">
        <v>31</v>
      </c>
      <c r="F39" s="10">
        <v>8</v>
      </c>
      <c r="G39" s="11">
        <v>3</v>
      </c>
      <c r="H39" s="11">
        <v>61</v>
      </c>
      <c r="I39" s="11">
        <v>24</v>
      </c>
      <c r="J39" s="11">
        <v>88</v>
      </c>
      <c r="K39" s="11">
        <v>5</v>
      </c>
      <c r="L39" s="11">
        <v>62</v>
      </c>
      <c r="M39" s="12">
        <v>8</v>
      </c>
      <c r="N39" s="11">
        <v>2</v>
      </c>
      <c r="O39" s="11">
        <v>6</v>
      </c>
      <c r="P39" s="12">
        <v>75</v>
      </c>
      <c r="Q39" s="11">
        <v>215</v>
      </c>
      <c r="R39" s="11">
        <v>0</v>
      </c>
      <c r="S39" s="11">
        <v>185</v>
      </c>
      <c r="T39" s="12">
        <v>13</v>
      </c>
      <c r="U39" s="12">
        <v>70</v>
      </c>
      <c r="V39" s="13">
        <v>5.967741935483871</v>
      </c>
      <c r="W39" s="13">
        <v>74.596774193548384</v>
      </c>
      <c r="X39" s="13">
        <v>2.6428571428571428</v>
      </c>
      <c r="Y39" s="14">
        <v>0.9</v>
      </c>
      <c r="Z39" s="15">
        <v>8.75</v>
      </c>
    </row>
    <row r="40" spans="1:26" ht="15.75" x14ac:dyDescent="0.25">
      <c r="A40" s="231"/>
      <c r="B40" s="266"/>
      <c r="C40" s="198" t="s">
        <v>50</v>
      </c>
      <c r="D40" s="22" t="s">
        <v>53</v>
      </c>
      <c r="E40" s="10">
        <v>31</v>
      </c>
      <c r="F40" s="10">
        <v>14</v>
      </c>
      <c r="G40" s="11">
        <v>8</v>
      </c>
      <c r="H40" s="11">
        <v>68</v>
      </c>
      <c r="I40" s="11">
        <v>7</v>
      </c>
      <c r="J40" s="11">
        <v>83</v>
      </c>
      <c r="K40" s="11">
        <v>7</v>
      </c>
      <c r="L40" s="11">
        <v>55</v>
      </c>
      <c r="M40" s="12">
        <v>7</v>
      </c>
      <c r="N40" s="11">
        <v>3</v>
      </c>
      <c r="O40" s="11">
        <v>4</v>
      </c>
      <c r="P40" s="12">
        <v>69</v>
      </c>
      <c r="Q40" s="11">
        <v>219</v>
      </c>
      <c r="R40" s="11">
        <v>0</v>
      </c>
      <c r="S40" s="11">
        <v>208</v>
      </c>
      <c r="T40" s="12">
        <v>14</v>
      </c>
      <c r="U40" s="12">
        <v>62</v>
      </c>
      <c r="V40" s="13">
        <v>6.709677419354839</v>
      </c>
      <c r="W40" s="13">
        <v>47.926267281105993</v>
      </c>
      <c r="X40" s="13">
        <v>3.3548387096774195</v>
      </c>
      <c r="Y40" s="23">
        <v>3.6451612903225805</v>
      </c>
      <c r="Z40" s="24">
        <v>4.4285714285714288</v>
      </c>
    </row>
    <row r="41" spans="1:26" ht="15.75" customHeight="1" x14ac:dyDescent="0.25">
      <c r="A41" s="231"/>
      <c r="B41" s="266"/>
      <c r="C41" s="189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 t="e">
        <v>#DIV/0!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31</v>
      </c>
      <c r="F42" s="17">
        <v>28</v>
      </c>
      <c r="G42" s="103">
        <v>18</v>
      </c>
      <c r="H42" s="17">
        <v>150</v>
      </c>
      <c r="I42" s="17">
        <v>35</v>
      </c>
      <c r="J42" s="17">
        <v>203</v>
      </c>
      <c r="K42" s="17">
        <v>25</v>
      </c>
      <c r="L42" s="17">
        <v>136</v>
      </c>
      <c r="M42" s="18">
        <v>15</v>
      </c>
      <c r="N42" s="17">
        <v>5</v>
      </c>
      <c r="O42" s="17">
        <v>10</v>
      </c>
      <c r="P42" s="18">
        <v>176</v>
      </c>
      <c r="Q42" s="17">
        <v>494</v>
      </c>
      <c r="R42" s="17">
        <v>0</v>
      </c>
      <c r="S42" s="17">
        <v>495</v>
      </c>
      <c r="T42" s="18">
        <v>27</v>
      </c>
      <c r="U42" s="18">
        <v>151</v>
      </c>
      <c r="V42" s="19">
        <v>15.96774193548387</v>
      </c>
      <c r="W42" s="19">
        <v>57.027649769585253</v>
      </c>
      <c r="X42" s="19">
        <v>3.2781456953642385</v>
      </c>
      <c r="Y42" s="20">
        <v>2.4701986754966887</v>
      </c>
      <c r="Z42" s="20">
        <v>5.3928571428571432</v>
      </c>
    </row>
    <row r="43" spans="1:26" ht="15.75" x14ac:dyDescent="0.25">
      <c r="A43" s="59"/>
      <c r="B43" s="266"/>
      <c r="C43" s="201" t="s">
        <v>54</v>
      </c>
      <c r="D43" s="22" t="s">
        <v>40</v>
      </c>
      <c r="E43" s="10">
        <v>31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4" t="e">
        <v>#DIV/0!</v>
      </c>
      <c r="Z43" s="15">
        <v>0</v>
      </c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31</v>
      </c>
      <c r="F44" s="10">
        <v>13</v>
      </c>
      <c r="G44" s="11">
        <v>11</v>
      </c>
      <c r="H44" s="11">
        <v>97</v>
      </c>
      <c r="I44" s="11">
        <v>16</v>
      </c>
      <c r="J44" s="11">
        <v>124</v>
      </c>
      <c r="K44" s="11">
        <v>4</v>
      </c>
      <c r="L44" s="11">
        <v>96</v>
      </c>
      <c r="M44" s="12">
        <v>10</v>
      </c>
      <c r="N44" s="11">
        <v>4</v>
      </c>
      <c r="O44" s="11">
        <v>6</v>
      </c>
      <c r="P44" s="12">
        <v>110</v>
      </c>
      <c r="Q44" s="11">
        <v>378</v>
      </c>
      <c r="R44" s="11">
        <v>0</v>
      </c>
      <c r="S44" s="11">
        <v>341</v>
      </c>
      <c r="T44" s="12">
        <v>14</v>
      </c>
      <c r="U44" s="12">
        <v>106</v>
      </c>
      <c r="V44" s="13">
        <v>11</v>
      </c>
      <c r="W44" s="13">
        <v>84.615384615384613</v>
      </c>
      <c r="X44" s="13">
        <v>3.2169811320754715</v>
      </c>
      <c r="Y44" s="14">
        <v>0.58490566037735847</v>
      </c>
      <c r="Z44" s="15">
        <v>8.1538461538461533</v>
      </c>
    </row>
    <row r="45" spans="1:26" ht="15.75" hidden="1" x14ac:dyDescent="0.25">
      <c r="A45" s="231"/>
      <c r="B45" s="266"/>
      <c r="C45" s="201" t="s">
        <v>54</v>
      </c>
      <c r="D45" s="21" t="s">
        <v>55</v>
      </c>
      <c r="E45" s="10">
        <v>31</v>
      </c>
      <c r="F45" s="10">
        <v>2</v>
      </c>
      <c r="G45" s="11">
        <v>0</v>
      </c>
      <c r="H45" s="11">
        <v>3</v>
      </c>
      <c r="I45" s="11">
        <v>0</v>
      </c>
      <c r="J45" s="11">
        <v>3</v>
      </c>
      <c r="K45" s="11">
        <v>2</v>
      </c>
      <c r="L45" s="11">
        <v>1</v>
      </c>
      <c r="M45" s="12">
        <v>0</v>
      </c>
      <c r="N45" s="11">
        <v>0</v>
      </c>
      <c r="O45" s="11">
        <v>0</v>
      </c>
      <c r="P45" s="12">
        <v>3</v>
      </c>
      <c r="Q45" s="11">
        <v>5</v>
      </c>
      <c r="R45" s="11">
        <v>0</v>
      </c>
      <c r="S45" s="11">
        <v>6</v>
      </c>
      <c r="T45" s="12">
        <v>0</v>
      </c>
      <c r="U45" s="12">
        <v>1</v>
      </c>
      <c r="V45" s="13">
        <v>0.19354838709677419</v>
      </c>
      <c r="W45" s="13">
        <v>9.67741935483871</v>
      </c>
      <c r="X45" s="13">
        <v>6</v>
      </c>
      <c r="Y45" s="14">
        <v>56</v>
      </c>
      <c r="Z45" s="15">
        <v>0.5</v>
      </c>
    </row>
    <row r="46" spans="1:26" ht="15.75" hidden="1" x14ac:dyDescent="0.25">
      <c r="A46" s="231"/>
      <c r="B46" s="266"/>
      <c r="C46" s="17" t="s">
        <v>54</v>
      </c>
      <c r="D46" s="16"/>
      <c r="E46" s="10">
        <v>31</v>
      </c>
      <c r="F46" s="17">
        <v>17</v>
      </c>
      <c r="G46" s="103">
        <v>11</v>
      </c>
      <c r="H46" s="17">
        <v>100</v>
      </c>
      <c r="I46" s="17">
        <v>16</v>
      </c>
      <c r="J46" s="17">
        <v>127</v>
      </c>
      <c r="K46" s="17">
        <v>6</v>
      </c>
      <c r="L46" s="17">
        <v>97</v>
      </c>
      <c r="M46" s="18">
        <v>10</v>
      </c>
      <c r="N46" s="17">
        <v>4</v>
      </c>
      <c r="O46" s="17">
        <v>6</v>
      </c>
      <c r="P46" s="18">
        <v>113</v>
      </c>
      <c r="Q46" s="17">
        <v>383</v>
      </c>
      <c r="R46" s="17">
        <v>0</v>
      </c>
      <c r="S46" s="17">
        <v>347</v>
      </c>
      <c r="T46" s="18">
        <v>14</v>
      </c>
      <c r="U46" s="18">
        <v>107</v>
      </c>
      <c r="V46" s="25">
        <v>11.193548387096774</v>
      </c>
      <c r="W46" s="19">
        <v>65.844402277039848</v>
      </c>
      <c r="X46" s="19">
        <v>3.2429906542056073</v>
      </c>
      <c r="Y46" s="20">
        <v>1.6822429906542056</v>
      </c>
      <c r="Z46" s="20">
        <v>6.2941176470588234</v>
      </c>
    </row>
    <row r="47" spans="1:26" ht="15.75" x14ac:dyDescent="0.25">
      <c r="A47" s="245">
        <v>13</v>
      </c>
      <c r="B47" s="266"/>
      <c r="C47" s="202" t="s">
        <v>61</v>
      </c>
      <c r="D47" s="22" t="s">
        <v>57</v>
      </c>
      <c r="E47" s="10">
        <v>31</v>
      </c>
      <c r="F47" s="11">
        <v>2</v>
      </c>
      <c r="G47" s="11">
        <v>0</v>
      </c>
      <c r="H47" s="11">
        <v>3</v>
      </c>
      <c r="I47" s="11">
        <v>1</v>
      </c>
      <c r="J47" s="11">
        <v>4</v>
      </c>
      <c r="K47" s="11">
        <v>1</v>
      </c>
      <c r="L47" s="11">
        <v>2</v>
      </c>
      <c r="M47" s="12">
        <v>0</v>
      </c>
      <c r="N47" s="11">
        <v>0</v>
      </c>
      <c r="O47" s="11">
        <v>0</v>
      </c>
      <c r="P47" s="12">
        <v>3</v>
      </c>
      <c r="Q47" s="11">
        <v>9</v>
      </c>
      <c r="R47" s="11">
        <v>0</v>
      </c>
      <c r="S47" s="11">
        <v>18</v>
      </c>
      <c r="T47" s="12">
        <v>1</v>
      </c>
      <c r="U47" s="12">
        <v>2</v>
      </c>
      <c r="V47" s="13">
        <v>0.58064516129032262</v>
      </c>
      <c r="W47" s="13">
        <v>29.032258064516132</v>
      </c>
      <c r="X47" s="13">
        <v>9</v>
      </c>
      <c r="Y47" s="14">
        <v>22</v>
      </c>
      <c r="Z47" s="15">
        <v>1</v>
      </c>
    </row>
    <row r="48" spans="1:26" ht="15.75" x14ac:dyDescent="0.25">
      <c r="A48" s="246"/>
      <c r="B48" s="266"/>
      <c r="C48" s="202" t="s">
        <v>61</v>
      </c>
      <c r="D48" s="99" t="s">
        <v>58</v>
      </c>
      <c r="E48" s="10">
        <v>31</v>
      </c>
      <c r="F48" s="26">
        <v>3</v>
      </c>
      <c r="G48" s="26">
        <v>0</v>
      </c>
      <c r="H48" s="26">
        <v>4</v>
      </c>
      <c r="I48" s="26">
        <v>1</v>
      </c>
      <c r="J48" s="11">
        <v>5</v>
      </c>
      <c r="K48" s="26">
        <v>2</v>
      </c>
      <c r="L48" s="26">
        <v>1</v>
      </c>
      <c r="M48" s="12">
        <v>2</v>
      </c>
      <c r="N48" s="26">
        <v>0</v>
      </c>
      <c r="O48" s="26">
        <v>2</v>
      </c>
      <c r="P48" s="12">
        <v>5</v>
      </c>
      <c r="Q48" s="26">
        <v>16</v>
      </c>
      <c r="R48" s="26">
        <v>0</v>
      </c>
      <c r="S48" s="26">
        <v>17</v>
      </c>
      <c r="T48" s="12">
        <v>0</v>
      </c>
      <c r="U48" s="12">
        <v>3</v>
      </c>
      <c r="V48" s="13">
        <v>0.54838709677419351</v>
      </c>
      <c r="W48" s="13">
        <v>18.279569892473116</v>
      </c>
      <c r="X48" s="13">
        <v>5.666666666666667</v>
      </c>
      <c r="Y48" s="14">
        <v>25.333333333333332</v>
      </c>
      <c r="Z48" s="15">
        <v>1</v>
      </c>
    </row>
    <row r="49" spans="1:26" ht="15.75" x14ac:dyDescent="0.25">
      <c r="A49" s="246"/>
      <c r="B49" s="266"/>
      <c r="C49" s="203" t="s">
        <v>61</v>
      </c>
      <c r="D49" s="99" t="s">
        <v>59</v>
      </c>
      <c r="E49" s="10">
        <v>31</v>
      </c>
      <c r="F49" s="26">
        <v>2</v>
      </c>
      <c r="G49" s="26">
        <v>2</v>
      </c>
      <c r="H49" s="26">
        <v>2</v>
      </c>
      <c r="I49" s="26">
        <v>0</v>
      </c>
      <c r="J49" s="11">
        <v>4</v>
      </c>
      <c r="K49" s="26">
        <v>2</v>
      </c>
      <c r="L49" s="26">
        <v>1</v>
      </c>
      <c r="M49" s="12">
        <v>1</v>
      </c>
      <c r="N49" s="26">
        <v>0</v>
      </c>
      <c r="O49" s="26">
        <v>1</v>
      </c>
      <c r="P49" s="12">
        <v>4</v>
      </c>
      <c r="Q49" s="26">
        <v>9</v>
      </c>
      <c r="R49" s="26">
        <v>0</v>
      </c>
      <c r="S49" s="26">
        <v>5</v>
      </c>
      <c r="T49" s="12">
        <v>0</v>
      </c>
      <c r="U49" s="12">
        <v>2</v>
      </c>
      <c r="V49" s="13">
        <v>0.16129032258064516</v>
      </c>
      <c r="W49" s="13">
        <v>8.064516129032258</v>
      </c>
      <c r="X49" s="13">
        <v>2.5</v>
      </c>
      <c r="Y49" s="14">
        <v>28.5</v>
      </c>
      <c r="Z49" s="15">
        <v>1</v>
      </c>
    </row>
    <row r="50" spans="1:26" ht="15.75" x14ac:dyDescent="0.25">
      <c r="A50" s="246"/>
      <c r="B50" s="266"/>
      <c r="C50" s="202" t="s">
        <v>61</v>
      </c>
      <c r="D50" s="99" t="s">
        <v>60</v>
      </c>
      <c r="E50" s="10">
        <v>31</v>
      </c>
      <c r="F50" s="26">
        <v>10</v>
      </c>
      <c r="G50" s="26">
        <v>8</v>
      </c>
      <c r="H50" s="26">
        <v>48</v>
      </c>
      <c r="I50" s="26">
        <v>5</v>
      </c>
      <c r="J50" s="11">
        <v>61</v>
      </c>
      <c r="K50" s="26">
        <v>1</v>
      </c>
      <c r="L50" s="26">
        <v>31</v>
      </c>
      <c r="M50" s="12">
        <v>24</v>
      </c>
      <c r="N50" s="26">
        <v>12</v>
      </c>
      <c r="O50" s="26">
        <v>12</v>
      </c>
      <c r="P50" s="12">
        <v>56</v>
      </c>
      <c r="Q50" s="26">
        <v>207</v>
      </c>
      <c r="R50" s="26">
        <v>1</v>
      </c>
      <c r="S50" s="26">
        <v>166</v>
      </c>
      <c r="T50" s="12">
        <v>5</v>
      </c>
      <c r="U50" s="12">
        <v>55</v>
      </c>
      <c r="V50" s="13">
        <v>5.354838709677419</v>
      </c>
      <c r="W50" s="13">
        <v>53.548387096774185</v>
      </c>
      <c r="X50" s="13">
        <v>3.0181818181818181</v>
      </c>
      <c r="Y50" s="14">
        <v>2.6181818181818182</v>
      </c>
      <c r="Z50" s="15">
        <v>5.5</v>
      </c>
    </row>
    <row r="51" spans="1:26" ht="15.75" x14ac:dyDescent="0.25">
      <c r="A51" s="247"/>
      <c r="B51" s="266"/>
      <c r="C51" s="17" t="s">
        <v>61</v>
      </c>
      <c r="D51" s="16"/>
      <c r="E51" s="10">
        <v>31</v>
      </c>
      <c r="F51" s="17">
        <v>17</v>
      </c>
      <c r="G51" s="103">
        <v>10</v>
      </c>
      <c r="H51" s="17">
        <v>57</v>
      </c>
      <c r="I51" s="17">
        <v>7</v>
      </c>
      <c r="J51" s="17">
        <v>74</v>
      </c>
      <c r="K51" s="17">
        <v>6</v>
      </c>
      <c r="L51" s="17">
        <v>35</v>
      </c>
      <c r="M51" s="18">
        <v>27</v>
      </c>
      <c r="N51" s="17">
        <v>12</v>
      </c>
      <c r="O51" s="17">
        <v>15</v>
      </c>
      <c r="P51" s="18">
        <v>68</v>
      </c>
      <c r="Q51" s="17">
        <v>241</v>
      </c>
      <c r="R51" s="17">
        <v>1</v>
      </c>
      <c r="S51" s="17">
        <v>206</v>
      </c>
      <c r="T51" s="18">
        <v>6</v>
      </c>
      <c r="U51" s="18">
        <v>62</v>
      </c>
      <c r="V51" s="19">
        <v>6.645161290322581</v>
      </c>
      <c r="W51" s="19">
        <v>39.089184060721067</v>
      </c>
      <c r="X51" s="19">
        <v>3.3225806451612905</v>
      </c>
      <c r="Y51" s="20">
        <v>5.17741935483871</v>
      </c>
      <c r="Z51" s="20">
        <v>3.6470588235294117</v>
      </c>
    </row>
    <row r="52" spans="1:26" ht="15.75" hidden="1" customHeight="1" x14ac:dyDescent="0.25">
      <c r="A52" s="145"/>
      <c r="B52" s="266"/>
      <c r="C52" s="11"/>
      <c r="D52" s="22"/>
      <c r="E52" s="11"/>
      <c r="F52" s="11"/>
      <c r="G52" s="11"/>
      <c r="H52" s="11"/>
      <c r="I52" s="11"/>
      <c r="J52" s="11"/>
      <c r="K52" s="11"/>
      <c r="L52" s="11"/>
      <c r="M52" s="12"/>
      <c r="N52" s="11"/>
      <c r="O52" s="11"/>
      <c r="P52" s="12"/>
      <c r="Q52" s="11"/>
      <c r="R52" s="11"/>
      <c r="S52" s="11"/>
      <c r="T52" s="12"/>
      <c r="U52" s="12"/>
      <c r="V52" s="13"/>
      <c r="W52" s="13"/>
      <c r="X52" s="13"/>
      <c r="Y52" s="15"/>
      <c r="Z52" s="15"/>
    </row>
    <row r="53" spans="1:26" ht="15.75" hidden="1" x14ac:dyDescent="0.25">
      <c r="A53" s="231">
        <v>14</v>
      </c>
      <c r="B53" s="266"/>
      <c r="C53" s="11" t="s">
        <v>62</v>
      </c>
      <c r="D53" s="22" t="s">
        <v>55</v>
      </c>
      <c r="E53" s="10">
        <v>31</v>
      </c>
      <c r="F53" s="11">
        <v>8</v>
      </c>
      <c r="G53" s="11">
        <v>4</v>
      </c>
      <c r="H53" s="11">
        <v>32</v>
      </c>
      <c r="I53" s="11">
        <v>2</v>
      </c>
      <c r="J53" s="11">
        <v>38</v>
      </c>
      <c r="K53" s="11">
        <v>3</v>
      </c>
      <c r="L53" s="11">
        <v>26</v>
      </c>
      <c r="M53" s="12">
        <v>3</v>
      </c>
      <c r="N53" s="11">
        <v>1</v>
      </c>
      <c r="O53" s="11">
        <v>2</v>
      </c>
      <c r="P53" s="12">
        <v>32</v>
      </c>
      <c r="Q53" s="11">
        <v>100</v>
      </c>
      <c r="R53" s="11">
        <v>0</v>
      </c>
      <c r="S53" s="11">
        <v>102</v>
      </c>
      <c r="T53" s="12">
        <v>6</v>
      </c>
      <c r="U53" s="12">
        <v>29</v>
      </c>
      <c r="V53" s="13">
        <v>3.2903225806451615</v>
      </c>
      <c r="W53" s="24">
        <v>41.12903225806452</v>
      </c>
      <c r="X53" s="24">
        <v>3.5172413793103448</v>
      </c>
      <c r="Y53" s="23">
        <v>5.0344827586206886</v>
      </c>
      <c r="Z53" s="24">
        <v>3.625</v>
      </c>
    </row>
    <row r="54" spans="1:26" ht="15.75" hidden="1" x14ac:dyDescent="0.25">
      <c r="A54" s="231"/>
      <c r="B54" s="266"/>
      <c r="C54" s="17" t="s">
        <v>62</v>
      </c>
      <c r="D54" s="16" t="s">
        <v>55</v>
      </c>
      <c r="E54" s="10">
        <v>31</v>
      </c>
      <c r="F54" s="17">
        <v>8</v>
      </c>
      <c r="G54" s="103">
        <v>4</v>
      </c>
      <c r="H54" s="17">
        <v>32</v>
      </c>
      <c r="I54" s="17">
        <v>2</v>
      </c>
      <c r="J54" s="17">
        <v>38</v>
      </c>
      <c r="K54" s="17">
        <v>3</v>
      </c>
      <c r="L54" s="17">
        <v>26</v>
      </c>
      <c r="M54" s="18">
        <v>3</v>
      </c>
      <c r="N54" s="17">
        <v>1</v>
      </c>
      <c r="O54" s="17">
        <v>2</v>
      </c>
      <c r="P54" s="18">
        <v>32</v>
      </c>
      <c r="Q54" s="17">
        <v>100</v>
      </c>
      <c r="R54" s="17">
        <v>0</v>
      </c>
      <c r="S54" s="17">
        <v>102</v>
      </c>
      <c r="T54" s="18">
        <v>6</v>
      </c>
      <c r="U54" s="18">
        <v>29</v>
      </c>
      <c r="V54" s="19">
        <v>3.2903225806451615</v>
      </c>
      <c r="W54" s="27">
        <v>41.12903225806452</v>
      </c>
      <c r="X54" s="27">
        <v>3.5172413793103448</v>
      </c>
      <c r="Y54" s="27">
        <v>5.0344827586206886</v>
      </c>
      <c r="Z54" s="27">
        <v>3.625</v>
      </c>
    </row>
    <row r="55" spans="1:26" ht="15.75" x14ac:dyDescent="0.25">
      <c r="A55" s="59"/>
      <c r="B55" s="266"/>
      <c r="C55" s="181" t="s">
        <v>63</v>
      </c>
      <c r="D55" s="22" t="s">
        <v>40</v>
      </c>
      <c r="E55" s="10">
        <v>31</v>
      </c>
      <c r="F55" s="11">
        <v>4</v>
      </c>
      <c r="G55" s="11">
        <v>0</v>
      </c>
      <c r="H55" s="11">
        <v>0</v>
      </c>
      <c r="I55" s="11">
        <v>0</v>
      </c>
      <c r="J55" s="11"/>
      <c r="K55" s="11">
        <v>0</v>
      </c>
      <c r="L55" s="11">
        <v>0</v>
      </c>
      <c r="M55" s="12"/>
      <c r="N55" s="11">
        <v>0</v>
      </c>
      <c r="O55" s="11">
        <v>0</v>
      </c>
      <c r="P55" s="12"/>
      <c r="Q55" s="11">
        <v>0</v>
      </c>
      <c r="R55" s="11">
        <v>0</v>
      </c>
      <c r="S55" s="11">
        <v>0</v>
      </c>
      <c r="T55" s="12">
        <v>0</v>
      </c>
      <c r="U55" s="12">
        <v>0</v>
      </c>
      <c r="V55" s="13">
        <v>0</v>
      </c>
      <c r="W55" s="13">
        <v>0</v>
      </c>
      <c r="X55" s="13" t="e">
        <v>#DIV/0!</v>
      </c>
      <c r="Y55" s="14" t="e">
        <v>#DIV/0!</v>
      </c>
      <c r="Z55" s="15">
        <v>0</v>
      </c>
    </row>
    <row r="56" spans="1:26" ht="15.75" x14ac:dyDescent="0.25">
      <c r="A56" s="231">
        <v>15</v>
      </c>
      <c r="B56" s="266"/>
      <c r="C56" s="182" t="s">
        <v>63</v>
      </c>
      <c r="D56" s="22" t="s">
        <v>34</v>
      </c>
      <c r="E56" s="10">
        <v>31</v>
      </c>
      <c r="F56" s="11">
        <v>14</v>
      </c>
      <c r="G56" s="11">
        <v>8</v>
      </c>
      <c r="H56" s="11">
        <v>125</v>
      </c>
      <c r="I56" s="11">
        <v>16</v>
      </c>
      <c r="J56" s="11">
        <v>149</v>
      </c>
      <c r="K56" s="11">
        <v>12</v>
      </c>
      <c r="L56" s="11">
        <v>104</v>
      </c>
      <c r="M56" s="11">
        <v>17</v>
      </c>
      <c r="N56" s="11">
        <v>7</v>
      </c>
      <c r="O56" s="11">
        <v>10</v>
      </c>
      <c r="P56" s="11">
        <v>133</v>
      </c>
      <c r="Q56" s="11">
        <v>451</v>
      </c>
      <c r="R56" s="11">
        <v>0</v>
      </c>
      <c r="S56" s="11">
        <v>420</v>
      </c>
      <c r="T56" s="11">
        <v>16</v>
      </c>
      <c r="U56" s="11">
        <v>121</v>
      </c>
      <c r="V56" s="15">
        <v>13.548387096774194</v>
      </c>
      <c r="W56" s="15">
        <v>96.774193548387103</v>
      </c>
      <c r="X56" s="15">
        <v>3.4710743801652892</v>
      </c>
      <c r="Y56" s="14">
        <v>0.11570247933884287</v>
      </c>
      <c r="Z56" s="15">
        <v>8.6428571428571423</v>
      </c>
    </row>
    <row r="57" spans="1:26" ht="15.75" hidden="1" x14ac:dyDescent="0.25">
      <c r="A57" s="231"/>
      <c r="B57" s="266"/>
      <c r="C57" s="17" t="s">
        <v>63</v>
      </c>
      <c r="D57" s="16"/>
      <c r="E57" s="10">
        <v>31</v>
      </c>
      <c r="F57" s="17">
        <v>18</v>
      </c>
      <c r="G57" s="103">
        <v>8</v>
      </c>
      <c r="H57" s="17">
        <v>125</v>
      </c>
      <c r="I57" s="17">
        <v>16</v>
      </c>
      <c r="J57" s="17">
        <v>149</v>
      </c>
      <c r="K57" s="17">
        <v>12</v>
      </c>
      <c r="L57" s="17">
        <v>104</v>
      </c>
      <c r="M57" s="17">
        <v>17</v>
      </c>
      <c r="N57" s="17">
        <v>7</v>
      </c>
      <c r="O57" s="17">
        <v>10</v>
      </c>
      <c r="P57" s="17">
        <v>133</v>
      </c>
      <c r="Q57" s="17">
        <v>451</v>
      </c>
      <c r="R57" s="17">
        <v>0</v>
      </c>
      <c r="S57" s="17">
        <v>420</v>
      </c>
      <c r="T57" s="17">
        <v>16</v>
      </c>
      <c r="U57" s="17">
        <v>121</v>
      </c>
      <c r="V57" s="20">
        <v>13.548387096774194</v>
      </c>
      <c r="W57" s="20">
        <v>75.268817204301072</v>
      </c>
      <c r="X57" s="20">
        <v>3.4710743801652892</v>
      </c>
      <c r="Y57" s="20">
        <v>1.140495867768595</v>
      </c>
      <c r="Z57" s="20">
        <v>6.7222222222222223</v>
      </c>
    </row>
    <row r="58" spans="1:26" ht="15.75" hidden="1" customHeight="1" x14ac:dyDescent="0.25">
      <c r="A58" s="59"/>
      <c r="B58" s="266"/>
      <c r="C58" s="248" t="s">
        <v>64</v>
      </c>
      <c r="D58" s="22" t="s">
        <v>112</v>
      </c>
      <c r="E58" s="10">
        <v>31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>
        <v>0</v>
      </c>
      <c r="U58" s="12">
        <v>0</v>
      </c>
      <c r="V58" s="13">
        <v>0</v>
      </c>
      <c r="W58" s="13" t="e">
        <v>#DIV/0!</v>
      </c>
      <c r="X58" s="13" t="e">
        <v>#DIV/0!</v>
      </c>
      <c r="Y58" s="14" t="e">
        <v>#DIV/0!</v>
      </c>
      <c r="Z58" s="15" t="e">
        <v>#DIV/0!</v>
      </c>
    </row>
    <row r="59" spans="1:26" ht="15.75" hidden="1" x14ac:dyDescent="0.25">
      <c r="A59" s="253">
        <v>16</v>
      </c>
      <c r="B59" s="266"/>
      <c r="C59" s="249"/>
      <c r="D59" s="21" t="s">
        <v>48</v>
      </c>
      <c r="E59" s="10">
        <v>31</v>
      </c>
      <c r="F59" s="10">
        <v>3</v>
      </c>
      <c r="G59" s="11">
        <v>0</v>
      </c>
      <c r="H59" s="10">
        <v>23</v>
      </c>
      <c r="I59" s="10">
        <v>26</v>
      </c>
      <c r="J59" s="11">
        <v>49</v>
      </c>
      <c r="K59" s="10">
        <v>34</v>
      </c>
      <c r="L59" s="10">
        <v>11</v>
      </c>
      <c r="M59" s="11">
        <v>0</v>
      </c>
      <c r="N59" s="10">
        <v>0</v>
      </c>
      <c r="O59" s="10">
        <v>0</v>
      </c>
      <c r="P59" s="11">
        <v>45</v>
      </c>
      <c r="Q59" s="10">
        <v>21</v>
      </c>
      <c r="R59" s="10">
        <v>0</v>
      </c>
      <c r="S59" s="10">
        <v>43</v>
      </c>
      <c r="T59" s="12">
        <v>4</v>
      </c>
      <c r="U59" s="12">
        <v>11</v>
      </c>
      <c r="V59" s="13">
        <v>1.3870967741935485</v>
      </c>
      <c r="W59" s="24">
        <v>46.236559139784951</v>
      </c>
      <c r="X59" s="24">
        <v>3.9090909090909092</v>
      </c>
      <c r="Y59" s="23">
        <v>4.5454545454545459</v>
      </c>
      <c r="Z59" s="24">
        <v>3.6666666666666665</v>
      </c>
    </row>
    <row r="60" spans="1:26" ht="15.75" hidden="1" x14ac:dyDescent="0.25">
      <c r="A60" s="253"/>
      <c r="B60" s="266"/>
      <c r="C60" s="249"/>
      <c r="D60" s="21" t="s">
        <v>38</v>
      </c>
      <c r="E60" s="10">
        <v>31</v>
      </c>
      <c r="F60" s="10">
        <v>8</v>
      </c>
      <c r="G60" s="11">
        <v>5</v>
      </c>
      <c r="H60" s="10">
        <v>64</v>
      </c>
      <c r="I60" s="10">
        <v>106</v>
      </c>
      <c r="J60" s="11">
        <v>175</v>
      </c>
      <c r="K60" s="10">
        <v>134</v>
      </c>
      <c r="L60" s="10">
        <v>32</v>
      </c>
      <c r="M60" s="11">
        <v>0</v>
      </c>
      <c r="N60" s="10">
        <v>0</v>
      </c>
      <c r="O60" s="10">
        <v>0</v>
      </c>
      <c r="P60" s="11">
        <v>166</v>
      </c>
      <c r="Q60" s="10">
        <v>85</v>
      </c>
      <c r="R60" s="10">
        <v>0</v>
      </c>
      <c r="S60" s="10">
        <v>149</v>
      </c>
      <c r="T60" s="12">
        <v>9</v>
      </c>
      <c r="U60" s="12">
        <v>32</v>
      </c>
      <c r="V60" s="13">
        <v>4.806451612903226</v>
      </c>
      <c r="W60" s="24">
        <v>60.080645161290327</v>
      </c>
      <c r="X60" s="24">
        <v>4.65625</v>
      </c>
      <c r="Y60" s="23">
        <v>3.09375</v>
      </c>
      <c r="Z60" s="24">
        <v>4</v>
      </c>
    </row>
    <row r="61" spans="1:26" ht="15.75" hidden="1" x14ac:dyDescent="0.25">
      <c r="A61" s="253"/>
      <c r="B61" s="266"/>
      <c r="C61" s="250"/>
      <c r="D61" s="21" t="s">
        <v>34</v>
      </c>
      <c r="E61" s="10">
        <v>31</v>
      </c>
      <c r="F61" s="10">
        <v>25</v>
      </c>
      <c r="G61" s="11">
        <v>22</v>
      </c>
      <c r="H61" s="10">
        <v>308</v>
      </c>
      <c r="I61" s="10">
        <v>281</v>
      </c>
      <c r="J61" s="11">
        <v>611</v>
      </c>
      <c r="K61" s="10">
        <v>126</v>
      </c>
      <c r="L61" s="10">
        <v>458</v>
      </c>
      <c r="M61" s="11">
        <v>0</v>
      </c>
      <c r="N61" s="10">
        <v>0</v>
      </c>
      <c r="O61" s="10">
        <v>0</v>
      </c>
      <c r="P61" s="11">
        <v>584</v>
      </c>
      <c r="Q61" s="10">
        <v>937</v>
      </c>
      <c r="R61" s="10">
        <v>0</v>
      </c>
      <c r="S61" s="10">
        <v>573</v>
      </c>
      <c r="T61" s="12">
        <v>27</v>
      </c>
      <c r="U61" s="12">
        <v>458</v>
      </c>
      <c r="V61" s="13">
        <v>18.483870967741936</v>
      </c>
      <c r="W61" s="24">
        <v>73.935483870967744</v>
      </c>
      <c r="X61" s="24">
        <v>1.2510917030567685</v>
      </c>
      <c r="Y61" s="23">
        <v>0.44104803493449779</v>
      </c>
      <c r="Z61" s="24">
        <v>18.32</v>
      </c>
    </row>
    <row r="62" spans="1:26" ht="15.75" hidden="1" x14ac:dyDescent="0.25">
      <c r="A62" s="253"/>
      <c r="B62" s="266"/>
      <c r="C62" s="17" t="s">
        <v>64</v>
      </c>
      <c r="D62" s="16"/>
      <c r="E62" s="10">
        <v>31</v>
      </c>
      <c r="F62" s="17">
        <v>36</v>
      </c>
      <c r="G62" s="103">
        <v>27</v>
      </c>
      <c r="H62" s="17">
        <v>395</v>
      </c>
      <c r="I62" s="17">
        <v>413</v>
      </c>
      <c r="J62" s="17">
        <v>835</v>
      </c>
      <c r="K62" s="17">
        <v>294</v>
      </c>
      <c r="L62" s="17">
        <v>501</v>
      </c>
      <c r="M62" s="17">
        <v>0</v>
      </c>
      <c r="N62" s="17">
        <v>0</v>
      </c>
      <c r="O62" s="17">
        <v>0</v>
      </c>
      <c r="P62" s="17">
        <v>795</v>
      </c>
      <c r="Q62" s="17">
        <v>1043</v>
      </c>
      <c r="R62" s="17">
        <v>0</v>
      </c>
      <c r="S62" s="17">
        <v>765</v>
      </c>
      <c r="T62" s="17">
        <v>40</v>
      </c>
      <c r="U62" s="17">
        <v>501</v>
      </c>
      <c r="V62" s="20">
        <v>24.677419354838708</v>
      </c>
      <c r="W62" s="20">
        <v>68.548387096774192</v>
      </c>
      <c r="X62" s="20">
        <v>1.5269461077844311</v>
      </c>
      <c r="Y62" s="20">
        <v>0.70059880239520966</v>
      </c>
      <c r="Z62" s="20">
        <v>13.916666666666666</v>
      </c>
    </row>
    <row r="63" spans="1:26" ht="15.75" hidden="1" x14ac:dyDescent="0.25">
      <c r="A63" s="253">
        <v>17</v>
      </c>
      <c r="B63" s="191"/>
      <c r="C63" s="11"/>
      <c r="D63" s="2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hidden="1" x14ac:dyDescent="0.25">
      <c r="A64" s="253"/>
      <c r="B64" s="192"/>
      <c r="C64" s="17"/>
      <c r="D64" s="16"/>
      <c r="E64" s="103"/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 t="e">
        <v>#DIV/0!</v>
      </c>
      <c r="W64" s="20" t="e">
        <v>#DIV/0!</v>
      </c>
      <c r="X64" s="20" t="e">
        <v>#DIV/0!</v>
      </c>
      <c r="Y64" s="20" t="e">
        <v>#DIV/0!</v>
      </c>
      <c r="Z64" s="20" t="e">
        <v>#DIV/0!</v>
      </c>
    </row>
    <row r="65" spans="1:26" ht="15.75" hidden="1" x14ac:dyDescent="0.25">
      <c r="A65" s="255" t="s">
        <v>65</v>
      </c>
      <c r="B65" s="255"/>
      <c r="C65" s="255"/>
      <c r="D65" s="255"/>
      <c r="E65" s="28">
        <v>31</v>
      </c>
      <c r="F65" s="29">
        <v>325</v>
      </c>
      <c r="G65" s="29">
        <v>206</v>
      </c>
      <c r="H65" s="29">
        <v>2124</v>
      </c>
      <c r="I65" s="29">
        <v>666</v>
      </c>
      <c r="J65" s="28">
        <v>2996</v>
      </c>
      <c r="K65" s="29">
        <v>462</v>
      </c>
      <c r="L65" s="29">
        <v>2030</v>
      </c>
      <c r="M65" s="28">
        <v>207</v>
      </c>
      <c r="N65" s="29">
        <v>83</v>
      </c>
      <c r="O65" s="29">
        <v>124</v>
      </c>
      <c r="P65" s="28">
        <v>2699</v>
      </c>
      <c r="Q65" s="29">
        <v>7590</v>
      </c>
      <c r="R65" s="29">
        <v>10</v>
      </c>
      <c r="S65" s="29">
        <v>6953</v>
      </c>
      <c r="T65" s="28">
        <v>297</v>
      </c>
      <c r="U65" s="28">
        <v>2237</v>
      </c>
      <c r="V65" s="30">
        <v>224.29032258064515</v>
      </c>
      <c r="W65" s="30">
        <v>69.01240694789081</v>
      </c>
      <c r="X65" s="30">
        <v>3.1081805990165399</v>
      </c>
      <c r="Y65" s="30">
        <v>1.395619132767099</v>
      </c>
      <c r="Z65" s="30">
        <v>6.8830769230769233</v>
      </c>
    </row>
    <row r="66" spans="1:26" ht="15.75" hidden="1" x14ac:dyDescent="0.25">
      <c r="A66" s="33" t="s">
        <v>66</v>
      </c>
      <c r="B66" s="34"/>
      <c r="C66" s="32"/>
      <c r="D66" s="32"/>
      <c r="E66" s="11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" hidden="1" customHeight="1" x14ac:dyDescent="0.25">
      <c r="A67" s="243" t="s">
        <v>1</v>
      </c>
      <c r="B67" s="243" t="s">
        <v>2</v>
      </c>
      <c r="C67" s="240" t="s">
        <v>3</v>
      </c>
      <c r="D67" s="240" t="s">
        <v>4</v>
      </c>
      <c r="E67" s="244" t="s">
        <v>5</v>
      </c>
      <c r="F67" s="240" t="s">
        <v>6</v>
      </c>
      <c r="G67" s="240" t="s">
        <v>7</v>
      </c>
      <c r="H67" s="240" t="s">
        <v>8</v>
      </c>
      <c r="I67" s="244" t="s">
        <v>9</v>
      </c>
      <c r="J67" s="240" t="s">
        <v>10</v>
      </c>
      <c r="K67" s="240" t="s">
        <v>11</v>
      </c>
      <c r="L67" s="240" t="s">
        <v>12</v>
      </c>
      <c r="M67" s="240" t="s">
        <v>13</v>
      </c>
      <c r="N67" s="240" t="s">
        <v>14</v>
      </c>
      <c r="O67" s="240" t="s">
        <v>15</v>
      </c>
      <c r="P67" s="240" t="s">
        <v>16</v>
      </c>
      <c r="Q67" s="240" t="s">
        <v>17</v>
      </c>
      <c r="R67" s="240" t="s">
        <v>18</v>
      </c>
      <c r="S67" s="240" t="s">
        <v>19</v>
      </c>
      <c r="T67" s="240" t="s">
        <v>20</v>
      </c>
      <c r="U67" s="241" t="s">
        <v>21</v>
      </c>
      <c r="V67" s="8" t="s">
        <v>22</v>
      </c>
      <c r="W67" s="8" t="s">
        <v>23</v>
      </c>
      <c r="X67" s="8" t="s">
        <v>24</v>
      </c>
      <c r="Y67" s="8" t="s">
        <v>25</v>
      </c>
      <c r="Z67" s="8" t="s">
        <v>26</v>
      </c>
    </row>
    <row r="68" spans="1:26" ht="15" hidden="1" customHeight="1" x14ac:dyDescent="0.25">
      <c r="A68" s="243"/>
      <c r="B68" s="243"/>
      <c r="C68" s="240"/>
      <c r="D68" s="240"/>
      <c r="E68" s="244"/>
      <c r="F68" s="240"/>
      <c r="G68" s="240"/>
      <c r="H68" s="240"/>
      <c r="I68" s="244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1"/>
      <c r="V68" s="238" t="s">
        <v>27</v>
      </c>
      <c r="W68" s="238" t="s">
        <v>28</v>
      </c>
      <c r="X68" s="238" t="s">
        <v>29</v>
      </c>
      <c r="Y68" s="238" t="s">
        <v>30</v>
      </c>
      <c r="Z68" s="238" t="s">
        <v>31</v>
      </c>
    </row>
    <row r="69" spans="1:26" ht="15" hidden="1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42"/>
      <c r="W69" s="238"/>
      <c r="X69" s="238"/>
      <c r="Y69" s="238"/>
      <c r="Z69" s="238"/>
    </row>
    <row r="70" spans="1:26" ht="15" hidden="1" customHeight="1" x14ac:dyDescent="0.25">
      <c r="A70" s="243"/>
      <c r="B70" s="243"/>
      <c r="C70" s="240"/>
      <c r="D70" s="240"/>
      <c r="E70" s="244"/>
      <c r="F70" s="240"/>
      <c r="G70" s="9">
        <v>1</v>
      </c>
      <c r="H70" s="9">
        <v>2</v>
      </c>
      <c r="I70" s="9">
        <v>3</v>
      </c>
      <c r="J70" s="9">
        <v>4</v>
      </c>
      <c r="K70" s="9">
        <v>5</v>
      </c>
      <c r="L70" s="9">
        <v>6</v>
      </c>
      <c r="M70" s="9">
        <v>7</v>
      </c>
      <c r="N70" s="9">
        <v>8</v>
      </c>
      <c r="O70" s="9">
        <v>9</v>
      </c>
      <c r="P70" s="9">
        <v>10</v>
      </c>
      <c r="Q70" s="9">
        <v>11</v>
      </c>
      <c r="R70" s="9">
        <v>12</v>
      </c>
      <c r="S70" s="9">
        <v>13</v>
      </c>
      <c r="T70" s="9">
        <v>14</v>
      </c>
      <c r="U70" s="241"/>
      <c r="V70" s="58">
        <v>15</v>
      </c>
      <c r="W70" s="58">
        <v>16</v>
      </c>
      <c r="X70" s="58">
        <v>17</v>
      </c>
      <c r="Y70" s="58">
        <v>18</v>
      </c>
      <c r="Z70" s="58">
        <v>19</v>
      </c>
    </row>
    <row r="71" spans="1:26" ht="15" hidden="1" customHeight="1" x14ac:dyDescent="0.25">
      <c r="A71" s="245">
        <v>1</v>
      </c>
      <c r="B71" s="245" t="s">
        <v>40</v>
      </c>
      <c r="C71" s="11" t="s">
        <v>69</v>
      </c>
      <c r="D71" s="11" t="s">
        <v>38</v>
      </c>
      <c r="E71" s="10">
        <v>31</v>
      </c>
      <c r="F71" s="11"/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5">
        <v>0</v>
      </c>
      <c r="W71" s="35" t="e">
        <v>#DIV/0!</v>
      </c>
      <c r="X71" s="35" t="e">
        <v>#DIV/0!</v>
      </c>
      <c r="Y71" s="36" t="e">
        <v>#DIV/0!</v>
      </c>
      <c r="Z71" s="35" t="e">
        <v>#DIV/0!</v>
      </c>
    </row>
    <row r="72" spans="1:26" ht="15" hidden="1" customHeight="1" x14ac:dyDescent="0.25">
      <c r="A72" s="247"/>
      <c r="B72" s="246"/>
      <c r="C72" s="17" t="s">
        <v>69</v>
      </c>
      <c r="D72" s="17"/>
      <c r="E72" s="10">
        <v>31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20">
        <v>0</v>
      </c>
      <c r="W72" s="37">
        <v>0</v>
      </c>
      <c r="X72" s="37" t="e">
        <v>#DIV/0!</v>
      </c>
      <c r="Y72" s="37" t="e">
        <v>#DIV/0!</v>
      </c>
      <c r="Z72" s="37" t="e">
        <v>#DIV/0!</v>
      </c>
    </row>
    <row r="73" spans="1:26" ht="15" hidden="1" customHeight="1" x14ac:dyDescent="0.25">
      <c r="A73" s="245">
        <v>2</v>
      </c>
      <c r="B73" s="246"/>
      <c r="C73" s="11" t="s">
        <v>70</v>
      </c>
      <c r="D73" s="11" t="s">
        <v>48</v>
      </c>
      <c r="E73" s="10">
        <v>31</v>
      </c>
      <c r="F73" s="11"/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5">
        <v>0</v>
      </c>
      <c r="W73" s="15" t="e">
        <v>#DIV/0!</v>
      </c>
      <c r="X73" s="15" t="e">
        <v>#DIV/0!</v>
      </c>
      <c r="Y73" s="14" t="e">
        <v>#DIV/0!</v>
      </c>
      <c r="Z73" s="15" t="e">
        <v>#DIV/0!</v>
      </c>
    </row>
    <row r="74" spans="1:26" ht="15" hidden="1" customHeight="1" x14ac:dyDescent="0.25">
      <c r="A74" s="247"/>
      <c r="B74" s="246"/>
      <c r="C74" s="17" t="s">
        <v>70</v>
      </c>
      <c r="D74" s="17"/>
      <c r="E74" s="10">
        <v>31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20">
        <v>0</v>
      </c>
      <c r="W74" s="20" t="e">
        <v>#DIV/0!</v>
      </c>
      <c r="X74" s="20" t="e">
        <v>#DIV/0!</v>
      </c>
      <c r="Y74" s="20" t="e">
        <v>#DIV/0!</v>
      </c>
      <c r="Z74" s="20" t="e">
        <v>#DIV/0!</v>
      </c>
    </row>
    <row r="75" spans="1:26" ht="15" hidden="1" customHeight="1" x14ac:dyDescent="0.25">
      <c r="A75" s="245">
        <v>3</v>
      </c>
      <c r="B75" s="246"/>
      <c r="C75" s="11" t="s">
        <v>63</v>
      </c>
      <c r="D75" s="11"/>
      <c r="E75" s="10">
        <v>31</v>
      </c>
      <c r="F75" s="11"/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5">
        <v>0</v>
      </c>
      <c r="W75" s="35" t="e">
        <v>#DIV/0!</v>
      </c>
      <c r="X75" s="35" t="e">
        <v>#DIV/0!</v>
      </c>
      <c r="Y75" s="36" t="e">
        <v>#DIV/0!</v>
      </c>
      <c r="Z75" s="35" t="e">
        <v>#DIV/0!</v>
      </c>
    </row>
    <row r="76" spans="1:26" ht="15" hidden="1" customHeight="1" x14ac:dyDescent="0.25">
      <c r="A76" s="247"/>
      <c r="B76" s="247"/>
      <c r="C76" s="17" t="s">
        <v>63</v>
      </c>
      <c r="D76" s="17"/>
      <c r="E76" s="10">
        <v>31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20">
        <v>0</v>
      </c>
      <c r="W76" s="37" t="e">
        <v>#DIV/0!</v>
      </c>
      <c r="X76" s="37" t="e">
        <v>#DIV/0!</v>
      </c>
      <c r="Y76" s="37" t="e">
        <v>#DIV/0!</v>
      </c>
      <c r="Z76" s="37" t="e">
        <v>#DIV/0!</v>
      </c>
    </row>
    <row r="77" spans="1:26" ht="15" hidden="1" customHeight="1" x14ac:dyDescent="0.25">
      <c r="A77" s="105" t="s">
        <v>71</v>
      </c>
      <c r="B77" s="105"/>
      <c r="C77" s="105"/>
      <c r="D77" s="105"/>
      <c r="E77" s="10">
        <v>31</v>
      </c>
      <c r="F77" s="29">
        <v>0</v>
      </c>
      <c r="G77" s="29">
        <v>0</v>
      </c>
      <c r="H77" s="29">
        <v>0</v>
      </c>
      <c r="I77" s="29">
        <v>0</v>
      </c>
      <c r="J77" s="28">
        <v>0</v>
      </c>
      <c r="K77" s="29">
        <v>0</v>
      </c>
      <c r="L77" s="29">
        <v>0</v>
      </c>
      <c r="M77" s="28">
        <v>0</v>
      </c>
      <c r="N77" s="29">
        <v>0</v>
      </c>
      <c r="O77" s="29">
        <v>0</v>
      </c>
      <c r="P77" s="28">
        <v>0</v>
      </c>
      <c r="Q77" s="29">
        <v>0</v>
      </c>
      <c r="R77" s="29">
        <v>0</v>
      </c>
      <c r="S77" s="29">
        <v>0</v>
      </c>
      <c r="T77" s="28">
        <v>0</v>
      </c>
      <c r="U77" s="28">
        <v>0</v>
      </c>
      <c r="V77" s="30">
        <v>0</v>
      </c>
      <c r="W77" s="30" t="e">
        <v>#DIV/0!</v>
      </c>
      <c r="X77" s="30" t="e">
        <v>#DIV/0!</v>
      </c>
      <c r="Y77" s="30" t="e">
        <v>#DIV/0!</v>
      </c>
      <c r="Z77" s="30" t="e">
        <v>#DIV/0!</v>
      </c>
    </row>
    <row r="78" spans="1:26" ht="15" hidden="1" customHeight="1" x14ac:dyDescent="0.25"/>
    <row r="79" spans="1:26" ht="15" hidden="1" customHeight="1" x14ac:dyDescent="0.25">
      <c r="A79" s="243" t="s">
        <v>1</v>
      </c>
      <c r="B79" s="243" t="s">
        <v>2</v>
      </c>
      <c r="C79" s="240" t="s">
        <v>3</v>
      </c>
      <c r="D79" s="240" t="s">
        <v>4</v>
      </c>
      <c r="E79" s="244" t="s">
        <v>5</v>
      </c>
      <c r="F79" s="240" t="s">
        <v>6</v>
      </c>
      <c r="G79" s="240" t="s">
        <v>7</v>
      </c>
      <c r="H79" s="240" t="s">
        <v>8</v>
      </c>
      <c r="I79" s="244" t="s">
        <v>9</v>
      </c>
      <c r="J79" s="240" t="s">
        <v>10</v>
      </c>
      <c r="K79" s="240" t="s">
        <v>11</v>
      </c>
      <c r="L79" s="240" t="s">
        <v>12</v>
      </c>
      <c r="M79" s="240" t="s">
        <v>13</v>
      </c>
      <c r="N79" s="240" t="s">
        <v>14</v>
      </c>
      <c r="O79" s="240" t="s">
        <v>15</v>
      </c>
      <c r="P79" s="240" t="s">
        <v>16</v>
      </c>
      <c r="Q79" s="240" t="s">
        <v>17</v>
      </c>
      <c r="R79" s="240" t="s">
        <v>18</v>
      </c>
      <c r="S79" s="240" t="s">
        <v>19</v>
      </c>
      <c r="T79" s="240" t="s">
        <v>20</v>
      </c>
      <c r="U79" s="241" t="s">
        <v>21</v>
      </c>
      <c r="V79" s="8" t="s">
        <v>22</v>
      </c>
      <c r="W79" s="8" t="s">
        <v>23</v>
      </c>
      <c r="X79" s="8" t="s">
        <v>24</v>
      </c>
      <c r="Y79" s="8" t="s">
        <v>25</v>
      </c>
      <c r="Z79" s="8" t="s">
        <v>26</v>
      </c>
    </row>
    <row r="80" spans="1:26" ht="15" hidden="1" customHeight="1" x14ac:dyDescent="0.25">
      <c r="A80" s="243"/>
      <c r="B80" s="243"/>
      <c r="C80" s="240"/>
      <c r="D80" s="240"/>
      <c r="E80" s="244"/>
      <c r="F80" s="240"/>
      <c r="G80" s="240"/>
      <c r="H80" s="240"/>
      <c r="I80" s="244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1"/>
      <c r="V80" s="238" t="s">
        <v>27</v>
      </c>
      <c r="W80" s="238" t="s">
        <v>28</v>
      </c>
      <c r="X80" s="238" t="s">
        <v>29</v>
      </c>
      <c r="Y80" s="238" t="s">
        <v>30</v>
      </c>
      <c r="Z80" s="238" t="s">
        <v>31</v>
      </c>
    </row>
    <row r="81" spans="1:26" hidden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42"/>
      <c r="W81" s="238"/>
      <c r="X81" s="238"/>
      <c r="Y81" s="238"/>
      <c r="Z81" s="238"/>
    </row>
    <row r="82" spans="1:26" hidden="1" x14ac:dyDescent="0.25">
      <c r="A82" s="243"/>
      <c r="B82" s="243"/>
      <c r="C82" s="240"/>
      <c r="D82" s="240"/>
      <c r="E82" s="244"/>
      <c r="F82" s="240"/>
      <c r="G82" s="9">
        <v>1</v>
      </c>
      <c r="H82" s="9">
        <v>2</v>
      </c>
      <c r="I82" s="9">
        <v>3</v>
      </c>
      <c r="J82" s="9">
        <v>4</v>
      </c>
      <c r="K82" s="9">
        <v>5</v>
      </c>
      <c r="L82" s="9">
        <v>6</v>
      </c>
      <c r="M82" s="9">
        <v>7</v>
      </c>
      <c r="N82" s="9">
        <v>8</v>
      </c>
      <c r="O82" s="9">
        <v>9</v>
      </c>
      <c r="P82" s="9">
        <v>10</v>
      </c>
      <c r="Q82" s="9">
        <v>11</v>
      </c>
      <c r="R82" s="9">
        <v>12</v>
      </c>
      <c r="S82" s="9">
        <v>13</v>
      </c>
      <c r="T82" s="9">
        <v>14</v>
      </c>
      <c r="U82" s="241"/>
      <c r="V82" s="58">
        <v>15</v>
      </c>
      <c r="W82" s="58">
        <v>16</v>
      </c>
      <c r="X82" s="58">
        <v>17</v>
      </c>
      <c r="Y82" s="58">
        <v>18</v>
      </c>
      <c r="Z82" s="58">
        <v>19</v>
      </c>
    </row>
    <row r="83" spans="1:26" ht="15.75" hidden="1" x14ac:dyDescent="0.25">
      <c r="A83" s="245">
        <v>1</v>
      </c>
      <c r="B83" s="245" t="s">
        <v>72</v>
      </c>
      <c r="C83" s="10" t="s">
        <v>69</v>
      </c>
      <c r="D83" s="10" t="s">
        <v>38</v>
      </c>
      <c r="E83" s="10">
        <v>31</v>
      </c>
      <c r="F83" s="10">
        <v>30</v>
      </c>
      <c r="G83" s="10">
        <v>23</v>
      </c>
      <c r="H83" s="10">
        <v>197</v>
      </c>
      <c r="I83" s="10">
        <v>23</v>
      </c>
      <c r="J83" s="11">
        <v>243</v>
      </c>
      <c r="K83" s="10">
        <v>107</v>
      </c>
      <c r="L83" s="10">
        <v>106</v>
      </c>
      <c r="M83" s="11">
        <v>2</v>
      </c>
      <c r="N83" s="10">
        <v>2</v>
      </c>
      <c r="O83" s="10">
        <v>0</v>
      </c>
      <c r="P83" s="11">
        <v>215</v>
      </c>
      <c r="Q83" s="10">
        <v>708</v>
      </c>
      <c r="R83" s="10">
        <v>0</v>
      </c>
      <c r="S83" s="10">
        <v>747</v>
      </c>
      <c r="T83" s="11">
        <v>28</v>
      </c>
      <c r="U83" s="11">
        <v>108</v>
      </c>
      <c r="V83" s="15">
        <v>24.096774193548388</v>
      </c>
      <c r="W83" s="15">
        <v>80.322580645161295</v>
      </c>
      <c r="X83" s="15">
        <v>6.916666666666667</v>
      </c>
      <c r="Y83" s="14">
        <v>1.6944444444444442</v>
      </c>
      <c r="Z83" s="15">
        <v>3.6</v>
      </c>
    </row>
    <row r="84" spans="1:26" ht="15.75" hidden="1" x14ac:dyDescent="0.25">
      <c r="A84" s="247"/>
      <c r="B84" s="246"/>
      <c r="C84" s="17" t="s">
        <v>69</v>
      </c>
      <c r="D84" s="17"/>
      <c r="E84" s="10">
        <v>31</v>
      </c>
      <c r="F84" s="41">
        <v>30</v>
      </c>
      <c r="G84" s="17">
        <v>23</v>
      </c>
      <c r="H84" s="17">
        <v>197</v>
      </c>
      <c r="I84" s="17">
        <v>23</v>
      </c>
      <c r="J84" s="17">
        <v>243</v>
      </c>
      <c r="K84" s="17">
        <v>107</v>
      </c>
      <c r="L84" s="17">
        <v>106</v>
      </c>
      <c r="M84" s="17">
        <v>2</v>
      </c>
      <c r="N84" s="17">
        <v>2</v>
      </c>
      <c r="O84" s="17">
        <v>0</v>
      </c>
      <c r="P84" s="17">
        <v>215</v>
      </c>
      <c r="Q84" s="17">
        <v>708</v>
      </c>
      <c r="R84" s="17">
        <v>0</v>
      </c>
      <c r="S84" s="17">
        <v>747</v>
      </c>
      <c r="T84" s="17">
        <v>28</v>
      </c>
      <c r="U84" s="17">
        <v>108</v>
      </c>
      <c r="V84" s="20">
        <v>24.096774193548388</v>
      </c>
      <c r="W84" s="20">
        <v>80.322580645161295</v>
      </c>
      <c r="X84" s="20">
        <v>6.916666666666667</v>
      </c>
      <c r="Y84" s="20">
        <v>1.6944444444444442</v>
      </c>
      <c r="Z84" s="20">
        <v>3.6</v>
      </c>
    </row>
    <row r="85" spans="1:26" ht="15.75" hidden="1" x14ac:dyDescent="0.25">
      <c r="A85" s="141"/>
      <c r="B85" s="246"/>
      <c r="C85" s="144"/>
      <c r="D85" s="11" t="s">
        <v>55</v>
      </c>
      <c r="E85" s="10">
        <v>31</v>
      </c>
      <c r="F85" s="11"/>
      <c r="G85" s="11">
        <v>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5"/>
      <c r="X85" s="15"/>
      <c r="Y85" s="15"/>
      <c r="Z85" s="15"/>
    </row>
    <row r="86" spans="1:26" ht="15.75" hidden="1" x14ac:dyDescent="0.25">
      <c r="A86" s="245">
        <v>2</v>
      </c>
      <c r="B86" s="246"/>
      <c r="C86" s="248" t="s">
        <v>73</v>
      </c>
      <c r="D86" s="10" t="s">
        <v>48</v>
      </c>
      <c r="E86" s="10">
        <v>31</v>
      </c>
      <c r="F86" s="10"/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5">
        <v>0</v>
      </c>
      <c r="W86" s="15" t="e">
        <v>#DIV/0!</v>
      </c>
      <c r="X86" s="15" t="e">
        <v>#DIV/0!</v>
      </c>
      <c r="Y86" s="14" t="e">
        <v>#DIV/0!</v>
      </c>
      <c r="Z86" s="15" t="e">
        <v>#DIV/0!</v>
      </c>
    </row>
    <row r="87" spans="1:26" ht="15.75" hidden="1" x14ac:dyDescent="0.25">
      <c r="A87" s="246"/>
      <c r="B87" s="246"/>
      <c r="C87" s="249"/>
      <c r="D87" s="10" t="s">
        <v>38</v>
      </c>
      <c r="E87" s="10">
        <v>31</v>
      </c>
      <c r="F87" s="10"/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5">
        <v>0</v>
      </c>
      <c r="W87" s="15" t="e">
        <v>#DIV/0!</v>
      </c>
      <c r="X87" s="15" t="e">
        <v>#DIV/0!</v>
      </c>
      <c r="Y87" s="14" t="e">
        <v>#DIV/0!</v>
      </c>
      <c r="Z87" s="15" t="e">
        <v>#DIV/0!</v>
      </c>
    </row>
    <row r="88" spans="1:26" ht="15.75" hidden="1" x14ac:dyDescent="0.25">
      <c r="A88" s="246"/>
      <c r="B88" s="246"/>
      <c r="C88" s="250"/>
      <c r="D88" s="10" t="s">
        <v>34</v>
      </c>
      <c r="E88" s="10">
        <v>31</v>
      </c>
      <c r="F88" s="10"/>
      <c r="G88" s="11">
        <v>10</v>
      </c>
      <c r="H88" s="11">
        <v>0</v>
      </c>
      <c r="I88" s="11">
        <v>0</v>
      </c>
      <c r="J88" s="11">
        <v>10</v>
      </c>
      <c r="K88" s="11">
        <v>10</v>
      </c>
      <c r="L88" s="11">
        <v>0</v>
      </c>
      <c r="M88" s="11">
        <v>0</v>
      </c>
      <c r="N88" s="11">
        <v>0</v>
      </c>
      <c r="O88" s="11">
        <v>0</v>
      </c>
      <c r="P88" s="11">
        <v>10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5">
        <v>0</v>
      </c>
      <c r="W88" s="15" t="e">
        <v>#DIV/0!</v>
      </c>
      <c r="X88" s="15" t="e">
        <v>#DIV/0!</v>
      </c>
      <c r="Y88" s="14" t="e">
        <v>#DIV/0!</v>
      </c>
      <c r="Z88" s="15" t="e">
        <v>#DIV/0!</v>
      </c>
    </row>
    <row r="89" spans="1:26" ht="15.75" hidden="1" x14ac:dyDescent="0.25">
      <c r="A89" s="247"/>
      <c r="B89" s="247"/>
      <c r="C89" s="17" t="s">
        <v>73</v>
      </c>
      <c r="D89" s="17"/>
      <c r="E89" s="10">
        <v>31</v>
      </c>
      <c r="F89" s="17">
        <v>0</v>
      </c>
      <c r="G89" s="17">
        <v>10</v>
      </c>
      <c r="H89" s="17">
        <v>0</v>
      </c>
      <c r="I89" s="17">
        <v>0</v>
      </c>
      <c r="J89" s="17">
        <v>10</v>
      </c>
      <c r="K89" s="17">
        <v>10</v>
      </c>
      <c r="L89" s="17">
        <v>0</v>
      </c>
      <c r="M89" s="17">
        <v>0</v>
      </c>
      <c r="N89" s="17">
        <v>0</v>
      </c>
      <c r="O89" s="17">
        <v>0</v>
      </c>
      <c r="P89" s="17">
        <v>10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20">
        <v>0</v>
      </c>
      <c r="W89" s="20" t="e">
        <v>#DIV/0!</v>
      </c>
      <c r="X89" s="20" t="e">
        <v>#DIV/0!</v>
      </c>
      <c r="Y89" s="20" t="e">
        <v>#DIV/0!</v>
      </c>
      <c r="Z89" s="20" t="e">
        <v>#DIV/0!</v>
      </c>
    </row>
    <row r="90" spans="1:26" ht="15.75" hidden="1" x14ac:dyDescent="0.25">
      <c r="A90" s="204" t="s">
        <v>74</v>
      </c>
      <c r="B90" s="105"/>
      <c r="C90" s="105"/>
      <c r="D90" s="105"/>
      <c r="E90" s="10">
        <v>31</v>
      </c>
      <c r="F90" s="29">
        <v>30</v>
      </c>
      <c r="G90" s="29">
        <v>33</v>
      </c>
      <c r="H90" s="29">
        <v>197</v>
      </c>
      <c r="I90" s="29">
        <v>23</v>
      </c>
      <c r="J90" s="28">
        <v>253</v>
      </c>
      <c r="K90" s="29">
        <v>117</v>
      </c>
      <c r="L90" s="29">
        <v>106</v>
      </c>
      <c r="M90" s="28">
        <v>2</v>
      </c>
      <c r="N90" s="29">
        <v>2</v>
      </c>
      <c r="O90" s="29">
        <v>0</v>
      </c>
      <c r="P90" s="28">
        <v>225</v>
      </c>
      <c r="Q90" s="29">
        <v>708</v>
      </c>
      <c r="R90" s="29">
        <v>0</v>
      </c>
      <c r="S90" s="29">
        <v>747</v>
      </c>
      <c r="T90" s="28">
        <v>28</v>
      </c>
      <c r="U90" s="28">
        <v>108</v>
      </c>
      <c r="V90" s="29">
        <v>24.096774193548388</v>
      </c>
      <c r="W90" s="30">
        <v>80.322580645161295</v>
      </c>
      <c r="X90" s="30">
        <v>6.916666666666667</v>
      </c>
      <c r="Y90" s="30">
        <v>1.6944444444444442</v>
      </c>
      <c r="Z90" s="30">
        <v>3.6</v>
      </c>
    </row>
    <row r="91" spans="1:26" ht="15.75" hidden="1" x14ac:dyDescent="0.25">
      <c r="A91" s="31"/>
      <c r="D91" s="32"/>
      <c r="E91" s="10"/>
      <c r="G91">
        <v>65</v>
      </c>
    </row>
    <row r="92" spans="1:26" ht="15" hidden="1" customHeight="1" x14ac:dyDescent="0.25">
      <c r="A92" s="243" t="s">
        <v>1</v>
      </c>
      <c r="B92" s="243" t="s">
        <v>2</v>
      </c>
      <c r="C92" s="240" t="s">
        <v>3</v>
      </c>
      <c r="D92" s="240" t="s">
        <v>4</v>
      </c>
      <c r="E92" s="244" t="s">
        <v>5</v>
      </c>
      <c r="F92" s="240" t="s">
        <v>6</v>
      </c>
      <c r="G92" s="240" t="s">
        <v>7</v>
      </c>
      <c r="H92" s="240" t="s">
        <v>8</v>
      </c>
      <c r="I92" s="244" t="s">
        <v>9</v>
      </c>
      <c r="J92" s="240" t="s">
        <v>10</v>
      </c>
      <c r="K92" s="240" t="s">
        <v>11</v>
      </c>
      <c r="L92" s="240" t="s">
        <v>12</v>
      </c>
      <c r="M92" s="240" t="s">
        <v>13</v>
      </c>
      <c r="N92" s="240" t="s">
        <v>14</v>
      </c>
      <c r="O92" s="240" t="s">
        <v>15</v>
      </c>
      <c r="P92" s="240" t="s">
        <v>16</v>
      </c>
      <c r="Q92" s="240" t="s">
        <v>17</v>
      </c>
      <c r="R92" s="240" t="s">
        <v>18</v>
      </c>
      <c r="S92" s="240" t="s">
        <v>19</v>
      </c>
      <c r="T92" s="240" t="s">
        <v>20</v>
      </c>
      <c r="U92" s="241" t="s">
        <v>21</v>
      </c>
      <c r="V92" s="8" t="s">
        <v>22</v>
      </c>
      <c r="W92" s="8" t="s">
        <v>23</v>
      </c>
      <c r="X92" s="8" t="s">
        <v>24</v>
      </c>
      <c r="Y92" s="8" t="s">
        <v>25</v>
      </c>
      <c r="Z92" s="8" t="s">
        <v>26</v>
      </c>
    </row>
    <row r="93" spans="1:26" ht="15" hidden="1" customHeight="1" x14ac:dyDescent="0.25">
      <c r="A93" s="243"/>
      <c r="B93" s="243"/>
      <c r="C93" s="240"/>
      <c r="D93" s="240"/>
      <c r="E93" s="244"/>
      <c r="F93" s="240"/>
      <c r="G93" s="240"/>
      <c r="H93" s="240"/>
      <c r="I93" s="244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1"/>
      <c r="V93" s="238" t="s">
        <v>27</v>
      </c>
      <c r="W93" s="238" t="s">
        <v>28</v>
      </c>
      <c r="X93" s="238" t="s">
        <v>29</v>
      </c>
      <c r="Y93" s="238" t="s">
        <v>30</v>
      </c>
      <c r="Z93" s="238" t="s">
        <v>31</v>
      </c>
    </row>
    <row r="94" spans="1:26" hidden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42"/>
      <c r="W94" s="238"/>
      <c r="X94" s="238"/>
      <c r="Y94" s="238"/>
      <c r="Z94" s="238"/>
    </row>
    <row r="95" spans="1:26" hidden="1" x14ac:dyDescent="0.25">
      <c r="A95" s="243"/>
      <c r="B95" s="243"/>
      <c r="C95" s="240"/>
      <c r="D95" s="240"/>
      <c r="E95" s="244"/>
      <c r="F95" s="240"/>
      <c r="G95" s="9">
        <v>1</v>
      </c>
      <c r="H95" s="9">
        <v>2</v>
      </c>
      <c r="I95" s="9">
        <v>3</v>
      </c>
      <c r="J95" s="9">
        <v>4</v>
      </c>
      <c r="K95" s="9">
        <v>5</v>
      </c>
      <c r="L95" s="9">
        <v>6</v>
      </c>
      <c r="M95" s="9">
        <v>7</v>
      </c>
      <c r="N95" s="9">
        <v>8</v>
      </c>
      <c r="O95" s="9">
        <v>9</v>
      </c>
      <c r="P95" s="9">
        <v>10</v>
      </c>
      <c r="Q95" s="9">
        <v>11</v>
      </c>
      <c r="R95" s="9">
        <v>12</v>
      </c>
      <c r="S95" s="9">
        <v>13</v>
      </c>
      <c r="T95" s="9">
        <v>14</v>
      </c>
      <c r="U95" s="241"/>
      <c r="V95" s="58">
        <v>15</v>
      </c>
      <c r="W95" s="58">
        <v>16</v>
      </c>
      <c r="X95" s="58">
        <v>17</v>
      </c>
      <c r="Y95" s="58">
        <v>18</v>
      </c>
      <c r="Z95" s="58">
        <v>19</v>
      </c>
    </row>
    <row r="96" spans="1:26" ht="15.75" hidden="1" x14ac:dyDescent="0.25">
      <c r="A96" s="245">
        <v>1</v>
      </c>
      <c r="B96" s="195" t="s">
        <v>75</v>
      </c>
      <c r="C96" s="10" t="s">
        <v>76</v>
      </c>
      <c r="D96" s="10" t="s">
        <v>48</v>
      </c>
      <c r="E96" s="10">
        <v>31</v>
      </c>
      <c r="F96" s="10">
        <v>14</v>
      </c>
      <c r="G96" s="11">
        <v>9</v>
      </c>
      <c r="H96" s="11">
        <v>15</v>
      </c>
      <c r="I96" s="11">
        <v>90</v>
      </c>
      <c r="J96" s="11">
        <v>114</v>
      </c>
      <c r="K96" s="11">
        <v>90</v>
      </c>
      <c r="L96" s="11">
        <v>0</v>
      </c>
      <c r="M96" s="11">
        <v>14</v>
      </c>
      <c r="N96" s="11">
        <v>1</v>
      </c>
      <c r="O96" s="11">
        <v>13</v>
      </c>
      <c r="P96" s="11">
        <v>104</v>
      </c>
      <c r="Q96" s="11">
        <v>138</v>
      </c>
      <c r="R96" s="11">
        <v>0</v>
      </c>
      <c r="S96" s="11">
        <v>329</v>
      </c>
      <c r="T96" s="11">
        <v>10</v>
      </c>
      <c r="U96" s="11">
        <v>14</v>
      </c>
      <c r="V96" s="15">
        <v>10.612903225806452</v>
      </c>
      <c r="W96" s="15">
        <v>75.806451612903231</v>
      </c>
      <c r="X96" s="15">
        <v>23.5</v>
      </c>
      <c r="Y96" s="14">
        <v>7.4999999999999991</v>
      </c>
      <c r="Z96" s="15">
        <v>1</v>
      </c>
    </row>
    <row r="97" spans="1:26" ht="15.75" hidden="1" x14ac:dyDescent="0.25">
      <c r="A97" s="247"/>
      <c r="B97" s="196"/>
      <c r="C97" s="17" t="s">
        <v>76</v>
      </c>
      <c r="D97" s="17" t="s">
        <v>48</v>
      </c>
      <c r="E97" s="10">
        <v>31</v>
      </c>
      <c r="F97" s="17">
        <v>14</v>
      </c>
      <c r="G97" s="17">
        <v>9</v>
      </c>
      <c r="H97" s="17">
        <v>15</v>
      </c>
      <c r="I97" s="17">
        <v>90</v>
      </c>
      <c r="J97" s="17">
        <v>114</v>
      </c>
      <c r="K97" s="17">
        <v>90</v>
      </c>
      <c r="L97" s="17">
        <v>0</v>
      </c>
      <c r="M97" s="17">
        <v>14</v>
      </c>
      <c r="N97" s="17">
        <v>1</v>
      </c>
      <c r="O97" s="17">
        <v>13</v>
      </c>
      <c r="P97" s="17">
        <v>104</v>
      </c>
      <c r="Q97" s="17">
        <v>138</v>
      </c>
      <c r="R97" s="17">
        <v>0</v>
      </c>
      <c r="S97" s="17">
        <v>329</v>
      </c>
      <c r="T97" s="17">
        <v>10</v>
      </c>
      <c r="U97" s="17">
        <v>14</v>
      </c>
      <c r="V97" s="20">
        <v>10.612903225806452</v>
      </c>
      <c r="W97" s="20">
        <v>75.806451612903231</v>
      </c>
      <c r="X97" s="20">
        <v>23.5</v>
      </c>
      <c r="Y97" s="20">
        <v>7.4999999999999991</v>
      </c>
      <c r="Z97" s="20">
        <v>1</v>
      </c>
    </row>
    <row r="98" spans="1:26" ht="15.75" hidden="1" x14ac:dyDescent="0.25">
      <c r="A98" s="245">
        <v>2</v>
      </c>
      <c r="B98" s="196"/>
      <c r="C98" s="10" t="s">
        <v>77</v>
      </c>
      <c r="D98" s="10" t="s">
        <v>48</v>
      </c>
      <c r="E98" s="10">
        <v>31</v>
      </c>
      <c r="F98" s="10">
        <v>5</v>
      </c>
      <c r="G98" s="11">
        <v>3</v>
      </c>
      <c r="H98" s="11">
        <v>81</v>
      </c>
      <c r="I98" s="11">
        <v>11</v>
      </c>
      <c r="J98" s="11">
        <v>95</v>
      </c>
      <c r="K98" s="11">
        <v>80</v>
      </c>
      <c r="L98" s="11">
        <v>2</v>
      </c>
      <c r="M98" s="11">
        <v>8</v>
      </c>
      <c r="N98" s="11">
        <v>6</v>
      </c>
      <c r="O98" s="11">
        <v>2</v>
      </c>
      <c r="P98" s="11">
        <v>90</v>
      </c>
      <c r="Q98" s="11">
        <v>14</v>
      </c>
      <c r="R98" s="11">
        <v>0</v>
      </c>
      <c r="S98" s="11">
        <v>98</v>
      </c>
      <c r="T98" s="11">
        <v>5</v>
      </c>
      <c r="U98" s="11">
        <v>10</v>
      </c>
      <c r="V98" s="15">
        <v>3.161290322580645</v>
      </c>
      <c r="W98" s="15">
        <v>63.225806451612897</v>
      </c>
      <c r="X98" s="15">
        <v>9.8000000000000007</v>
      </c>
      <c r="Y98" s="14">
        <v>5.7000000000000011</v>
      </c>
      <c r="Z98" s="15">
        <v>2</v>
      </c>
    </row>
    <row r="99" spans="1:26" ht="15.75" hidden="1" x14ac:dyDescent="0.25">
      <c r="A99" s="247"/>
      <c r="B99" s="196"/>
      <c r="C99" s="17" t="s">
        <v>77</v>
      </c>
      <c r="D99" s="17" t="s">
        <v>48</v>
      </c>
      <c r="E99" s="10">
        <v>31</v>
      </c>
      <c r="F99" s="17">
        <v>5</v>
      </c>
      <c r="G99" s="17">
        <v>3</v>
      </c>
      <c r="H99" s="17">
        <v>81</v>
      </c>
      <c r="I99" s="17">
        <v>11</v>
      </c>
      <c r="J99" s="17">
        <v>95</v>
      </c>
      <c r="K99" s="17">
        <v>80</v>
      </c>
      <c r="L99" s="17">
        <v>2</v>
      </c>
      <c r="M99" s="17">
        <v>8</v>
      </c>
      <c r="N99" s="17">
        <v>6</v>
      </c>
      <c r="O99" s="17">
        <v>2</v>
      </c>
      <c r="P99" s="17">
        <v>90</v>
      </c>
      <c r="Q99" s="17">
        <v>14</v>
      </c>
      <c r="R99" s="17">
        <v>0</v>
      </c>
      <c r="S99" s="17">
        <v>98</v>
      </c>
      <c r="T99" s="17">
        <v>5</v>
      </c>
      <c r="U99" s="17">
        <v>10</v>
      </c>
      <c r="V99" s="20">
        <v>3.161290322580645</v>
      </c>
      <c r="W99" s="20">
        <v>63.225806451612897</v>
      </c>
      <c r="X99" s="20">
        <v>9.8000000000000007</v>
      </c>
      <c r="Y99" s="20">
        <v>5.7000000000000011</v>
      </c>
      <c r="Z99" s="20">
        <v>2</v>
      </c>
    </row>
    <row r="100" spans="1:26" ht="15.75" hidden="1" x14ac:dyDescent="0.25">
      <c r="A100" s="245">
        <v>3</v>
      </c>
      <c r="B100" s="196"/>
      <c r="C100" s="10" t="s">
        <v>78</v>
      </c>
      <c r="D100" s="10" t="s">
        <v>48</v>
      </c>
      <c r="E100" s="10">
        <v>31</v>
      </c>
      <c r="F100" s="10">
        <v>3</v>
      </c>
      <c r="G100" s="43">
        <v>1</v>
      </c>
      <c r="H100" s="43">
        <v>13</v>
      </c>
      <c r="I100" s="43">
        <v>11</v>
      </c>
      <c r="J100" s="11">
        <v>25</v>
      </c>
      <c r="K100" s="43">
        <v>19</v>
      </c>
      <c r="L100" s="43">
        <v>0</v>
      </c>
      <c r="M100" s="11">
        <v>3</v>
      </c>
      <c r="N100" s="43">
        <v>3</v>
      </c>
      <c r="O100" s="43">
        <v>0</v>
      </c>
      <c r="P100" s="11">
        <v>22</v>
      </c>
      <c r="Q100" s="43">
        <v>6</v>
      </c>
      <c r="R100" s="43">
        <v>0</v>
      </c>
      <c r="S100" s="43">
        <v>71</v>
      </c>
      <c r="T100" s="11">
        <v>3</v>
      </c>
      <c r="U100" s="11">
        <v>3</v>
      </c>
      <c r="V100" s="15">
        <v>2.2903225806451615</v>
      </c>
      <c r="W100" s="15">
        <v>76.34408602150539</v>
      </c>
      <c r="X100" s="15">
        <v>23.666666666666668</v>
      </c>
      <c r="Y100" s="14">
        <v>7.3333333333333313</v>
      </c>
      <c r="Z100" s="15">
        <v>1</v>
      </c>
    </row>
    <row r="101" spans="1:26" ht="15.75" hidden="1" x14ac:dyDescent="0.25">
      <c r="A101" s="247"/>
      <c r="B101" s="196"/>
      <c r="C101" s="17" t="s">
        <v>78</v>
      </c>
      <c r="D101" s="17" t="s">
        <v>48</v>
      </c>
      <c r="E101" s="10">
        <v>31</v>
      </c>
      <c r="F101" s="17">
        <v>3</v>
      </c>
      <c r="G101" s="17">
        <v>1</v>
      </c>
      <c r="H101" s="17">
        <v>13</v>
      </c>
      <c r="I101" s="17">
        <v>11</v>
      </c>
      <c r="J101" s="17">
        <v>25</v>
      </c>
      <c r="K101" s="17">
        <v>19</v>
      </c>
      <c r="L101" s="17">
        <v>0</v>
      </c>
      <c r="M101" s="17">
        <v>3</v>
      </c>
      <c r="N101" s="17">
        <v>3</v>
      </c>
      <c r="O101" s="17">
        <v>0</v>
      </c>
      <c r="P101" s="17">
        <v>22</v>
      </c>
      <c r="Q101" s="17">
        <v>6</v>
      </c>
      <c r="R101" s="17">
        <v>0</v>
      </c>
      <c r="S101" s="17">
        <v>71</v>
      </c>
      <c r="T101" s="17">
        <v>3</v>
      </c>
      <c r="U101" s="17">
        <v>3</v>
      </c>
      <c r="V101" s="20">
        <v>2.2903225806451615</v>
      </c>
      <c r="W101" s="20">
        <v>76.34408602150539</v>
      </c>
      <c r="X101" s="20">
        <v>23.666666666666668</v>
      </c>
      <c r="Y101" s="20">
        <v>7.3333333333333313</v>
      </c>
      <c r="Z101" s="20">
        <v>1</v>
      </c>
    </row>
    <row r="102" spans="1:26" ht="15.75" hidden="1" x14ac:dyDescent="0.25">
      <c r="A102" s="245">
        <v>4</v>
      </c>
      <c r="B102" s="196"/>
      <c r="C102" s="11" t="s">
        <v>79</v>
      </c>
      <c r="D102" s="11" t="s">
        <v>48</v>
      </c>
      <c r="E102" s="10">
        <v>31</v>
      </c>
      <c r="F102" s="11">
        <v>5</v>
      </c>
      <c r="G102" s="11">
        <v>4</v>
      </c>
      <c r="H102" s="11">
        <v>8</v>
      </c>
      <c r="I102" s="11">
        <v>15</v>
      </c>
      <c r="J102" s="11">
        <v>27</v>
      </c>
      <c r="K102" s="11">
        <v>19</v>
      </c>
      <c r="L102" s="11">
        <v>0</v>
      </c>
      <c r="M102" s="11">
        <v>3</v>
      </c>
      <c r="N102" s="11">
        <v>2</v>
      </c>
      <c r="O102" s="11">
        <v>1</v>
      </c>
      <c r="P102" s="11">
        <v>22</v>
      </c>
      <c r="Q102" s="11">
        <v>26</v>
      </c>
      <c r="R102" s="11">
        <v>1</v>
      </c>
      <c r="S102" s="11">
        <v>128</v>
      </c>
      <c r="T102" s="11">
        <v>5</v>
      </c>
      <c r="U102" s="11">
        <v>3</v>
      </c>
      <c r="V102" s="15">
        <v>4.129032258064516</v>
      </c>
      <c r="W102" s="15">
        <v>82.58064516129032</v>
      </c>
      <c r="X102" s="15">
        <v>42.666666666666664</v>
      </c>
      <c r="Y102" s="14">
        <v>9.0000000000000018</v>
      </c>
      <c r="Z102" s="15">
        <v>0.6</v>
      </c>
    </row>
    <row r="103" spans="1:26" ht="15.75" hidden="1" x14ac:dyDescent="0.25">
      <c r="A103" s="247"/>
      <c r="B103" s="196"/>
      <c r="C103" s="17" t="s">
        <v>79</v>
      </c>
      <c r="D103" s="17" t="s">
        <v>48</v>
      </c>
      <c r="E103" s="10">
        <v>31</v>
      </c>
      <c r="F103" s="17">
        <v>5</v>
      </c>
      <c r="G103" s="17">
        <v>4</v>
      </c>
      <c r="H103" s="17">
        <v>8</v>
      </c>
      <c r="I103" s="17">
        <v>15</v>
      </c>
      <c r="J103" s="17">
        <v>27</v>
      </c>
      <c r="K103" s="17">
        <v>19</v>
      </c>
      <c r="L103" s="17">
        <v>0</v>
      </c>
      <c r="M103" s="17">
        <v>3</v>
      </c>
      <c r="N103" s="17">
        <v>2</v>
      </c>
      <c r="O103" s="17">
        <v>1</v>
      </c>
      <c r="P103" s="17">
        <v>22</v>
      </c>
      <c r="Q103" s="17">
        <v>26</v>
      </c>
      <c r="R103" s="17">
        <v>1</v>
      </c>
      <c r="S103" s="17">
        <v>128</v>
      </c>
      <c r="T103" s="17">
        <v>5</v>
      </c>
      <c r="U103" s="17">
        <v>3</v>
      </c>
      <c r="V103" s="20">
        <v>4.129032258064516</v>
      </c>
      <c r="W103" s="20">
        <v>82.58064516129032</v>
      </c>
      <c r="X103" s="20">
        <v>42.666666666666664</v>
      </c>
      <c r="Y103" s="20">
        <v>9.0000000000000018</v>
      </c>
      <c r="Z103" s="20">
        <v>0.6</v>
      </c>
    </row>
    <row r="104" spans="1:26" ht="15.75" hidden="1" x14ac:dyDescent="0.25">
      <c r="A104" s="245">
        <v>5</v>
      </c>
      <c r="B104" s="196"/>
      <c r="C104" s="11" t="s">
        <v>80</v>
      </c>
      <c r="D104" s="11" t="s">
        <v>48</v>
      </c>
      <c r="E104" s="10">
        <v>31</v>
      </c>
      <c r="F104" s="11">
        <v>4</v>
      </c>
      <c r="G104" s="11">
        <v>4</v>
      </c>
      <c r="H104" s="11">
        <v>17</v>
      </c>
      <c r="I104" s="11">
        <v>9</v>
      </c>
      <c r="J104" s="11">
        <v>30</v>
      </c>
      <c r="K104" s="11">
        <v>19</v>
      </c>
      <c r="L104" s="11">
        <v>0</v>
      </c>
      <c r="M104" s="11">
        <v>10</v>
      </c>
      <c r="N104" s="11">
        <v>7</v>
      </c>
      <c r="O104" s="11">
        <v>3</v>
      </c>
      <c r="P104" s="11">
        <v>29</v>
      </c>
      <c r="Q104" s="11">
        <v>30</v>
      </c>
      <c r="R104" s="11">
        <v>1</v>
      </c>
      <c r="S104" s="11">
        <v>79</v>
      </c>
      <c r="T104" s="11">
        <v>1</v>
      </c>
      <c r="U104" s="11">
        <v>10</v>
      </c>
      <c r="V104" s="15">
        <v>2.5483870967741935</v>
      </c>
      <c r="W104" s="15">
        <v>63.70967741935484</v>
      </c>
      <c r="X104" s="15">
        <v>7.9</v>
      </c>
      <c r="Y104" s="14">
        <v>4.5</v>
      </c>
      <c r="Z104" s="15">
        <v>2.5</v>
      </c>
    </row>
    <row r="105" spans="1:26" ht="15.75" hidden="1" x14ac:dyDescent="0.25">
      <c r="A105" s="247"/>
      <c r="B105" s="196"/>
      <c r="C105" s="17" t="s">
        <v>80</v>
      </c>
      <c r="D105" s="17" t="s">
        <v>48</v>
      </c>
      <c r="E105" s="10">
        <v>31</v>
      </c>
      <c r="F105" s="17">
        <v>4</v>
      </c>
      <c r="G105" s="17">
        <v>4</v>
      </c>
      <c r="H105" s="17">
        <v>17</v>
      </c>
      <c r="I105" s="17">
        <v>9</v>
      </c>
      <c r="J105" s="17">
        <v>30</v>
      </c>
      <c r="K105" s="17">
        <v>19</v>
      </c>
      <c r="L105" s="17">
        <v>0</v>
      </c>
      <c r="M105" s="17">
        <v>10</v>
      </c>
      <c r="N105" s="17">
        <v>7</v>
      </c>
      <c r="O105" s="17">
        <v>3</v>
      </c>
      <c r="P105" s="17">
        <v>29</v>
      </c>
      <c r="Q105" s="17">
        <v>30</v>
      </c>
      <c r="R105" s="17">
        <v>1</v>
      </c>
      <c r="S105" s="17">
        <v>79</v>
      </c>
      <c r="T105" s="17">
        <v>1</v>
      </c>
      <c r="U105" s="17">
        <v>10</v>
      </c>
      <c r="V105" s="20">
        <v>2.5483870967741935</v>
      </c>
      <c r="W105" s="20">
        <v>63.70967741935484</v>
      </c>
      <c r="X105" s="20">
        <v>7.9</v>
      </c>
      <c r="Y105" s="20">
        <v>4.5</v>
      </c>
      <c r="Z105" s="20">
        <v>2.5</v>
      </c>
    </row>
    <row r="106" spans="1:26" ht="15.75" hidden="1" x14ac:dyDescent="0.25">
      <c r="A106" s="245">
        <v>6</v>
      </c>
      <c r="B106" s="196"/>
      <c r="C106" s="11" t="s">
        <v>70</v>
      </c>
      <c r="D106" s="11" t="s">
        <v>48</v>
      </c>
      <c r="E106" s="10">
        <v>31</v>
      </c>
      <c r="F106" s="11">
        <v>2</v>
      </c>
      <c r="G106" s="11">
        <v>2</v>
      </c>
      <c r="H106" s="11">
        <v>11</v>
      </c>
      <c r="I106" s="11">
        <v>4</v>
      </c>
      <c r="J106" s="11">
        <v>17</v>
      </c>
      <c r="K106" s="11">
        <v>9</v>
      </c>
      <c r="L106" s="11">
        <v>1</v>
      </c>
      <c r="M106" s="11">
        <v>6</v>
      </c>
      <c r="N106" s="11">
        <v>3</v>
      </c>
      <c r="O106" s="11">
        <v>3</v>
      </c>
      <c r="P106" s="11">
        <v>16</v>
      </c>
      <c r="Q106" s="11">
        <v>20</v>
      </c>
      <c r="R106" s="11">
        <v>0</v>
      </c>
      <c r="S106" s="11">
        <v>48</v>
      </c>
      <c r="T106" s="11">
        <v>1</v>
      </c>
      <c r="U106" s="11">
        <v>7</v>
      </c>
      <c r="V106" s="44">
        <v>1.5483870967741935</v>
      </c>
      <c r="W106" s="44">
        <v>77.41935483870968</v>
      </c>
      <c r="X106" s="44">
        <v>6.8571428571428568</v>
      </c>
      <c r="Y106" s="45">
        <v>2.0000000000000004</v>
      </c>
      <c r="Z106" s="44">
        <v>3.5</v>
      </c>
    </row>
    <row r="107" spans="1:26" ht="15.75" hidden="1" x14ac:dyDescent="0.25">
      <c r="A107" s="247"/>
      <c r="B107" s="196"/>
      <c r="C107" s="17" t="s">
        <v>70</v>
      </c>
      <c r="D107" s="17"/>
      <c r="E107" s="10">
        <v>31</v>
      </c>
      <c r="F107" s="17">
        <v>2</v>
      </c>
      <c r="G107" s="17">
        <v>2</v>
      </c>
      <c r="H107" s="17">
        <v>11</v>
      </c>
      <c r="I107" s="17">
        <v>4</v>
      </c>
      <c r="J107" s="17">
        <v>17</v>
      </c>
      <c r="K107" s="17">
        <v>9</v>
      </c>
      <c r="L107" s="17">
        <v>1</v>
      </c>
      <c r="M107" s="17">
        <v>6</v>
      </c>
      <c r="N107" s="17">
        <v>3</v>
      </c>
      <c r="O107" s="17">
        <v>3</v>
      </c>
      <c r="P107" s="17">
        <v>16</v>
      </c>
      <c r="Q107" s="17">
        <v>20</v>
      </c>
      <c r="R107" s="17">
        <v>0</v>
      </c>
      <c r="S107" s="17">
        <v>48</v>
      </c>
      <c r="T107" s="17">
        <v>1</v>
      </c>
      <c r="U107" s="17">
        <v>7</v>
      </c>
      <c r="V107" s="46">
        <v>1.5483870967741935</v>
      </c>
      <c r="W107" s="46">
        <v>77.41935483870968</v>
      </c>
      <c r="X107" s="46">
        <v>6.8571428571428568</v>
      </c>
      <c r="Y107" s="46">
        <v>2.0000000000000004</v>
      </c>
      <c r="Z107" s="46">
        <v>3.5</v>
      </c>
    </row>
    <row r="108" spans="1:26" ht="15.75" hidden="1" x14ac:dyDescent="0.25">
      <c r="A108" s="245">
        <v>7</v>
      </c>
      <c r="B108" s="196"/>
      <c r="C108" s="11" t="s">
        <v>81</v>
      </c>
      <c r="D108" s="11" t="s">
        <v>48</v>
      </c>
      <c r="E108" s="10">
        <v>31</v>
      </c>
      <c r="F108" s="11"/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5">
        <v>0</v>
      </c>
      <c r="W108" s="15" t="e">
        <v>#DIV/0!</v>
      </c>
      <c r="X108" s="15" t="e">
        <v>#DIV/0!</v>
      </c>
      <c r="Y108" s="14" t="e">
        <v>#DIV/0!</v>
      </c>
      <c r="Z108" s="15" t="e">
        <v>#DIV/0!</v>
      </c>
    </row>
    <row r="109" spans="1:26" ht="15.75" hidden="1" x14ac:dyDescent="0.25">
      <c r="A109" s="247"/>
      <c r="B109" s="196"/>
      <c r="C109" s="17" t="s">
        <v>81</v>
      </c>
      <c r="D109" s="17" t="s">
        <v>48</v>
      </c>
      <c r="E109" s="10">
        <v>31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20">
        <v>0</v>
      </c>
      <c r="W109" s="20" t="e">
        <v>#DIV/0!</v>
      </c>
      <c r="X109" s="20" t="e">
        <v>#DIV/0!</v>
      </c>
      <c r="Y109" s="20" t="e">
        <v>#DIV/0!</v>
      </c>
      <c r="Z109" s="20" t="e">
        <v>#DIV/0!</v>
      </c>
    </row>
    <row r="110" spans="1:26" ht="15.75" x14ac:dyDescent="0.25">
      <c r="A110" s="245">
        <v>8</v>
      </c>
      <c r="B110" s="196"/>
      <c r="C110" s="11" t="s">
        <v>82</v>
      </c>
      <c r="D110" s="11" t="s">
        <v>38</v>
      </c>
      <c r="E110" s="10">
        <v>31</v>
      </c>
      <c r="F110" s="11"/>
      <c r="G110" s="11">
        <v>5</v>
      </c>
      <c r="H110" s="11">
        <v>299</v>
      </c>
      <c r="I110" s="11">
        <v>4</v>
      </c>
      <c r="J110" s="11">
        <v>308</v>
      </c>
      <c r="K110" s="11">
        <v>292</v>
      </c>
      <c r="L110" s="11">
        <v>4</v>
      </c>
      <c r="M110" s="11">
        <v>6</v>
      </c>
      <c r="N110" s="11">
        <v>6</v>
      </c>
      <c r="O110" s="11">
        <v>0</v>
      </c>
      <c r="P110" s="11">
        <v>302</v>
      </c>
      <c r="Q110" s="11">
        <v>10</v>
      </c>
      <c r="R110" s="11">
        <v>10</v>
      </c>
      <c r="S110" s="11">
        <v>135</v>
      </c>
      <c r="T110" s="11">
        <v>6</v>
      </c>
      <c r="U110" s="11">
        <v>10</v>
      </c>
      <c r="V110" s="15">
        <v>4.354838709677419</v>
      </c>
      <c r="W110" s="15" t="e">
        <v>#DIV/0!</v>
      </c>
      <c r="X110" s="15">
        <v>13.5</v>
      </c>
      <c r="Y110" s="14">
        <v>-13.5</v>
      </c>
      <c r="Z110" s="15" t="e">
        <v>#DIV/0!</v>
      </c>
    </row>
    <row r="111" spans="1:26" ht="15.75" hidden="1" x14ac:dyDescent="0.25">
      <c r="A111" s="247"/>
      <c r="B111" s="196"/>
      <c r="C111" s="17" t="s">
        <v>82</v>
      </c>
      <c r="D111" s="17" t="s">
        <v>38</v>
      </c>
      <c r="E111" s="10">
        <v>31</v>
      </c>
      <c r="F111" s="17">
        <v>0</v>
      </c>
      <c r="G111" s="17">
        <v>5</v>
      </c>
      <c r="H111" s="17">
        <v>299</v>
      </c>
      <c r="I111" s="17">
        <v>4</v>
      </c>
      <c r="J111" s="17">
        <v>308</v>
      </c>
      <c r="K111" s="17">
        <v>292</v>
      </c>
      <c r="L111" s="17">
        <v>4</v>
      </c>
      <c r="M111" s="17">
        <v>6</v>
      </c>
      <c r="N111" s="17">
        <v>6</v>
      </c>
      <c r="O111" s="17">
        <v>0</v>
      </c>
      <c r="P111" s="17">
        <v>302</v>
      </c>
      <c r="Q111" s="17">
        <v>10</v>
      </c>
      <c r="R111" s="17">
        <v>10</v>
      </c>
      <c r="S111" s="17">
        <v>135</v>
      </c>
      <c r="T111" s="17">
        <v>6</v>
      </c>
      <c r="U111" s="17">
        <v>10</v>
      </c>
      <c r="V111" s="20">
        <v>4.354838709677419</v>
      </c>
      <c r="W111" s="20" t="e">
        <v>#DIV/0!</v>
      </c>
      <c r="X111" s="20">
        <v>13.5</v>
      </c>
      <c r="Y111" s="20">
        <v>-13.5</v>
      </c>
      <c r="Z111" s="20" t="e">
        <v>#DIV/0!</v>
      </c>
    </row>
    <row r="112" spans="1:26" ht="15.75" hidden="1" x14ac:dyDescent="0.25">
      <c r="A112" s="245">
        <v>9</v>
      </c>
      <c r="B112" s="196"/>
      <c r="C112" s="11" t="s">
        <v>64</v>
      </c>
      <c r="D112" s="11" t="s">
        <v>83</v>
      </c>
      <c r="E112" s="10">
        <v>31</v>
      </c>
      <c r="F112" s="11"/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5">
        <v>0</v>
      </c>
      <c r="W112" s="35" t="e">
        <v>#DIV/0!</v>
      </c>
      <c r="X112" s="35" t="e">
        <v>#DIV/0!</v>
      </c>
      <c r="Y112" s="36" t="e">
        <v>#DIV/0!</v>
      </c>
      <c r="Z112" s="35" t="e">
        <v>#DIV/0!</v>
      </c>
    </row>
    <row r="113" spans="1:26" ht="15.75" hidden="1" x14ac:dyDescent="0.25">
      <c r="A113" s="247"/>
      <c r="B113" s="196"/>
      <c r="C113" s="17" t="s">
        <v>64</v>
      </c>
      <c r="D113" s="17" t="s">
        <v>83</v>
      </c>
      <c r="E113" s="10">
        <v>31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20">
        <v>0</v>
      </c>
      <c r="W113" s="20" t="e">
        <v>#DIV/0!</v>
      </c>
      <c r="X113" s="20" t="e">
        <v>#DIV/0!</v>
      </c>
      <c r="Y113" s="20" t="e">
        <v>#DIV/0!</v>
      </c>
      <c r="Z113" s="20" t="e">
        <v>#DIV/0!</v>
      </c>
    </row>
    <row r="114" spans="1:26" ht="15.75" hidden="1" x14ac:dyDescent="0.25">
      <c r="A114" s="245">
        <v>10</v>
      </c>
      <c r="B114" s="196"/>
      <c r="C114" s="10" t="s">
        <v>73</v>
      </c>
      <c r="D114" s="10" t="s">
        <v>83</v>
      </c>
      <c r="E114" s="10">
        <v>31</v>
      </c>
      <c r="F114" s="10"/>
      <c r="G114" s="10">
        <v>0</v>
      </c>
      <c r="H114" s="10">
        <v>0</v>
      </c>
      <c r="I114" s="10">
        <v>0</v>
      </c>
      <c r="J114" s="11">
        <v>0</v>
      </c>
      <c r="K114" s="10">
        <v>0</v>
      </c>
      <c r="L114" s="10">
        <v>0</v>
      </c>
      <c r="M114" s="11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1">
        <v>0</v>
      </c>
      <c r="V114" s="15">
        <v>0</v>
      </c>
      <c r="W114" s="35" t="e">
        <v>#DIV/0!</v>
      </c>
      <c r="X114" s="35" t="e">
        <v>#DIV/0!</v>
      </c>
      <c r="Y114" s="36" t="e">
        <v>#DIV/0!</v>
      </c>
      <c r="Z114" s="35" t="e">
        <v>#DIV/0!</v>
      </c>
    </row>
    <row r="115" spans="1:26" ht="15.75" hidden="1" x14ac:dyDescent="0.25">
      <c r="A115" s="247"/>
      <c r="B115" s="197"/>
      <c r="C115" s="17" t="s">
        <v>73</v>
      </c>
      <c r="D115" s="17" t="s">
        <v>83</v>
      </c>
      <c r="E115" s="10">
        <v>31</v>
      </c>
      <c r="F115" s="17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20">
        <v>0</v>
      </c>
      <c r="W115" s="20" t="e">
        <v>#DIV/0!</v>
      </c>
      <c r="X115" s="20" t="e">
        <v>#DIV/0!</v>
      </c>
      <c r="Y115" s="20" t="e">
        <v>#DIV/0!</v>
      </c>
      <c r="Z115" s="20" t="e">
        <v>#DIV/0!</v>
      </c>
    </row>
    <row r="116" spans="1:26" ht="15.75" hidden="1" x14ac:dyDescent="0.25">
      <c r="A116" s="232" t="s">
        <v>84</v>
      </c>
      <c r="B116" s="233"/>
      <c r="C116" s="233"/>
      <c r="D116" s="234"/>
      <c r="E116" s="10">
        <v>31</v>
      </c>
      <c r="F116" s="29">
        <v>33</v>
      </c>
      <c r="G116" s="29">
        <v>28</v>
      </c>
      <c r="H116" s="29">
        <v>444</v>
      </c>
      <c r="I116" s="29">
        <v>144</v>
      </c>
      <c r="J116" s="28">
        <v>616</v>
      </c>
      <c r="K116" s="29">
        <v>528</v>
      </c>
      <c r="L116" s="29">
        <v>7</v>
      </c>
      <c r="M116" s="28">
        <v>50</v>
      </c>
      <c r="N116" s="29">
        <v>28</v>
      </c>
      <c r="O116" s="29">
        <v>22</v>
      </c>
      <c r="P116" s="28">
        <v>585</v>
      </c>
      <c r="Q116" s="29">
        <v>244</v>
      </c>
      <c r="R116" s="29">
        <v>12</v>
      </c>
      <c r="S116" s="29">
        <v>888</v>
      </c>
      <c r="T116" s="28">
        <v>31</v>
      </c>
      <c r="U116" s="28">
        <v>57</v>
      </c>
      <c r="V116" s="47">
        <v>28.64516129032258</v>
      </c>
      <c r="W116" s="30">
        <v>86.803519061583572</v>
      </c>
      <c r="X116" s="30">
        <v>15.578947368421053</v>
      </c>
      <c r="Y116" s="30">
        <v>2.3684210526315796</v>
      </c>
      <c r="Z116" s="30">
        <v>1.7272727272727273</v>
      </c>
    </row>
    <row r="117" spans="1:26" ht="15.75" x14ac:dyDescent="0.25">
      <c r="A117" s="235" t="s">
        <v>85</v>
      </c>
      <c r="B117" s="236"/>
      <c r="C117" s="236"/>
      <c r="D117" s="237"/>
      <c r="E117" s="10">
        <v>31</v>
      </c>
      <c r="F117" s="49">
        <v>388</v>
      </c>
      <c r="G117" s="49">
        <v>267</v>
      </c>
      <c r="H117" s="49">
        <v>2765</v>
      </c>
      <c r="I117" s="49">
        <v>833</v>
      </c>
      <c r="J117" s="48">
        <v>3865</v>
      </c>
      <c r="K117" s="49">
        <v>1107</v>
      </c>
      <c r="L117" s="49">
        <v>2143</v>
      </c>
      <c r="M117" s="48">
        <v>259</v>
      </c>
      <c r="N117" s="49">
        <v>113</v>
      </c>
      <c r="O117" s="49">
        <v>146</v>
      </c>
      <c r="P117" s="48">
        <v>3509</v>
      </c>
      <c r="Q117" s="49">
        <v>8542</v>
      </c>
      <c r="R117" s="49">
        <v>22</v>
      </c>
      <c r="S117" s="49">
        <v>8588</v>
      </c>
      <c r="T117" s="49">
        <v>356</v>
      </c>
      <c r="U117" s="48">
        <v>2402</v>
      </c>
      <c r="V117" s="50">
        <v>277.03225806451616</v>
      </c>
      <c r="W117" s="51">
        <v>71.400066511473241</v>
      </c>
      <c r="X117" s="51">
        <v>3.575353871773522</v>
      </c>
      <c r="Y117" s="51">
        <v>1.4321398834304742</v>
      </c>
      <c r="Z117" s="51">
        <v>6.1907216494845363</v>
      </c>
    </row>
    <row r="118" spans="1:26" ht="15.75" x14ac:dyDescent="0.25">
      <c r="E118" s="11">
        <v>31</v>
      </c>
      <c r="F118" s="26">
        <v>388</v>
      </c>
      <c r="G118" s="26">
        <v>267</v>
      </c>
      <c r="H118" s="26">
        <v>2765</v>
      </c>
      <c r="I118" s="26">
        <v>833</v>
      </c>
      <c r="J118" s="11">
        <v>3865</v>
      </c>
      <c r="K118" s="26">
        <v>1107</v>
      </c>
      <c r="L118" s="26">
        <v>2143</v>
      </c>
      <c r="M118" s="11">
        <v>259</v>
      </c>
      <c r="N118" s="26">
        <v>113</v>
      </c>
      <c r="O118" s="26">
        <v>146</v>
      </c>
      <c r="P118" s="11">
        <v>3509</v>
      </c>
      <c r="Q118" s="26">
        <v>8542</v>
      </c>
      <c r="R118" s="26">
        <v>22</v>
      </c>
      <c r="S118" s="26">
        <v>8588</v>
      </c>
      <c r="T118" s="26">
        <v>356</v>
      </c>
      <c r="U118" s="11">
        <v>2402</v>
      </c>
      <c r="V118" s="24">
        <v>277.03225806451616</v>
      </c>
      <c r="W118" s="15">
        <v>71.400066511473241</v>
      </c>
      <c r="X118" s="15">
        <v>3.575353871773522</v>
      </c>
      <c r="Y118" s="15">
        <v>1.4321398834304742</v>
      </c>
      <c r="Z118" s="15">
        <v>6.1907216494845363</v>
      </c>
    </row>
  </sheetData>
  <mergeCells count="144">
    <mergeCell ref="W68:W69"/>
    <mergeCell ref="X68:X69"/>
    <mergeCell ref="Y68:Y69"/>
    <mergeCell ref="Z68:Z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70"/>
    <mergeCell ref="V68:V69"/>
    <mergeCell ref="A3:A6"/>
    <mergeCell ref="B3:B6"/>
    <mergeCell ref="C3:C6"/>
    <mergeCell ref="D3:D6"/>
    <mergeCell ref="E3:E6"/>
    <mergeCell ref="F3:F6"/>
    <mergeCell ref="A56:A57"/>
    <mergeCell ref="A59:A62"/>
    <mergeCell ref="A67:A70"/>
    <mergeCell ref="B67:B70"/>
    <mergeCell ref="C67:C70"/>
    <mergeCell ref="D67:D70"/>
    <mergeCell ref="E67:E70"/>
    <mergeCell ref="F67:F70"/>
    <mergeCell ref="A18:A21"/>
    <mergeCell ref="A22:A23"/>
    <mergeCell ref="A24:A26"/>
    <mergeCell ref="A27:A28"/>
    <mergeCell ref="A30:A32"/>
    <mergeCell ref="A33:A37"/>
    <mergeCell ref="Y4:Y5"/>
    <mergeCell ref="Z4:Z5"/>
    <mergeCell ref="A7:A8"/>
    <mergeCell ref="A9:A10"/>
    <mergeCell ref="A11:A13"/>
    <mergeCell ref="A14:A17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I79:I81"/>
    <mergeCell ref="J79:J81"/>
    <mergeCell ref="A63:A64"/>
    <mergeCell ref="A65:D65"/>
    <mergeCell ref="A79:A82"/>
    <mergeCell ref="B79:B82"/>
    <mergeCell ref="C79:C82"/>
    <mergeCell ref="D79:D82"/>
    <mergeCell ref="A38:A42"/>
    <mergeCell ref="A44:A46"/>
    <mergeCell ref="A47:A51"/>
    <mergeCell ref="A53:A54"/>
    <mergeCell ref="C58:C61"/>
    <mergeCell ref="G67:G69"/>
    <mergeCell ref="H67:H69"/>
    <mergeCell ref="B7:B62"/>
    <mergeCell ref="A71:A72"/>
    <mergeCell ref="B71:B76"/>
    <mergeCell ref="A73:A74"/>
    <mergeCell ref="A75:A76"/>
    <mergeCell ref="W80:W81"/>
    <mergeCell ref="X80:X81"/>
    <mergeCell ref="Y80:Y81"/>
    <mergeCell ref="Z80:Z81"/>
    <mergeCell ref="A83:A84"/>
    <mergeCell ref="B83:B89"/>
    <mergeCell ref="A86:A89"/>
    <mergeCell ref="C86:C88"/>
    <mergeCell ref="Q79:Q81"/>
    <mergeCell ref="R79:R81"/>
    <mergeCell ref="S79:S81"/>
    <mergeCell ref="T79:T81"/>
    <mergeCell ref="U79:U82"/>
    <mergeCell ref="V80:V81"/>
    <mergeCell ref="K79:K81"/>
    <mergeCell ref="L79:L81"/>
    <mergeCell ref="M79:M81"/>
    <mergeCell ref="N79:N81"/>
    <mergeCell ref="O79:O81"/>
    <mergeCell ref="P79:P81"/>
    <mergeCell ref="E79:E82"/>
    <mergeCell ref="F79:F82"/>
    <mergeCell ref="G79:G81"/>
    <mergeCell ref="H79:H81"/>
    <mergeCell ref="Z93:Z94"/>
    <mergeCell ref="A96:A97"/>
    <mergeCell ref="A98:A99"/>
    <mergeCell ref="A100:A101"/>
    <mergeCell ref="A102:A103"/>
    <mergeCell ref="S92:S94"/>
    <mergeCell ref="T92:T94"/>
    <mergeCell ref="U92:U95"/>
    <mergeCell ref="V93:V94"/>
    <mergeCell ref="W93:W94"/>
    <mergeCell ref="X93:X94"/>
    <mergeCell ref="M92:M94"/>
    <mergeCell ref="N92:N94"/>
    <mergeCell ref="O92:O94"/>
    <mergeCell ref="P92:P94"/>
    <mergeCell ref="Q92:Q94"/>
    <mergeCell ref="R92:R94"/>
    <mergeCell ref="G92:G94"/>
    <mergeCell ref="H92:H94"/>
    <mergeCell ref="I92:I94"/>
    <mergeCell ref="J92:J94"/>
    <mergeCell ref="K92:K94"/>
    <mergeCell ref="L92:L94"/>
    <mergeCell ref="A92:A95"/>
    <mergeCell ref="A116:D116"/>
    <mergeCell ref="A117:D117"/>
    <mergeCell ref="A104:A105"/>
    <mergeCell ref="A106:A107"/>
    <mergeCell ref="A108:A109"/>
    <mergeCell ref="A110:A111"/>
    <mergeCell ref="A112:A113"/>
    <mergeCell ref="A114:A115"/>
    <mergeCell ref="Y93:Y94"/>
    <mergeCell ref="B92:B95"/>
    <mergeCell ref="C92:C95"/>
    <mergeCell ref="D92:D95"/>
    <mergeCell ref="E92:E95"/>
    <mergeCell ref="F92:F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9F20-04E2-4F69-88E6-91D00AE34F2D}">
  <dimension ref="A1:Z118"/>
  <sheetViews>
    <sheetView topLeftCell="A103" zoomScale="70" zoomScaleNormal="70" workbookViewId="0">
      <selection activeCell="V11" sqref="V11"/>
    </sheetView>
  </sheetViews>
  <sheetFormatPr defaultRowHeight="15" x14ac:dyDescent="0.25"/>
  <cols>
    <col min="1" max="2" width="9.140625" style="89"/>
    <col min="3" max="3" width="16" style="89" bestFit="1" customWidth="1"/>
    <col min="4" max="5" width="9.140625" style="89"/>
    <col min="6" max="23" width="9.140625" style="89" customWidth="1"/>
    <col min="24" max="16384" width="9.140625" style="89"/>
  </cols>
  <sheetData>
    <row r="1" spans="1:26" ht="15.75" x14ac:dyDescent="0.25">
      <c r="A1" s="113" t="s">
        <v>0</v>
      </c>
      <c r="B1" s="114"/>
      <c r="C1" s="115"/>
      <c r="D1" s="116"/>
      <c r="E1" s="116"/>
      <c r="F1" s="116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7"/>
      <c r="T1" s="115"/>
      <c r="U1" s="118"/>
      <c r="V1" s="119"/>
      <c r="W1" s="119"/>
      <c r="X1" s="119"/>
      <c r="Y1" s="119"/>
      <c r="Z1" s="119"/>
    </row>
    <row r="2" spans="1:26" ht="15.75" x14ac:dyDescent="0.25">
      <c r="A2" s="113" t="s">
        <v>131</v>
      </c>
      <c r="B2" s="114"/>
      <c r="C2" s="115"/>
      <c r="D2" s="116"/>
      <c r="E2" s="116"/>
      <c r="F2" s="116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7"/>
      <c r="T2" s="115"/>
      <c r="U2" s="120"/>
      <c r="V2" s="121" t="s">
        <v>91</v>
      </c>
      <c r="W2" s="121" t="s">
        <v>92</v>
      </c>
      <c r="X2" s="122" t="s">
        <v>93</v>
      </c>
      <c r="Y2" s="122" t="s">
        <v>94</v>
      </c>
      <c r="Z2" s="122" t="s">
        <v>95</v>
      </c>
    </row>
    <row r="3" spans="1:26" x14ac:dyDescent="0.25">
      <c r="A3" s="269" t="s">
        <v>1</v>
      </c>
      <c r="B3" s="269" t="s">
        <v>2</v>
      </c>
      <c r="C3" s="267" t="s">
        <v>3</v>
      </c>
      <c r="D3" s="267" t="s">
        <v>4</v>
      </c>
      <c r="E3" s="268" t="s">
        <v>5</v>
      </c>
      <c r="F3" s="267" t="s">
        <v>6</v>
      </c>
      <c r="G3" s="267" t="s">
        <v>7</v>
      </c>
      <c r="H3" s="267" t="s">
        <v>8</v>
      </c>
      <c r="I3" s="268" t="s">
        <v>9</v>
      </c>
      <c r="J3" s="267" t="s">
        <v>10</v>
      </c>
      <c r="K3" s="267" t="s">
        <v>11</v>
      </c>
      <c r="L3" s="267" t="s">
        <v>12</v>
      </c>
      <c r="M3" s="267" t="s">
        <v>13</v>
      </c>
      <c r="N3" s="267" t="s">
        <v>14</v>
      </c>
      <c r="O3" s="267" t="s">
        <v>15</v>
      </c>
      <c r="P3" s="267" t="s">
        <v>16</v>
      </c>
      <c r="Q3" s="267" t="s">
        <v>17</v>
      </c>
      <c r="R3" s="267" t="s">
        <v>18</v>
      </c>
      <c r="S3" s="267" t="s">
        <v>19</v>
      </c>
      <c r="T3" s="267" t="s">
        <v>20</v>
      </c>
      <c r="U3" s="279" t="s">
        <v>21</v>
      </c>
      <c r="V3" s="76" t="s">
        <v>22</v>
      </c>
      <c r="W3" s="76" t="s">
        <v>23</v>
      </c>
      <c r="X3" s="76" t="s">
        <v>24</v>
      </c>
      <c r="Y3" s="76" t="s">
        <v>25</v>
      </c>
      <c r="Z3" s="76" t="s">
        <v>26</v>
      </c>
    </row>
    <row r="4" spans="1:26" x14ac:dyDescent="0.25">
      <c r="A4" s="269"/>
      <c r="B4" s="269"/>
      <c r="C4" s="267"/>
      <c r="D4" s="267"/>
      <c r="E4" s="268"/>
      <c r="F4" s="267"/>
      <c r="G4" s="267"/>
      <c r="H4" s="267"/>
      <c r="I4" s="268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79"/>
      <c r="V4" s="278" t="s">
        <v>27</v>
      </c>
      <c r="W4" s="278" t="s">
        <v>28</v>
      </c>
      <c r="X4" s="278" t="s">
        <v>29</v>
      </c>
      <c r="Y4" s="278" t="s">
        <v>30</v>
      </c>
      <c r="Z4" s="278" t="s">
        <v>31</v>
      </c>
    </row>
    <row r="5" spans="1:26" x14ac:dyDescent="0.25">
      <c r="A5" s="269"/>
      <c r="B5" s="269"/>
      <c r="C5" s="267"/>
      <c r="D5" s="267"/>
      <c r="E5" s="268"/>
      <c r="F5" s="267"/>
      <c r="G5" s="267"/>
      <c r="H5" s="267"/>
      <c r="I5" s="268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79"/>
      <c r="V5" s="280"/>
      <c r="W5" s="278"/>
      <c r="X5" s="278"/>
      <c r="Y5" s="278"/>
      <c r="Z5" s="278"/>
    </row>
    <row r="6" spans="1:26" x14ac:dyDescent="0.25">
      <c r="A6" s="269"/>
      <c r="B6" s="269"/>
      <c r="C6" s="267"/>
      <c r="D6" s="267"/>
      <c r="E6" s="268"/>
      <c r="F6" s="267"/>
      <c r="G6" s="124">
        <v>1</v>
      </c>
      <c r="H6" s="124">
        <v>2</v>
      </c>
      <c r="I6" s="124">
        <v>3</v>
      </c>
      <c r="J6" s="124">
        <v>4</v>
      </c>
      <c r="K6" s="124">
        <v>5</v>
      </c>
      <c r="L6" s="124">
        <v>6</v>
      </c>
      <c r="M6" s="124">
        <v>7</v>
      </c>
      <c r="N6" s="124">
        <v>8</v>
      </c>
      <c r="O6" s="124">
        <v>9</v>
      </c>
      <c r="P6" s="124">
        <v>10</v>
      </c>
      <c r="Q6" s="124">
        <v>11</v>
      </c>
      <c r="R6" s="124">
        <v>12</v>
      </c>
      <c r="S6" s="124">
        <v>13</v>
      </c>
      <c r="T6" s="124">
        <v>14</v>
      </c>
      <c r="U6" s="279"/>
      <c r="V6" s="123">
        <v>15</v>
      </c>
      <c r="W6" s="123">
        <v>16</v>
      </c>
      <c r="X6" s="123">
        <v>17</v>
      </c>
      <c r="Y6" s="123">
        <v>18</v>
      </c>
      <c r="Z6" s="123">
        <v>19</v>
      </c>
    </row>
    <row r="7" spans="1:26" ht="47.25" x14ac:dyDescent="0.25">
      <c r="A7" s="273">
        <v>1</v>
      </c>
      <c r="B7" s="210" t="s">
        <v>32</v>
      </c>
      <c r="C7" s="125" t="s">
        <v>35</v>
      </c>
      <c r="D7" s="126" t="s">
        <v>34</v>
      </c>
      <c r="E7" s="82">
        <f>+JAN!E7+FEBRUARI!E7+MARET!E7</f>
        <v>90</v>
      </c>
      <c r="F7" s="82">
        <v>20</v>
      </c>
      <c r="G7" s="85">
        <f>JAN!G7</f>
        <v>22</v>
      </c>
      <c r="H7" s="85">
        <f>+JAN!H7+FEBRUARI!H7+MARET!H7</f>
        <v>356</v>
      </c>
      <c r="I7" s="85">
        <f>+JAN!I7+FEBRUARI!I7+MARET!I7</f>
        <v>59</v>
      </c>
      <c r="J7" s="85">
        <f>+G7+H7+I7</f>
        <v>437</v>
      </c>
      <c r="K7" s="85">
        <f>+JAN!K7+FEBRUARI!K7+MARET!K7</f>
        <v>25</v>
      </c>
      <c r="L7" s="85">
        <f>+JAN!L7+FEBRUARI!L7+MARET!L7</f>
        <v>327</v>
      </c>
      <c r="M7" s="127">
        <f>+N7+O7</f>
        <v>53</v>
      </c>
      <c r="N7" s="85">
        <f>+JAN!N7+FEBRUARI!N7+MARET!N7</f>
        <v>25</v>
      </c>
      <c r="O7" s="85">
        <f>+JAN!O7+FEBRUARI!O7+MARET!O7</f>
        <v>28</v>
      </c>
      <c r="P7" s="127">
        <f>+K7+L7+M7</f>
        <v>405</v>
      </c>
      <c r="Q7" s="85">
        <f>+JAN!Q7+FEBRUARI!Q7+MARET!Q7</f>
        <v>1392</v>
      </c>
      <c r="R7" s="85">
        <f>+JAN!R7+FEBRUARI!R7+MARET!R7</f>
        <v>7</v>
      </c>
      <c r="S7" s="85">
        <f>+JAN!S7+FEBRUARI!S7+MARET!S7</f>
        <v>1581</v>
      </c>
      <c r="T7" s="127">
        <f t="shared" ref="T7" si="0">J7-P7</f>
        <v>32</v>
      </c>
      <c r="U7" s="127">
        <f t="shared" ref="U7" si="1">L7+M7</f>
        <v>380</v>
      </c>
      <c r="V7" s="68">
        <f t="shared" ref="V7:V65" si="2">$S7/$E7</f>
        <v>17.566666666666666</v>
      </c>
      <c r="W7" s="68">
        <f t="shared" ref="W7:W65" si="3">$V7/$F7*100</f>
        <v>87.833333333333329</v>
      </c>
      <c r="X7" s="68">
        <f t="shared" ref="X7:X65" si="4">$S7/($L7+$M7)</f>
        <v>4.1605263157894736</v>
      </c>
      <c r="Y7" s="69">
        <f t="shared" ref="Y7:Y65" si="5">(($F7-$V7)*$E7)/($L7+$M7)</f>
        <v>0.57631578947368434</v>
      </c>
      <c r="Z7" s="70">
        <f t="shared" ref="Z7:Z65" si="6">($L7+$M7)/$F7</f>
        <v>19</v>
      </c>
    </row>
    <row r="8" spans="1:26" ht="15.75" x14ac:dyDescent="0.25">
      <c r="A8" s="273"/>
      <c r="B8" s="211"/>
      <c r="C8" s="129" t="s">
        <v>35</v>
      </c>
      <c r="D8" s="148"/>
      <c r="E8" s="129">
        <f>+JAN!E8+FEBRUARI!E8+MARET!E8</f>
        <v>90</v>
      </c>
      <c r="F8" s="129">
        <v>20</v>
      </c>
      <c r="G8" s="129">
        <f>JAN!G8</f>
        <v>22</v>
      </c>
      <c r="H8" s="129">
        <f>+JAN!H8+FEBRUARI!H8+MARET!H8</f>
        <v>356</v>
      </c>
      <c r="I8" s="129">
        <f>+JAN!I8+FEBRUARI!I8+MARET!I8</f>
        <v>59</v>
      </c>
      <c r="J8" s="129">
        <f t="shared" ref="J8:J65" si="7">+G8+H8+I8</f>
        <v>437</v>
      </c>
      <c r="K8" s="129">
        <f>+JAN!K8+FEBRUARI!K8+MARET!K8</f>
        <v>25</v>
      </c>
      <c r="L8" s="129">
        <f>+JAN!L8+FEBRUARI!L8+MARET!L8</f>
        <v>327</v>
      </c>
      <c r="M8" s="130">
        <f t="shared" ref="M8:M65" si="8">+N8+O8</f>
        <v>53</v>
      </c>
      <c r="N8" s="129">
        <f>+JAN!N8+FEBRUARI!N8+MARET!N8</f>
        <v>25</v>
      </c>
      <c r="O8" s="129">
        <f>+JAN!O8+FEBRUARI!O8+MARET!O8</f>
        <v>28</v>
      </c>
      <c r="P8" s="130">
        <f t="shared" ref="P8:P65" si="9">+K8+L8+M8</f>
        <v>405</v>
      </c>
      <c r="Q8" s="129">
        <f>+JAN!Q8+FEBRUARI!Q8+MARET!Q8</f>
        <v>1392</v>
      </c>
      <c r="R8" s="129">
        <f>+JAN!R8+FEBRUARI!R8+MARET!R8</f>
        <v>7</v>
      </c>
      <c r="S8" s="129">
        <f>+JAN!S8+FEBRUARI!S8+MARET!S8</f>
        <v>1581</v>
      </c>
      <c r="T8" s="130">
        <f t="shared" ref="T8:T65" si="10">J8-P8</f>
        <v>32</v>
      </c>
      <c r="U8" s="130">
        <f t="shared" ref="U8:U65" si="11">L8+M8</f>
        <v>380</v>
      </c>
      <c r="V8" s="73">
        <f t="shared" si="2"/>
        <v>17.566666666666666</v>
      </c>
      <c r="W8" s="73">
        <f t="shared" si="3"/>
        <v>87.833333333333329</v>
      </c>
      <c r="X8" s="73">
        <f t="shared" si="4"/>
        <v>4.1605263157894736</v>
      </c>
      <c r="Y8" s="146">
        <f t="shared" si="5"/>
        <v>0.57631578947368434</v>
      </c>
      <c r="Z8" s="146">
        <f t="shared" si="6"/>
        <v>19</v>
      </c>
    </row>
    <row r="9" spans="1:26" ht="15.75" x14ac:dyDescent="0.25">
      <c r="A9" s="274">
        <v>2</v>
      </c>
      <c r="B9" s="211"/>
      <c r="C9" s="85" t="s">
        <v>36</v>
      </c>
      <c r="D9" s="126" t="s">
        <v>34</v>
      </c>
      <c r="E9" s="82">
        <f>+JAN!E9+FEBRUARI!E9+MARET!E9</f>
        <v>90</v>
      </c>
      <c r="F9" s="85">
        <v>16</v>
      </c>
      <c r="G9" s="85">
        <f>JAN!G9</f>
        <v>14</v>
      </c>
      <c r="H9" s="85">
        <f>+JAN!H9+FEBRUARI!H9+MARET!H9</f>
        <v>272</v>
      </c>
      <c r="I9" s="85">
        <f>+JAN!I9+FEBRUARI!I9+MARET!I9</f>
        <v>108</v>
      </c>
      <c r="J9" s="85">
        <f t="shared" si="7"/>
        <v>394</v>
      </c>
      <c r="K9" s="85">
        <f>+JAN!K9+FEBRUARI!K9+MARET!K9</f>
        <v>9</v>
      </c>
      <c r="L9" s="85">
        <f>+JAN!L9+FEBRUARI!L9+MARET!L9</f>
        <v>320</v>
      </c>
      <c r="M9" s="127">
        <f t="shared" si="8"/>
        <v>49</v>
      </c>
      <c r="N9" s="85">
        <f>+JAN!N9+FEBRUARI!N9+MARET!N9</f>
        <v>20</v>
      </c>
      <c r="O9" s="85">
        <f>+JAN!O9+FEBRUARI!O9+MARET!O9</f>
        <v>29</v>
      </c>
      <c r="P9" s="127">
        <f t="shared" si="9"/>
        <v>378</v>
      </c>
      <c r="Q9" s="85">
        <f>+JAN!Q9+FEBRUARI!Q9+MARET!Q9</f>
        <v>1380</v>
      </c>
      <c r="R9" s="85">
        <f>+JAN!R9+FEBRUARI!R9+MARET!R9</f>
        <v>4</v>
      </c>
      <c r="S9" s="85">
        <f>+JAN!S9+FEBRUARI!S9+MARET!S9</f>
        <v>1282</v>
      </c>
      <c r="T9" s="127">
        <f t="shared" si="10"/>
        <v>16</v>
      </c>
      <c r="U9" s="127">
        <f t="shared" si="11"/>
        <v>369</v>
      </c>
      <c r="V9" s="68">
        <f t="shared" si="2"/>
        <v>14.244444444444444</v>
      </c>
      <c r="W9" s="68">
        <f t="shared" si="3"/>
        <v>89.027777777777771</v>
      </c>
      <c r="X9" s="68">
        <f t="shared" si="4"/>
        <v>3.4742547425474255</v>
      </c>
      <c r="Y9" s="69">
        <f t="shared" si="5"/>
        <v>0.42818428184281865</v>
      </c>
      <c r="Z9" s="70">
        <f t="shared" si="6"/>
        <v>23.0625</v>
      </c>
    </row>
    <row r="10" spans="1:26" ht="15.75" x14ac:dyDescent="0.25">
      <c r="A10" s="274"/>
      <c r="B10" s="211"/>
      <c r="C10" s="129" t="s">
        <v>36</v>
      </c>
      <c r="D10" s="148"/>
      <c r="E10" s="129">
        <f>+JAN!E10+FEBRUARI!E10+MARET!E10</f>
        <v>90</v>
      </c>
      <c r="F10" s="129">
        <v>16</v>
      </c>
      <c r="G10" s="129">
        <f>JAN!G10</f>
        <v>14</v>
      </c>
      <c r="H10" s="129">
        <f>+JAN!H10+FEBRUARI!H10+MARET!H10</f>
        <v>272</v>
      </c>
      <c r="I10" s="129">
        <f>+JAN!I10+FEBRUARI!I10+MARET!I10</f>
        <v>108</v>
      </c>
      <c r="J10" s="129">
        <f t="shared" si="7"/>
        <v>394</v>
      </c>
      <c r="K10" s="129">
        <f>+JAN!K10+FEBRUARI!K10+MARET!K10</f>
        <v>9</v>
      </c>
      <c r="L10" s="129">
        <f>+JAN!L10+FEBRUARI!L10+MARET!L10</f>
        <v>320</v>
      </c>
      <c r="M10" s="130">
        <f t="shared" si="8"/>
        <v>49</v>
      </c>
      <c r="N10" s="129">
        <f>+JAN!N10+FEBRUARI!N10+MARET!N10</f>
        <v>20</v>
      </c>
      <c r="O10" s="129">
        <f>+JAN!O10+FEBRUARI!O10+MARET!O10</f>
        <v>29</v>
      </c>
      <c r="P10" s="130">
        <f t="shared" si="9"/>
        <v>378</v>
      </c>
      <c r="Q10" s="129">
        <f>+JAN!Q10+FEBRUARI!Q10+MARET!Q10</f>
        <v>1380</v>
      </c>
      <c r="R10" s="129">
        <f>+JAN!R10+FEBRUARI!R10+MARET!R10</f>
        <v>4</v>
      </c>
      <c r="S10" s="129">
        <f>+JAN!S10+FEBRUARI!S10+MARET!S10</f>
        <v>1282</v>
      </c>
      <c r="T10" s="130">
        <f t="shared" si="10"/>
        <v>16</v>
      </c>
      <c r="U10" s="130">
        <f t="shared" si="11"/>
        <v>369</v>
      </c>
      <c r="V10" s="73">
        <f t="shared" si="2"/>
        <v>14.244444444444444</v>
      </c>
      <c r="W10" s="73">
        <f t="shared" si="3"/>
        <v>89.027777777777771</v>
      </c>
      <c r="X10" s="73">
        <f t="shared" si="4"/>
        <v>3.4742547425474255</v>
      </c>
      <c r="Y10" s="146">
        <f t="shared" si="5"/>
        <v>0.42818428184281865</v>
      </c>
      <c r="Z10" s="146">
        <f t="shared" si="6"/>
        <v>23.0625</v>
      </c>
    </row>
    <row r="11" spans="1:26" ht="15.75" x14ac:dyDescent="0.25">
      <c r="A11" s="274">
        <v>3</v>
      </c>
      <c r="B11" s="211"/>
      <c r="D11" s="126" t="s">
        <v>38</v>
      </c>
      <c r="E11" s="82">
        <f>+JAN!E11+FEBRUARI!E11+MARET!E11</f>
        <v>62</v>
      </c>
      <c r="F11" s="85"/>
      <c r="G11" s="85">
        <f>JAN!G11</f>
        <v>0</v>
      </c>
      <c r="H11" s="85">
        <f>+JAN!H11+FEBRUARI!H11+MARET!H11</f>
        <v>0</v>
      </c>
      <c r="I11" s="85">
        <f>+JAN!I11+FEBRUARI!I11+MARET!I11</f>
        <v>0</v>
      </c>
      <c r="J11" s="85">
        <f t="shared" si="7"/>
        <v>0</v>
      </c>
      <c r="K11" s="85">
        <f>+JAN!K11+FEBRUARI!K11+MARET!K11</f>
        <v>0</v>
      </c>
      <c r="L11" s="85">
        <f>+JAN!L11+FEBRUARI!L11+MARET!L11</f>
        <v>0</v>
      </c>
      <c r="M11" s="127">
        <f t="shared" si="8"/>
        <v>0</v>
      </c>
      <c r="N11" s="85">
        <f>+JAN!N11+FEBRUARI!N11+MARET!N11</f>
        <v>0</v>
      </c>
      <c r="O11" s="85">
        <f>+JAN!O11+FEBRUARI!O11+MARET!O11</f>
        <v>0</v>
      </c>
      <c r="P11" s="127">
        <f t="shared" si="9"/>
        <v>0</v>
      </c>
      <c r="Q11" s="85">
        <f>+JAN!Q11+FEBRUARI!Q11+MARET!Q11</f>
        <v>0</v>
      </c>
      <c r="R11" s="85">
        <f>+JAN!R11+FEBRUARI!R11+MARET!R11</f>
        <v>0</v>
      </c>
      <c r="S11" s="85">
        <f>+JAN!S11+FEBRUARI!S11+MARET!S11</f>
        <v>0</v>
      </c>
      <c r="T11" s="127">
        <f t="shared" si="10"/>
        <v>0</v>
      </c>
      <c r="U11" s="127">
        <f t="shared" si="11"/>
        <v>0</v>
      </c>
      <c r="V11" s="68">
        <f t="shared" si="2"/>
        <v>0</v>
      </c>
      <c r="W11" s="68" t="e">
        <f t="shared" si="3"/>
        <v>#DIV/0!</v>
      </c>
      <c r="X11" s="68" t="e">
        <f t="shared" si="4"/>
        <v>#DIV/0!</v>
      </c>
      <c r="Y11" s="69" t="e">
        <f t="shared" si="5"/>
        <v>#DIV/0!</v>
      </c>
      <c r="Z11" s="70" t="e">
        <f t="shared" si="6"/>
        <v>#DIV/0!</v>
      </c>
    </row>
    <row r="12" spans="1:26" ht="15.75" x14ac:dyDescent="0.25">
      <c r="A12" s="274"/>
      <c r="B12" s="211"/>
      <c r="C12" s="83" t="s">
        <v>37</v>
      </c>
      <c r="D12" s="126" t="s">
        <v>34</v>
      </c>
      <c r="E12" s="82">
        <f>+JAN!E12+FEBRUARI!E12+MARET!E12</f>
        <v>90</v>
      </c>
      <c r="F12" s="85">
        <v>12</v>
      </c>
      <c r="G12" s="85">
        <f>JAN!G12</f>
        <v>10</v>
      </c>
      <c r="H12" s="85">
        <f>+JAN!H12+FEBRUARI!H12+MARET!H12</f>
        <v>259</v>
      </c>
      <c r="I12" s="85">
        <f>+JAN!I12+FEBRUARI!I12+MARET!I12</f>
        <v>12</v>
      </c>
      <c r="J12" s="85">
        <f t="shared" si="7"/>
        <v>281</v>
      </c>
      <c r="K12" s="85">
        <f>+JAN!K12+FEBRUARI!K12+MARET!K12</f>
        <v>16</v>
      </c>
      <c r="L12" s="85">
        <f>+JAN!L12+FEBRUARI!L12+MARET!L12</f>
        <v>236</v>
      </c>
      <c r="M12" s="127">
        <f t="shared" si="8"/>
        <v>17</v>
      </c>
      <c r="N12" s="85">
        <f>+JAN!N12+FEBRUARI!N12+MARET!N12</f>
        <v>8</v>
      </c>
      <c r="O12" s="85">
        <f>+JAN!O12+FEBRUARI!O12+MARET!O12</f>
        <v>9</v>
      </c>
      <c r="P12" s="127">
        <f t="shared" si="9"/>
        <v>269</v>
      </c>
      <c r="Q12" s="85">
        <f>+JAN!Q12+FEBRUARI!Q12+MARET!Q12</f>
        <v>847</v>
      </c>
      <c r="R12" s="85">
        <f>+JAN!R12+FEBRUARI!R12+MARET!R12</f>
        <v>3</v>
      </c>
      <c r="S12" s="85">
        <f>+JAN!S12+FEBRUARI!S12+MARET!S12</f>
        <v>808</v>
      </c>
      <c r="T12" s="127">
        <f t="shared" si="10"/>
        <v>12</v>
      </c>
      <c r="U12" s="127">
        <f t="shared" si="11"/>
        <v>253</v>
      </c>
      <c r="V12" s="68">
        <f t="shared" si="2"/>
        <v>8.9777777777777779</v>
      </c>
      <c r="W12" s="68">
        <f t="shared" si="3"/>
        <v>74.81481481481481</v>
      </c>
      <c r="X12" s="68">
        <f t="shared" si="4"/>
        <v>3.1936758893280635</v>
      </c>
      <c r="Y12" s="69">
        <f t="shared" si="5"/>
        <v>1.075098814229249</v>
      </c>
      <c r="Z12" s="70">
        <f t="shared" si="6"/>
        <v>21.083333333333332</v>
      </c>
    </row>
    <row r="13" spans="1:26" ht="15.75" x14ac:dyDescent="0.25">
      <c r="A13" s="274"/>
      <c r="B13" s="211"/>
      <c r="C13" s="129" t="s">
        <v>37</v>
      </c>
      <c r="D13" s="148"/>
      <c r="E13" s="129">
        <f>+JAN!E13+FEBRUARI!E13+MARET!E13</f>
        <v>90</v>
      </c>
      <c r="F13" s="129">
        <v>12</v>
      </c>
      <c r="G13" s="129">
        <f>JAN!G13</f>
        <v>10</v>
      </c>
      <c r="H13" s="129">
        <f>+JAN!H13+FEBRUARI!H13+MARET!H13</f>
        <v>259</v>
      </c>
      <c r="I13" s="129">
        <f>+JAN!I13+FEBRUARI!I13+MARET!I13</f>
        <v>12</v>
      </c>
      <c r="J13" s="129">
        <f t="shared" si="7"/>
        <v>281</v>
      </c>
      <c r="K13" s="129">
        <f>+JAN!K13+FEBRUARI!K13+MARET!K13</f>
        <v>16</v>
      </c>
      <c r="L13" s="129">
        <f>+JAN!L13+FEBRUARI!L13+MARET!L13</f>
        <v>236</v>
      </c>
      <c r="M13" s="130">
        <f t="shared" si="8"/>
        <v>17</v>
      </c>
      <c r="N13" s="129">
        <f>+JAN!N13+FEBRUARI!N13+MARET!N13</f>
        <v>8</v>
      </c>
      <c r="O13" s="129">
        <f>+JAN!O13+FEBRUARI!O13+MARET!O13</f>
        <v>9</v>
      </c>
      <c r="P13" s="130">
        <f t="shared" si="9"/>
        <v>269</v>
      </c>
      <c r="Q13" s="129">
        <f>+JAN!Q13+FEBRUARI!Q13+MARET!Q13</f>
        <v>847</v>
      </c>
      <c r="R13" s="129">
        <f>+JAN!R13+FEBRUARI!R13+MARET!R13</f>
        <v>3</v>
      </c>
      <c r="S13" s="129">
        <f>+JAN!S13+FEBRUARI!S13+MARET!S13</f>
        <v>808</v>
      </c>
      <c r="T13" s="130">
        <f t="shared" si="10"/>
        <v>12</v>
      </c>
      <c r="U13" s="130">
        <f t="shared" si="11"/>
        <v>253</v>
      </c>
      <c r="V13" s="73">
        <f t="shared" si="2"/>
        <v>8.9777777777777779</v>
      </c>
      <c r="W13" s="73">
        <f t="shared" si="3"/>
        <v>74.81481481481481</v>
      </c>
      <c r="X13" s="73">
        <f t="shared" si="4"/>
        <v>3.1936758893280635</v>
      </c>
      <c r="Y13" s="146">
        <f t="shared" si="5"/>
        <v>1.075098814229249</v>
      </c>
      <c r="Z13" s="146">
        <f t="shared" si="6"/>
        <v>21.083333333333332</v>
      </c>
    </row>
    <row r="14" spans="1:26" ht="15.75" x14ac:dyDescent="0.25">
      <c r="A14" s="274">
        <v>4</v>
      </c>
      <c r="B14" s="211"/>
      <c r="C14" s="212" t="s">
        <v>39</v>
      </c>
      <c r="D14" s="126" t="s">
        <v>38</v>
      </c>
      <c r="E14" s="82">
        <f>+JAN!E14+FEBRUARI!E14+MARET!E14</f>
        <v>90</v>
      </c>
      <c r="F14" s="82">
        <v>2</v>
      </c>
      <c r="G14" s="85">
        <f>JAN!G14</f>
        <v>2</v>
      </c>
      <c r="H14" s="85">
        <f>+JAN!H14+FEBRUARI!H14+MARET!H14</f>
        <v>43</v>
      </c>
      <c r="I14" s="85">
        <f>+JAN!I14+FEBRUARI!I14+MARET!I14</f>
        <v>17</v>
      </c>
      <c r="J14" s="85">
        <f t="shared" si="7"/>
        <v>62</v>
      </c>
      <c r="K14" s="85">
        <f>+JAN!K14+FEBRUARI!K14+MARET!K14</f>
        <v>29</v>
      </c>
      <c r="L14" s="85">
        <f>+JAN!L14+FEBRUARI!L14+MARET!L14</f>
        <v>32</v>
      </c>
      <c r="M14" s="127">
        <f t="shared" si="8"/>
        <v>0</v>
      </c>
      <c r="N14" s="85">
        <f>+JAN!N14+FEBRUARI!N14+MARET!N14</f>
        <v>0</v>
      </c>
      <c r="O14" s="85">
        <f>+JAN!O14+FEBRUARI!O14+MARET!O14</f>
        <v>0</v>
      </c>
      <c r="P14" s="127">
        <f t="shared" si="9"/>
        <v>61</v>
      </c>
      <c r="Q14" s="85">
        <f>+JAN!Q14+FEBRUARI!Q14+MARET!Q14</f>
        <v>106</v>
      </c>
      <c r="R14" s="85">
        <f>+JAN!R14+FEBRUARI!R14+MARET!R14</f>
        <v>0</v>
      </c>
      <c r="S14" s="85">
        <f>+JAN!S14+FEBRUARI!S14+MARET!S14</f>
        <v>111</v>
      </c>
      <c r="T14" s="127">
        <f t="shared" si="10"/>
        <v>1</v>
      </c>
      <c r="U14" s="127">
        <f t="shared" si="11"/>
        <v>32</v>
      </c>
      <c r="V14" s="68">
        <f t="shared" si="2"/>
        <v>1.2333333333333334</v>
      </c>
      <c r="W14" s="68">
        <f t="shared" si="3"/>
        <v>61.666666666666671</v>
      </c>
      <c r="X14" s="68">
        <f t="shared" si="4"/>
        <v>3.46875</v>
      </c>
      <c r="Y14" s="69">
        <f t="shared" si="5"/>
        <v>2.15625</v>
      </c>
      <c r="Z14" s="70">
        <f t="shared" si="6"/>
        <v>16</v>
      </c>
    </row>
    <row r="15" spans="1:26" ht="15.75" x14ac:dyDescent="0.25">
      <c r="A15" s="274"/>
      <c r="B15" s="211"/>
      <c r="C15" s="87" t="s">
        <v>39</v>
      </c>
      <c r="D15" s="126" t="s">
        <v>34</v>
      </c>
      <c r="E15" s="82">
        <f>+JAN!E15+FEBRUARI!E15+MARET!E15</f>
        <v>90</v>
      </c>
      <c r="F15" s="82">
        <v>17</v>
      </c>
      <c r="G15" s="85">
        <f>JAN!G15</f>
        <v>15</v>
      </c>
      <c r="H15" s="85">
        <f>+JAN!H15+FEBRUARI!H15+MARET!H15</f>
        <v>353</v>
      </c>
      <c r="I15" s="85">
        <f>+JAN!I15+FEBRUARI!I15+MARET!I15</f>
        <v>46</v>
      </c>
      <c r="J15" s="85">
        <f t="shared" si="7"/>
        <v>414</v>
      </c>
      <c r="K15" s="85">
        <f>+JAN!K15+FEBRUARI!K15+MARET!K15</f>
        <v>60</v>
      </c>
      <c r="L15" s="85">
        <f>+JAN!L15+FEBRUARI!L15+MARET!L15</f>
        <v>330</v>
      </c>
      <c r="M15" s="127">
        <f t="shared" si="8"/>
        <v>11</v>
      </c>
      <c r="N15" s="85">
        <f>+JAN!N15+FEBRUARI!N15+MARET!N15</f>
        <v>6</v>
      </c>
      <c r="O15" s="85">
        <f>+JAN!O15+FEBRUARI!O15+MARET!O15</f>
        <v>5</v>
      </c>
      <c r="P15" s="127">
        <f t="shared" si="9"/>
        <v>401</v>
      </c>
      <c r="Q15" s="85">
        <f>+JAN!Q15+FEBRUARI!Q15+MARET!Q15</f>
        <v>1252</v>
      </c>
      <c r="R15" s="85">
        <f>+JAN!R15+FEBRUARI!R15+MARET!R15</f>
        <v>4</v>
      </c>
      <c r="S15" s="85">
        <f>+JAN!S15+FEBRUARI!S15+MARET!S15</f>
        <v>1257</v>
      </c>
      <c r="T15" s="127">
        <f t="shared" si="10"/>
        <v>13</v>
      </c>
      <c r="U15" s="127">
        <f t="shared" si="11"/>
        <v>341</v>
      </c>
      <c r="V15" s="68">
        <f t="shared" si="2"/>
        <v>13.966666666666667</v>
      </c>
      <c r="W15" s="68">
        <f t="shared" si="3"/>
        <v>82.156862745098039</v>
      </c>
      <c r="X15" s="68">
        <f t="shared" si="4"/>
        <v>3.6862170087976538</v>
      </c>
      <c r="Y15" s="69">
        <f t="shared" si="5"/>
        <v>0.80058651026392957</v>
      </c>
      <c r="Z15" s="70">
        <f t="shared" si="6"/>
        <v>20.058823529411764</v>
      </c>
    </row>
    <row r="16" spans="1:26" ht="15.75" x14ac:dyDescent="0.25">
      <c r="A16" s="274"/>
      <c r="B16" s="211"/>
      <c r="C16" s="212" t="s">
        <v>39</v>
      </c>
      <c r="D16" s="126" t="s">
        <v>40</v>
      </c>
      <c r="E16" s="82">
        <f>+JAN!E16+FEBRUARI!E16+MARET!E16</f>
        <v>90</v>
      </c>
      <c r="F16" s="82">
        <v>5</v>
      </c>
      <c r="G16" s="85">
        <f>JAN!G16</f>
        <v>4</v>
      </c>
      <c r="H16" s="85">
        <f>+JAN!H16+FEBRUARI!H16+MARET!H16</f>
        <v>43</v>
      </c>
      <c r="I16" s="85">
        <f>+JAN!I16+FEBRUARI!I16+MARET!I16</f>
        <v>51</v>
      </c>
      <c r="J16" s="85">
        <f t="shared" si="7"/>
        <v>98</v>
      </c>
      <c r="K16" s="85">
        <f>+JAN!K16+FEBRUARI!K16+MARET!K16</f>
        <v>12</v>
      </c>
      <c r="L16" s="85">
        <f>+JAN!L16+FEBRUARI!L16+MARET!L16</f>
        <v>80</v>
      </c>
      <c r="M16" s="127">
        <f t="shared" si="8"/>
        <v>1</v>
      </c>
      <c r="N16" s="85">
        <f>+JAN!N16+FEBRUARI!N16+MARET!N16</f>
        <v>0</v>
      </c>
      <c r="O16" s="85">
        <f>+JAN!O16+FEBRUARI!O16+MARET!O16</f>
        <v>1</v>
      </c>
      <c r="P16" s="127">
        <f t="shared" si="9"/>
        <v>93</v>
      </c>
      <c r="Q16" s="85">
        <f>+JAN!Q16+FEBRUARI!Q16+MARET!Q16</f>
        <v>302</v>
      </c>
      <c r="R16" s="85">
        <f>+JAN!R16+FEBRUARI!R16+MARET!R16</f>
        <v>2</v>
      </c>
      <c r="S16" s="85">
        <f>+JAN!S16+FEBRUARI!S16+MARET!S16</f>
        <v>295</v>
      </c>
      <c r="T16" s="127">
        <f t="shared" si="10"/>
        <v>5</v>
      </c>
      <c r="U16" s="127">
        <f t="shared" si="11"/>
        <v>81</v>
      </c>
      <c r="V16" s="68">
        <f t="shared" si="2"/>
        <v>3.2777777777777777</v>
      </c>
      <c r="W16" s="68">
        <f t="shared" si="3"/>
        <v>65.555555555555557</v>
      </c>
      <c r="X16" s="68">
        <f t="shared" si="4"/>
        <v>3.6419753086419755</v>
      </c>
      <c r="Y16" s="69">
        <f t="shared" si="5"/>
        <v>1.9135802469135803</v>
      </c>
      <c r="Z16" s="70">
        <f t="shared" si="6"/>
        <v>16.2</v>
      </c>
    </row>
    <row r="17" spans="1:26" ht="15.75" x14ac:dyDescent="0.25">
      <c r="A17" s="274"/>
      <c r="B17" s="211"/>
      <c r="C17" s="129" t="s">
        <v>39</v>
      </c>
      <c r="D17" s="148"/>
      <c r="E17" s="129">
        <f>+JAN!E17+FEBRUARI!E17+MARET!E17</f>
        <v>90</v>
      </c>
      <c r="F17" s="129">
        <v>24</v>
      </c>
      <c r="G17" s="129">
        <f>JAN!G17</f>
        <v>21</v>
      </c>
      <c r="H17" s="129">
        <f>+JAN!H17+FEBRUARI!H17+MARET!H17</f>
        <v>439</v>
      </c>
      <c r="I17" s="129">
        <f>+JAN!I17+FEBRUARI!I17+MARET!I17</f>
        <v>114</v>
      </c>
      <c r="J17" s="129">
        <f t="shared" si="7"/>
        <v>574</v>
      </c>
      <c r="K17" s="129">
        <f>+JAN!K17+FEBRUARI!K17+MARET!K17</f>
        <v>101</v>
      </c>
      <c r="L17" s="129">
        <f>+JAN!L17+FEBRUARI!L17+MARET!L17</f>
        <v>442</v>
      </c>
      <c r="M17" s="130">
        <f t="shared" si="8"/>
        <v>12</v>
      </c>
      <c r="N17" s="129">
        <f>+JAN!N17+FEBRUARI!N17+MARET!N17</f>
        <v>6</v>
      </c>
      <c r="O17" s="129">
        <f>+JAN!O17+FEBRUARI!O17+MARET!O17</f>
        <v>6</v>
      </c>
      <c r="P17" s="130">
        <f t="shared" si="9"/>
        <v>555</v>
      </c>
      <c r="Q17" s="129">
        <f>+JAN!Q17+FEBRUARI!Q17+MARET!Q17</f>
        <v>1660</v>
      </c>
      <c r="R17" s="129">
        <f>+JAN!R17+FEBRUARI!R17+MARET!R17</f>
        <v>6</v>
      </c>
      <c r="S17" s="129">
        <f>+JAN!S17+FEBRUARI!S17+MARET!S17</f>
        <v>1663</v>
      </c>
      <c r="T17" s="130">
        <f t="shared" si="10"/>
        <v>19</v>
      </c>
      <c r="U17" s="130">
        <f t="shared" si="11"/>
        <v>454</v>
      </c>
      <c r="V17" s="73">
        <f t="shared" si="2"/>
        <v>18.477777777777778</v>
      </c>
      <c r="W17" s="73">
        <f t="shared" si="3"/>
        <v>76.990740740740733</v>
      </c>
      <c r="X17" s="73">
        <f t="shared" si="4"/>
        <v>3.6629955947136565</v>
      </c>
      <c r="Y17" s="146">
        <f t="shared" si="5"/>
        <v>1.0947136563876652</v>
      </c>
      <c r="Z17" s="146">
        <f t="shared" si="6"/>
        <v>18.916666666666668</v>
      </c>
    </row>
    <row r="18" spans="1:26" ht="15.75" x14ac:dyDescent="0.25">
      <c r="A18" s="270">
        <v>5</v>
      </c>
      <c r="B18" s="211"/>
      <c r="C18" s="213" t="s">
        <v>41</v>
      </c>
      <c r="D18" s="131" t="s">
        <v>115</v>
      </c>
      <c r="E18" s="82">
        <f>+JAN!E18+FEBRUARI!E18+MARET!E18</f>
        <v>90</v>
      </c>
      <c r="F18" s="85">
        <v>4</v>
      </c>
      <c r="G18" s="85">
        <f>JAN!G18</f>
        <v>0</v>
      </c>
      <c r="H18" s="85">
        <f>+JAN!H18+FEBRUARI!H18+MARET!H18</f>
        <v>0</v>
      </c>
      <c r="I18" s="85">
        <f>+JAN!I18+FEBRUARI!I18+MARET!I18</f>
        <v>0</v>
      </c>
      <c r="J18" s="85">
        <f t="shared" si="7"/>
        <v>0</v>
      </c>
      <c r="K18" s="85">
        <f>+JAN!K18+FEBRUARI!K18+MARET!K18</f>
        <v>0</v>
      </c>
      <c r="L18" s="85">
        <f>+JAN!L18+FEBRUARI!L18+MARET!L18</f>
        <v>0</v>
      </c>
      <c r="M18" s="127">
        <f t="shared" si="8"/>
        <v>0</v>
      </c>
      <c r="N18" s="85">
        <f>+JAN!N18+FEBRUARI!N18+MARET!N18</f>
        <v>0</v>
      </c>
      <c r="O18" s="85">
        <f>+JAN!O18+FEBRUARI!O18+MARET!O18</f>
        <v>0</v>
      </c>
      <c r="P18" s="127">
        <f t="shared" si="9"/>
        <v>0</v>
      </c>
      <c r="Q18" s="85">
        <f>+JAN!Q18+FEBRUARI!Q18+MARET!Q18</f>
        <v>0</v>
      </c>
      <c r="R18" s="85">
        <f>+JAN!R18+FEBRUARI!R18+MARET!R18</f>
        <v>0</v>
      </c>
      <c r="S18" s="85">
        <f>+JAN!S18+FEBRUARI!S18+MARET!S18</f>
        <v>0</v>
      </c>
      <c r="T18" s="127">
        <f t="shared" si="10"/>
        <v>0</v>
      </c>
      <c r="U18" s="127">
        <f t="shared" si="11"/>
        <v>0</v>
      </c>
      <c r="V18" s="68">
        <f t="shared" si="2"/>
        <v>0</v>
      </c>
      <c r="W18" s="68">
        <f t="shared" si="3"/>
        <v>0</v>
      </c>
      <c r="X18" s="68" t="e">
        <f t="shared" si="4"/>
        <v>#DIV/0!</v>
      </c>
      <c r="Y18" s="69" t="e">
        <f t="shared" si="5"/>
        <v>#DIV/0!</v>
      </c>
      <c r="Z18" s="70">
        <f t="shared" si="6"/>
        <v>0</v>
      </c>
    </row>
    <row r="19" spans="1:26" ht="15.75" x14ac:dyDescent="0.25">
      <c r="A19" s="271"/>
      <c r="B19" s="211"/>
      <c r="C19" s="206" t="s">
        <v>41</v>
      </c>
      <c r="D19" s="214" t="s">
        <v>42</v>
      </c>
      <c r="E19" s="82">
        <f>+JAN!E19+FEBRUARI!E19+MARET!E19</f>
        <v>90</v>
      </c>
      <c r="F19" s="82">
        <v>15</v>
      </c>
      <c r="G19" s="85">
        <f>JAN!G19</f>
        <v>21</v>
      </c>
      <c r="H19" s="85">
        <f>+JAN!H19+FEBRUARI!H19+MARET!H19</f>
        <v>387</v>
      </c>
      <c r="I19" s="85">
        <f>+JAN!I19+FEBRUARI!I19+MARET!I19</f>
        <v>23</v>
      </c>
      <c r="J19" s="85">
        <f t="shared" si="7"/>
        <v>431</v>
      </c>
      <c r="K19" s="85">
        <f>+JAN!K19+FEBRUARI!K19+MARET!K19</f>
        <v>38</v>
      </c>
      <c r="L19" s="85">
        <f>+JAN!L19+FEBRUARI!L19+MARET!L19</f>
        <v>299</v>
      </c>
      <c r="M19" s="127">
        <f t="shared" si="8"/>
        <v>77</v>
      </c>
      <c r="N19" s="85">
        <f>+JAN!N19+FEBRUARI!N19+MARET!N19</f>
        <v>43</v>
      </c>
      <c r="O19" s="85">
        <f>+JAN!O19+FEBRUARI!O19+MARET!O19</f>
        <v>34</v>
      </c>
      <c r="P19" s="127">
        <f t="shared" si="9"/>
        <v>414</v>
      </c>
      <c r="Q19" s="85">
        <f>+JAN!Q19+FEBRUARI!Q19+MARET!Q19</f>
        <v>1528</v>
      </c>
      <c r="R19" s="85">
        <f>+JAN!R19+FEBRUARI!R19+MARET!R19</f>
        <v>7</v>
      </c>
      <c r="S19" s="85">
        <f>+JAN!S19+FEBRUARI!S19+MARET!S19</f>
        <v>1573</v>
      </c>
      <c r="T19" s="127">
        <f t="shared" si="10"/>
        <v>17</v>
      </c>
      <c r="U19" s="127">
        <f t="shared" si="11"/>
        <v>376</v>
      </c>
      <c r="V19" s="68">
        <f t="shared" si="2"/>
        <v>17.477777777777778</v>
      </c>
      <c r="W19" s="68">
        <f t="shared" si="3"/>
        <v>116.5185185185185</v>
      </c>
      <c r="X19" s="68">
        <f t="shared" si="4"/>
        <v>4.1835106382978724</v>
      </c>
      <c r="Y19" s="69">
        <f t="shared" si="5"/>
        <v>-0.59308510638297873</v>
      </c>
      <c r="Z19" s="70">
        <f t="shared" si="6"/>
        <v>25.066666666666666</v>
      </c>
    </row>
    <row r="20" spans="1:26" ht="31.5" x14ac:dyDescent="0.25">
      <c r="A20" s="271"/>
      <c r="B20" s="211"/>
      <c r="C20" s="213" t="s">
        <v>41</v>
      </c>
      <c r="D20" s="214" t="s">
        <v>43</v>
      </c>
      <c r="E20" s="82">
        <f>+JAN!E20+FEBRUARI!E20+MARET!E20</f>
        <v>90</v>
      </c>
      <c r="F20" s="82">
        <v>15</v>
      </c>
      <c r="G20" s="85">
        <f>JAN!G20</f>
        <v>12</v>
      </c>
      <c r="H20" s="85">
        <f>+JAN!H20+FEBRUARI!H20+MARET!H20</f>
        <v>227</v>
      </c>
      <c r="I20" s="85">
        <f>+JAN!I20+FEBRUARI!I20+MARET!I20</f>
        <v>86</v>
      </c>
      <c r="J20" s="85">
        <f t="shared" si="7"/>
        <v>325</v>
      </c>
      <c r="K20" s="85">
        <f>+JAN!K20+FEBRUARI!K20+MARET!K20</f>
        <v>58</v>
      </c>
      <c r="L20" s="85">
        <f>+JAN!L20+FEBRUARI!L20+MARET!L20</f>
        <v>208</v>
      </c>
      <c r="M20" s="127">
        <f t="shared" si="8"/>
        <v>45</v>
      </c>
      <c r="N20" s="85">
        <f>+JAN!N20+FEBRUARI!N20+MARET!N20</f>
        <v>27</v>
      </c>
      <c r="O20" s="85">
        <f>+JAN!O20+FEBRUARI!O20+MARET!O20</f>
        <v>18</v>
      </c>
      <c r="P20" s="127">
        <f t="shared" si="9"/>
        <v>311</v>
      </c>
      <c r="Q20" s="85">
        <f>+JAN!Q20+FEBRUARI!Q20+MARET!Q20</f>
        <v>1058</v>
      </c>
      <c r="R20" s="85">
        <f>+JAN!R20+FEBRUARI!R20+MARET!R20</f>
        <v>6</v>
      </c>
      <c r="S20" s="85">
        <f>+JAN!S20+FEBRUARI!S20+MARET!S20</f>
        <v>1087</v>
      </c>
      <c r="T20" s="127">
        <f t="shared" si="10"/>
        <v>14</v>
      </c>
      <c r="U20" s="127">
        <f t="shared" si="11"/>
        <v>253</v>
      </c>
      <c r="V20" s="68">
        <f t="shared" si="2"/>
        <v>12.077777777777778</v>
      </c>
      <c r="W20" s="68">
        <f t="shared" si="3"/>
        <v>80.518518518518505</v>
      </c>
      <c r="X20" s="68">
        <f t="shared" si="4"/>
        <v>4.2964426877470352</v>
      </c>
      <c r="Y20" s="69">
        <f t="shared" si="5"/>
        <v>1.0395256916996047</v>
      </c>
      <c r="Z20" s="70">
        <f t="shared" si="6"/>
        <v>16.866666666666667</v>
      </c>
    </row>
    <row r="21" spans="1:26" ht="15.75" x14ac:dyDescent="0.25">
      <c r="A21" s="272"/>
      <c r="B21" s="211"/>
      <c r="C21" s="129" t="s">
        <v>41</v>
      </c>
      <c r="D21" s="148"/>
      <c r="E21" s="129">
        <f>+JAN!E21+FEBRUARI!E21+MARET!E21</f>
        <v>90</v>
      </c>
      <c r="F21" s="129">
        <v>34</v>
      </c>
      <c r="G21" s="129">
        <f>JAN!G21</f>
        <v>33</v>
      </c>
      <c r="H21" s="129">
        <f>+JAN!H21+FEBRUARI!H21+MARET!H21</f>
        <v>614</v>
      </c>
      <c r="I21" s="129">
        <f>+JAN!I21+FEBRUARI!I21+MARET!I21</f>
        <v>109</v>
      </c>
      <c r="J21" s="129">
        <f t="shared" si="7"/>
        <v>756</v>
      </c>
      <c r="K21" s="129">
        <f>+JAN!K21+FEBRUARI!K21+MARET!K21</f>
        <v>96</v>
      </c>
      <c r="L21" s="129">
        <f>+JAN!L21+FEBRUARI!L21+MARET!L21</f>
        <v>507</v>
      </c>
      <c r="M21" s="130">
        <f t="shared" si="8"/>
        <v>122</v>
      </c>
      <c r="N21" s="129">
        <f>+JAN!N21+FEBRUARI!N21+MARET!N21</f>
        <v>70</v>
      </c>
      <c r="O21" s="129">
        <f>+JAN!O21+FEBRUARI!O21+MARET!O21</f>
        <v>52</v>
      </c>
      <c r="P21" s="130">
        <f t="shared" si="9"/>
        <v>725</v>
      </c>
      <c r="Q21" s="129">
        <f>+JAN!Q21+FEBRUARI!Q21+MARET!Q21</f>
        <v>2586</v>
      </c>
      <c r="R21" s="129">
        <f>+JAN!R21+FEBRUARI!R21+MARET!R21</f>
        <v>13</v>
      </c>
      <c r="S21" s="129">
        <f>+JAN!S21+FEBRUARI!S21+MARET!S21</f>
        <v>2660</v>
      </c>
      <c r="T21" s="130">
        <f t="shared" si="10"/>
        <v>31</v>
      </c>
      <c r="U21" s="130">
        <f t="shared" si="11"/>
        <v>629</v>
      </c>
      <c r="V21" s="73">
        <f t="shared" si="2"/>
        <v>29.555555555555557</v>
      </c>
      <c r="W21" s="73">
        <f t="shared" si="3"/>
        <v>86.928104575163403</v>
      </c>
      <c r="X21" s="73">
        <f t="shared" si="4"/>
        <v>4.2289348171701109</v>
      </c>
      <c r="Y21" s="146">
        <f t="shared" si="5"/>
        <v>0.63593004769475336</v>
      </c>
      <c r="Z21" s="146">
        <f t="shared" si="6"/>
        <v>18.5</v>
      </c>
    </row>
    <row r="22" spans="1:26" ht="15.75" x14ac:dyDescent="0.25">
      <c r="A22" s="273">
        <v>6</v>
      </c>
      <c r="B22" s="211"/>
      <c r="C22" s="82" t="s">
        <v>44</v>
      </c>
      <c r="D22" s="126" t="s">
        <v>34</v>
      </c>
      <c r="E22" s="82">
        <f>+JAN!E22+FEBRUARI!E22+MARET!E22</f>
        <v>90</v>
      </c>
      <c r="F22" s="82">
        <v>24</v>
      </c>
      <c r="G22" s="85">
        <f>JAN!G22</f>
        <v>18</v>
      </c>
      <c r="H22" s="85">
        <f>+JAN!H22+FEBRUARI!H22+MARET!H22</f>
        <v>456</v>
      </c>
      <c r="I22" s="85">
        <f>+JAN!I22+FEBRUARI!I22+MARET!I22</f>
        <v>32</v>
      </c>
      <c r="J22" s="85">
        <f t="shared" si="7"/>
        <v>506</v>
      </c>
      <c r="K22" s="85">
        <f>+JAN!K22+FEBRUARI!K22+MARET!K22</f>
        <v>31</v>
      </c>
      <c r="L22" s="85">
        <f>+JAN!L22+FEBRUARI!L22+MARET!L22</f>
        <v>436</v>
      </c>
      <c r="M22" s="127">
        <f t="shared" si="8"/>
        <v>15</v>
      </c>
      <c r="N22" s="85">
        <f>+JAN!N22+FEBRUARI!N22+MARET!N22</f>
        <v>7</v>
      </c>
      <c r="O22" s="85">
        <f>+JAN!O22+FEBRUARI!O22+MARET!O22</f>
        <v>8</v>
      </c>
      <c r="P22" s="127">
        <f t="shared" si="9"/>
        <v>482</v>
      </c>
      <c r="Q22" s="85">
        <f>+JAN!Q22+FEBRUARI!Q22+MARET!Q22</f>
        <v>1430</v>
      </c>
      <c r="R22" s="85">
        <f>+JAN!R22+FEBRUARI!R22+MARET!R22</f>
        <v>4</v>
      </c>
      <c r="S22" s="85">
        <f>+JAN!S22+FEBRUARI!S22+MARET!S22</f>
        <v>1524</v>
      </c>
      <c r="T22" s="127">
        <f t="shared" si="10"/>
        <v>24</v>
      </c>
      <c r="U22" s="127">
        <f t="shared" si="11"/>
        <v>451</v>
      </c>
      <c r="V22" s="68">
        <f t="shared" si="2"/>
        <v>16.933333333333334</v>
      </c>
      <c r="W22" s="68">
        <f t="shared" si="3"/>
        <v>70.555555555555557</v>
      </c>
      <c r="X22" s="68">
        <f t="shared" si="4"/>
        <v>3.379157427937916</v>
      </c>
      <c r="Y22" s="69">
        <f t="shared" si="5"/>
        <v>1.4101995565410199</v>
      </c>
      <c r="Z22" s="70">
        <f t="shared" si="6"/>
        <v>18.791666666666668</v>
      </c>
    </row>
    <row r="23" spans="1:26" ht="15.75" x14ac:dyDescent="0.25">
      <c r="A23" s="273"/>
      <c r="B23" s="211"/>
      <c r="C23" s="129" t="s">
        <v>44</v>
      </c>
      <c r="D23" s="148"/>
      <c r="E23" s="129">
        <f>+JAN!E23+FEBRUARI!E23+MARET!E23</f>
        <v>90</v>
      </c>
      <c r="F23" s="129">
        <v>24</v>
      </c>
      <c r="G23" s="129">
        <f>JAN!G23</f>
        <v>18</v>
      </c>
      <c r="H23" s="129">
        <f>+JAN!H23+FEBRUARI!H23+MARET!H23</f>
        <v>456</v>
      </c>
      <c r="I23" s="129">
        <f>+JAN!I23+FEBRUARI!I23+MARET!I23</f>
        <v>32</v>
      </c>
      <c r="J23" s="129">
        <f t="shared" si="7"/>
        <v>506</v>
      </c>
      <c r="K23" s="129">
        <f>+JAN!K23+FEBRUARI!K23+MARET!K23</f>
        <v>31</v>
      </c>
      <c r="L23" s="129">
        <f>+JAN!L23+FEBRUARI!L23+MARET!L23</f>
        <v>436</v>
      </c>
      <c r="M23" s="130">
        <f t="shared" si="8"/>
        <v>15</v>
      </c>
      <c r="N23" s="129">
        <f>+JAN!N23+FEBRUARI!N23+MARET!N23</f>
        <v>7</v>
      </c>
      <c r="O23" s="129">
        <f>+JAN!O23+FEBRUARI!O23+MARET!O23</f>
        <v>8</v>
      </c>
      <c r="P23" s="130">
        <f t="shared" si="9"/>
        <v>482</v>
      </c>
      <c r="Q23" s="129">
        <f>+JAN!Q23+FEBRUARI!Q23+MARET!Q23</f>
        <v>1430</v>
      </c>
      <c r="R23" s="129">
        <f>+JAN!R23+FEBRUARI!R23+MARET!R23</f>
        <v>4</v>
      </c>
      <c r="S23" s="129">
        <f>+JAN!S23+FEBRUARI!S23+MARET!S23</f>
        <v>1524</v>
      </c>
      <c r="T23" s="130">
        <f t="shared" si="10"/>
        <v>24</v>
      </c>
      <c r="U23" s="130">
        <f t="shared" si="11"/>
        <v>451</v>
      </c>
      <c r="V23" s="73">
        <f t="shared" si="2"/>
        <v>16.933333333333334</v>
      </c>
      <c r="W23" s="73">
        <f t="shared" si="3"/>
        <v>70.555555555555557</v>
      </c>
      <c r="X23" s="73">
        <f t="shared" si="4"/>
        <v>3.379157427937916</v>
      </c>
      <c r="Y23" s="146">
        <f t="shared" si="5"/>
        <v>1.4101995565410199</v>
      </c>
      <c r="Z23" s="146">
        <f t="shared" si="6"/>
        <v>18.791666666666668</v>
      </c>
    </row>
    <row r="24" spans="1:26" ht="15.75" x14ac:dyDescent="0.25">
      <c r="A24" s="270">
        <v>7</v>
      </c>
      <c r="B24" s="211"/>
      <c r="C24" s="206" t="s">
        <v>45</v>
      </c>
      <c r="D24" s="131" t="s">
        <v>40</v>
      </c>
      <c r="E24" s="82">
        <f>+JAN!E24+FEBRUARI!E24+MARET!E24</f>
        <v>90</v>
      </c>
      <c r="F24" s="85">
        <v>4</v>
      </c>
      <c r="G24" s="85">
        <f>JAN!G24</f>
        <v>0</v>
      </c>
      <c r="H24" s="85">
        <f>+JAN!H24+FEBRUARI!H24+MARET!H24</f>
        <v>0</v>
      </c>
      <c r="I24" s="85">
        <f>+JAN!I24+FEBRUARI!I24+MARET!I24</f>
        <v>0</v>
      </c>
      <c r="J24" s="85">
        <f t="shared" si="7"/>
        <v>0</v>
      </c>
      <c r="K24" s="85">
        <f>+JAN!K24+FEBRUARI!K24+MARET!K24</f>
        <v>0</v>
      </c>
      <c r="L24" s="85">
        <f>+JAN!L24+FEBRUARI!L24+MARET!L24</f>
        <v>0</v>
      </c>
      <c r="M24" s="127">
        <f t="shared" si="8"/>
        <v>0</v>
      </c>
      <c r="N24" s="85">
        <f>+JAN!N24+FEBRUARI!N24+MARET!N24</f>
        <v>0</v>
      </c>
      <c r="O24" s="85">
        <f>+JAN!O24+FEBRUARI!O24+MARET!O24</f>
        <v>0</v>
      </c>
      <c r="P24" s="127">
        <f t="shared" si="9"/>
        <v>0</v>
      </c>
      <c r="Q24" s="85">
        <f>+JAN!Q24+FEBRUARI!Q24+MARET!Q24</f>
        <v>0</v>
      </c>
      <c r="R24" s="85">
        <f>+JAN!R24+FEBRUARI!R24+MARET!R24</f>
        <v>0</v>
      </c>
      <c r="S24" s="85">
        <f>+JAN!S24+FEBRUARI!S24+MARET!S24</f>
        <v>0</v>
      </c>
      <c r="T24" s="127">
        <f t="shared" si="10"/>
        <v>0</v>
      </c>
      <c r="U24" s="127">
        <f t="shared" si="11"/>
        <v>0</v>
      </c>
      <c r="V24" s="68">
        <f t="shared" si="2"/>
        <v>0</v>
      </c>
      <c r="W24" s="68">
        <f t="shared" si="3"/>
        <v>0</v>
      </c>
      <c r="X24" s="68" t="e">
        <f t="shared" si="4"/>
        <v>#DIV/0!</v>
      </c>
      <c r="Y24" s="69" t="e">
        <f t="shared" si="5"/>
        <v>#DIV/0!</v>
      </c>
      <c r="Z24" s="70">
        <f t="shared" si="6"/>
        <v>0</v>
      </c>
    </row>
    <row r="25" spans="1:26" ht="15.75" x14ac:dyDescent="0.25">
      <c r="A25" s="271"/>
      <c r="B25" s="211"/>
      <c r="C25" s="213" t="s">
        <v>45</v>
      </c>
      <c r="D25" s="126" t="s">
        <v>34</v>
      </c>
      <c r="E25" s="82">
        <f>+JAN!E25+FEBRUARI!E25+MARET!E25</f>
        <v>90</v>
      </c>
      <c r="F25" s="82">
        <v>16</v>
      </c>
      <c r="G25" s="85">
        <f>JAN!G25</f>
        <v>17</v>
      </c>
      <c r="H25" s="85">
        <f>+JAN!H25+FEBRUARI!H25+MARET!H25</f>
        <v>379</v>
      </c>
      <c r="I25" s="85">
        <f>+JAN!I25+FEBRUARI!I25+MARET!I25</f>
        <v>37</v>
      </c>
      <c r="J25" s="85">
        <f t="shared" si="7"/>
        <v>433</v>
      </c>
      <c r="K25" s="85">
        <f>+JAN!K25+FEBRUARI!K25+MARET!K25</f>
        <v>24</v>
      </c>
      <c r="L25" s="85">
        <f>+JAN!L25+FEBRUARI!L25+MARET!L25</f>
        <v>367</v>
      </c>
      <c r="M25" s="127">
        <f t="shared" si="8"/>
        <v>24</v>
      </c>
      <c r="N25" s="85">
        <f>+JAN!N25+FEBRUARI!N25+MARET!N25</f>
        <v>10</v>
      </c>
      <c r="O25" s="85">
        <f>+JAN!O25+FEBRUARI!O25+MARET!O25</f>
        <v>14</v>
      </c>
      <c r="P25" s="127">
        <f t="shared" si="9"/>
        <v>415</v>
      </c>
      <c r="Q25" s="85">
        <f>+JAN!Q25+FEBRUARI!Q25+MARET!Q25</f>
        <v>1399</v>
      </c>
      <c r="R25" s="85">
        <f>+JAN!R25+FEBRUARI!R25+MARET!R25</f>
        <v>3</v>
      </c>
      <c r="S25" s="85">
        <f>+JAN!S25+FEBRUARI!S25+MARET!S25</f>
        <v>1405</v>
      </c>
      <c r="T25" s="127">
        <f t="shared" si="10"/>
        <v>18</v>
      </c>
      <c r="U25" s="127">
        <f t="shared" si="11"/>
        <v>391</v>
      </c>
      <c r="V25" s="68">
        <f t="shared" si="2"/>
        <v>15.611111111111111</v>
      </c>
      <c r="W25" s="68">
        <f t="shared" si="3"/>
        <v>97.569444444444443</v>
      </c>
      <c r="X25" s="68">
        <f t="shared" si="4"/>
        <v>3.5933503836317136</v>
      </c>
      <c r="Y25" s="69">
        <f t="shared" si="5"/>
        <v>8.951406649616378E-2</v>
      </c>
      <c r="Z25" s="70">
        <f t="shared" si="6"/>
        <v>24.4375</v>
      </c>
    </row>
    <row r="26" spans="1:26" ht="15.75" x14ac:dyDescent="0.25">
      <c r="A26" s="272"/>
      <c r="B26" s="211"/>
      <c r="C26" s="129" t="s">
        <v>45</v>
      </c>
      <c r="D26" s="148"/>
      <c r="E26" s="129">
        <f>+JAN!E26+FEBRUARI!E26+MARET!E26</f>
        <v>90</v>
      </c>
      <c r="F26" s="129">
        <v>20</v>
      </c>
      <c r="G26" s="129">
        <f>JAN!G26</f>
        <v>17</v>
      </c>
      <c r="H26" s="129">
        <f>+JAN!H26+FEBRUARI!H26+MARET!H26</f>
        <v>379</v>
      </c>
      <c r="I26" s="129">
        <f>+JAN!I26+FEBRUARI!I26+MARET!I26</f>
        <v>37</v>
      </c>
      <c r="J26" s="129">
        <f t="shared" si="7"/>
        <v>433</v>
      </c>
      <c r="K26" s="129">
        <f>+JAN!K26+FEBRUARI!K26+MARET!K26</f>
        <v>24</v>
      </c>
      <c r="L26" s="129">
        <f>+JAN!L26+FEBRUARI!L26+MARET!L26</f>
        <v>367</v>
      </c>
      <c r="M26" s="130">
        <f t="shared" si="8"/>
        <v>24</v>
      </c>
      <c r="N26" s="129">
        <f>+JAN!N26+FEBRUARI!N26+MARET!N26</f>
        <v>10</v>
      </c>
      <c r="O26" s="129">
        <f>+JAN!O26+FEBRUARI!O26+MARET!O26</f>
        <v>14</v>
      </c>
      <c r="P26" s="130">
        <f t="shared" si="9"/>
        <v>415</v>
      </c>
      <c r="Q26" s="129">
        <f>+JAN!Q26+FEBRUARI!Q26+MARET!Q26</f>
        <v>1399</v>
      </c>
      <c r="R26" s="129">
        <f>+JAN!R26+FEBRUARI!R26+MARET!R26</f>
        <v>3</v>
      </c>
      <c r="S26" s="129">
        <f>+JAN!S26+FEBRUARI!S26+MARET!S26</f>
        <v>1405</v>
      </c>
      <c r="T26" s="130">
        <f t="shared" si="10"/>
        <v>18</v>
      </c>
      <c r="U26" s="130">
        <f t="shared" si="11"/>
        <v>391</v>
      </c>
      <c r="V26" s="73">
        <f t="shared" si="2"/>
        <v>15.611111111111111</v>
      </c>
      <c r="W26" s="73">
        <f t="shared" si="3"/>
        <v>78.055555555555557</v>
      </c>
      <c r="X26" s="73">
        <f t="shared" si="4"/>
        <v>3.5933503836317136</v>
      </c>
      <c r="Y26" s="146">
        <f t="shared" si="5"/>
        <v>1.0102301790281332</v>
      </c>
      <c r="Z26" s="146">
        <f t="shared" si="6"/>
        <v>19.55</v>
      </c>
    </row>
    <row r="27" spans="1:26" ht="15.75" x14ac:dyDescent="0.25">
      <c r="A27" s="274">
        <v>8</v>
      </c>
      <c r="B27" s="211"/>
      <c r="C27" s="85" t="s">
        <v>46</v>
      </c>
      <c r="D27" s="126" t="s">
        <v>34</v>
      </c>
      <c r="E27" s="82">
        <f>+JAN!E27+FEBRUARI!E27+MARET!E27</f>
        <v>90</v>
      </c>
      <c r="F27" s="85">
        <v>20</v>
      </c>
      <c r="G27" s="85">
        <f>JAN!G27</f>
        <v>17</v>
      </c>
      <c r="H27" s="85">
        <f>+JAN!H27+FEBRUARI!H27+MARET!H27</f>
        <v>454</v>
      </c>
      <c r="I27" s="85">
        <f>+JAN!I27+FEBRUARI!I27+MARET!I27</f>
        <v>18</v>
      </c>
      <c r="J27" s="85">
        <f t="shared" si="7"/>
        <v>489</v>
      </c>
      <c r="K27" s="85">
        <f>+JAN!K27+FEBRUARI!K27+MARET!K27</f>
        <v>31</v>
      </c>
      <c r="L27" s="85">
        <f>+JAN!L27+FEBRUARI!L27+MARET!L27</f>
        <v>417</v>
      </c>
      <c r="M27" s="127">
        <f t="shared" si="8"/>
        <v>21</v>
      </c>
      <c r="N27" s="85">
        <f>+JAN!N27+FEBRUARI!N27+MARET!N27</f>
        <v>15</v>
      </c>
      <c r="O27" s="85">
        <f>+JAN!O27+FEBRUARI!O27+MARET!O27</f>
        <v>6</v>
      </c>
      <c r="P27" s="127">
        <f t="shared" si="9"/>
        <v>469</v>
      </c>
      <c r="Q27" s="85">
        <f>+JAN!Q27+FEBRUARI!Q27+MARET!Q27</f>
        <v>1390</v>
      </c>
      <c r="R27" s="85">
        <f>+JAN!R27+FEBRUARI!R27+MARET!R27</f>
        <v>5</v>
      </c>
      <c r="S27" s="85">
        <f>+JAN!S27+FEBRUARI!S27+MARET!S27</f>
        <v>1397</v>
      </c>
      <c r="T27" s="127">
        <f t="shared" si="10"/>
        <v>20</v>
      </c>
      <c r="U27" s="127">
        <f t="shared" si="11"/>
        <v>438</v>
      </c>
      <c r="V27" s="68">
        <f t="shared" si="2"/>
        <v>15.522222222222222</v>
      </c>
      <c r="W27" s="68">
        <f t="shared" si="3"/>
        <v>77.611111111111114</v>
      </c>
      <c r="X27" s="68">
        <f t="shared" si="4"/>
        <v>3.189497716894977</v>
      </c>
      <c r="Y27" s="69">
        <f t="shared" si="5"/>
        <v>0.92009132420091322</v>
      </c>
      <c r="Z27" s="70">
        <f t="shared" si="6"/>
        <v>21.9</v>
      </c>
    </row>
    <row r="28" spans="1:26" ht="15.75" x14ac:dyDescent="0.25">
      <c r="A28" s="274"/>
      <c r="B28" s="211"/>
      <c r="C28" s="129" t="s">
        <v>46</v>
      </c>
      <c r="D28" s="148"/>
      <c r="E28" s="129">
        <f>+JAN!E28+FEBRUARI!E28+MARET!E28</f>
        <v>90</v>
      </c>
      <c r="F28" s="129">
        <v>20</v>
      </c>
      <c r="G28" s="129">
        <f>JAN!G28</f>
        <v>17</v>
      </c>
      <c r="H28" s="129">
        <f>+JAN!H28+FEBRUARI!H28+MARET!H28</f>
        <v>454</v>
      </c>
      <c r="I28" s="129">
        <f>+JAN!I28+FEBRUARI!I28+MARET!I28</f>
        <v>18</v>
      </c>
      <c r="J28" s="129">
        <f t="shared" si="7"/>
        <v>489</v>
      </c>
      <c r="K28" s="129">
        <f>+JAN!K28+FEBRUARI!K28+MARET!K28</f>
        <v>31</v>
      </c>
      <c r="L28" s="129">
        <f>+JAN!L28+FEBRUARI!L28+MARET!L28</f>
        <v>417</v>
      </c>
      <c r="M28" s="130">
        <f t="shared" si="8"/>
        <v>21</v>
      </c>
      <c r="N28" s="129">
        <f>+JAN!N28+FEBRUARI!N28+MARET!N28</f>
        <v>15</v>
      </c>
      <c r="O28" s="129">
        <f>+JAN!O28+FEBRUARI!O28+MARET!O28</f>
        <v>6</v>
      </c>
      <c r="P28" s="130">
        <f t="shared" si="9"/>
        <v>469</v>
      </c>
      <c r="Q28" s="129">
        <f>+JAN!Q28+FEBRUARI!Q28+MARET!Q28</f>
        <v>1390</v>
      </c>
      <c r="R28" s="129">
        <f>+JAN!R28+FEBRUARI!R28+MARET!R28</f>
        <v>5</v>
      </c>
      <c r="S28" s="129">
        <f>+JAN!S28+FEBRUARI!S28+MARET!S28</f>
        <v>1397</v>
      </c>
      <c r="T28" s="130">
        <f t="shared" si="10"/>
        <v>20</v>
      </c>
      <c r="U28" s="130">
        <f t="shared" si="11"/>
        <v>438</v>
      </c>
      <c r="V28" s="73">
        <f t="shared" si="2"/>
        <v>15.522222222222222</v>
      </c>
      <c r="W28" s="73">
        <f t="shared" si="3"/>
        <v>77.611111111111114</v>
      </c>
      <c r="X28" s="73">
        <f t="shared" si="4"/>
        <v>3.189497716894977</v>
      </c>
      <c r="Y28" s="146">
        <f t="shared" si="5"/>
        <v>0.92009132420091322</v>
      </c>
      <c r="Z28" s="146">
        <f t="shared" si="6"/>
        <v>21.9</v>
      </c>
    </row>
    <row r="29" spans="1:26" ht="15.75" x14ac:dyDescent="0.25">
      <c r="A29" s="83"/>
      <c r="B29" s="211"/>
      <c r="C29" s="215" t="s">
        <v>47</v>
      </c>
      <c r="D29" s="131" t="s">
        <v>40</v>
      </c>
      <c r="E29" s="82">
        <f>+JAN!E29+FEBRUARI!E29+MARET!E29</f>
        <v>90</v>
      </c>
      <c r="F29" s="85">
        <v>1</v>
      </c>
      <c r="G29" s="85">
        <f>JAN!G29</f>
        <v>0</v>
      </c>
      <c r="H29" s="85">
        <f>+JAN!H29+FEBRUARI!H29+MARET!H29</f>
        <v>0</v>
      </c>
      <c r="I29" s="85">
        <f>+JAN!I29+FEBRUARI!I29+MARET!I29</f>
        <v>0</v>
      </c>
      <c r="J29" s="85">
        <f t="shared" si="7"/>
        <v>0</v>
      </c>
      <c r="K29" s="85">
        <f>+JAN!K29+FEBRUARI!K29+MARET!K29</f>
        <v>0</v>
      </c>
      <c r="L29" s="85">
        <f>+JAN!L29+FEBRUARI!L29+MARET!L29</f>
        <v>0</v>
      </c>
      <c r="M29" s="127">
        <f t="shared" si="8"/>
        <v>0</v>
      </c>
      <c r="N29" s="85">
        <f>+JAN!N29+FEBRUARI!N29+MARET!N29</f>
        <v>0</v>
      </c>
      <c r="O29" s="85">
        <f>+JAN!O29+FEBRUARI!O29+MARET!O29</f>
        <v>0</v>
      </c>
      <c r="P29" s="127">
        <f t="shared" si="9"/>
        <v>0</v>
      </c>
      <c r="Q29" s="85">
        <f>+JAN!Q29+FEBRUARI!Q29+MARET!Q29</f>
        <v>0</v>
      </c>
      <c r="R29" s="85">
        <f>+JAN!R29+FEBRUARI!R29+MARET!R29</f>
        <v>0</v>
      </c>
      <c r="S29" s="85">
        <f>+JAN!S29+FEBRUARI!S29+MARET!S29</f>
        <v>0</v>
      </c>
      <c r="T29" s="127">
        <f t="shared" si="10"/>
        <v>0</v>
      </c>
      <c r="U29" s="127">
        <f t="shared" si="11"/>
        <v>0</v>
      </c>
      <c r="V29" s="68">
        <f t="shared" si="2"/>
        <v>0</v>
      </c>
      <c r="W29" s="68">
        <f t="shared" si="3"/>
        <v>0</v>
      </c>
      <c r="X29" s="68" t="e">
        <f t="shared" si="4"/>
        <v>#DIV/0!</v>
      </c>
      <c r="Y29" s="69" t="e">
        <f t="shared" si="5"/>
        <v>#DIV/0!</v>
      </c>
      <c r="Z29" s="70">
        <f t="shared" si="6"/>
        <v>0</v>
      </c>
    </row>
    <row r="30" spans="1:26" ht="15.75" x14ac:dyDescent="0.25">
      <c r="A30" s="274">
        <v>9</v>
      </c>
      <c r="B30" s="211"/>
      <c r="C30" s="85" t="s">
        <v>47</v>
      </c>
      <c r="D30" s="131" t="s">
        <v>48</v>
      </c>
      <c r="E30" s="82">
        <f>+JAN!E30+FEBRUARI!E30+MARET!E30</f>
        <v>90</v>
      </c>
      <c r="F30" s="85">
        <v>3</v>
      </c>
      <c r="G30" s="85">
        <f>JAN!G30</f>
        <v>4</v>
      </c>
      <c r="H30" s="85">
        <f>+JAN!H30+FEBRUARI!H30+MARET!H30</f>
        <v>83</v>
      </c>
      <c r="I30" s="85">
        <f>+JAN!I30+FEBRUARI!I30+MARET!I30</f>
        <v>31</v>
      </c>
      <c r="J30" s="85">
        <f t="shared" si="7"/>
        <v>118</v>
      </c>
      <c r="K30" s="85">
        <f>+JAN!K30+FEBRUARI!K30+MARET!K30</f>
        <v>19</v>
      </c>
      <c r="L30" s="85">
        <f>+JAN!L30+FEBRUARI!L30+MARET!L30</f>
        <v>94</v>
      </c>
      <c r="M30" s="127">
        <f t="shared" si="8"/>
        <v>3</v>
      </c>
      <c r="N30" s="85">
        <f>+JAN!N30+FEBRUARI!N30+MARET!N30</f>
        <v>2</v>
      </c>
      <c r="O30" s="85">
        <f>+JAN!O30+FEBRUARI!O30+MARET!O30</f>
        <v>1</v>
      </c>
      <c r="P30" s="127">
        <f t="shared" si="9"/>
        <v>116</v>
      </c>
      <c r="Q30" s="85">
        <f>+JAN!Q30+FEBRUARI!Q30+MARET!Q30</f>
        <v>319</v>
      </c>
      <c r="R30" s="85">
        <f>+JAN!R30+FEBRUARI!R30+MARET!R30</f>
        <v>2</v>
      </c>
      <c r="S30" s="85">
        <f>+JAN!S30+FEBRUARI!S30+MARET!S30</f>
        <v>320</v>
      </c>
      <c r="T30" s="127">
        <f t="shared" si="10"/>
        <v>2</v>
      </c>
      <c r="U30" s="127">
        <f t="shared" si="11"/>
        <v>97</v>
      </c>
      <c r="V30" s="68">
        <f t="shared" si="2"/>
        <v>3.5555555555555554</v>
      </c>
      <c r="W30" s="68">
        <f t="shared" si="3"/>
        <v>118.5185185185185</v>
      </c>
      <c r="X30" s="68">
        <f t="shared" si="4"/>
        <v>3.2989690721649483</v>
      </c>
      <c r="Y30" s="69">
        <f t="shared" si="5"/>
        <v>-0.51546391752577303</v>
      </c>
      <c r="Z30" s="70">
        <f t="shared" si="6"/>
        <v>32.333333333333336</v>
      </c>
    </row>
    <row r="31" spans="1:26" ht="15.75" x14ac:dyDescent="0.25">
      <c r="A31" s="274"/>
      <c r="B31" s="211"/>
      <c r="C31" s="215" t="s">
        <v>47</v>
      </c>
      <c r="D31" s="131" t="s">
        <v>112</v>
      </c>
      <c r="E31" s="82">
        <f>+JAN!E31+FEBRUARI!E31+MARET!E31</f>
        <v>90</v>
      </c>
      <c r="F31" s="85">
        <v>8</v>
      </c>
      <c r="G31" s="85">
        <f>JAN!G31</f>
        <v>6</v>
      </c>
      <c r="H31" s="85">
        <f>+JAN!H31+FEBRUARI!H31+MARET!H31</f>
        <v>99</v>
      </c>
      <c r="I31" s="85">
        <f>+JAN!I31+FEBRUARI!I31+MARET!I31</f>
        <v>29</v>
      </c>
      <c r="J31" s="85">
        <f t="shared" si="7"/>
        <v>134</v>
      </c>
      <c r="K31" s="85">
        <f>+JAN!K31+FEBRUARI!K31+MARET!K31</f>
        <v>32</v>
      </c>
      <c r="L31" s="85">
        <f>+JAN!L31+FEBRUARI!L31+MARET!L31</f>
        <v>89</v>
      </c>
      <c r="M31" s="127">
        <f t="shared" si="8"/>
        <v>9</v>
      </c>
      <c r="N31" s="85">
        <f>+JAN!N31+FEBRUARI!N31+MARET!N31</f>
        <v>4</v>
      </c>
      <c r="O31" s="85">
        <f>+JAN!O31+FEBRUARI!O31+MARET!O31</f>
        <v>5</v>
      </c>
      <c r="P31" s="127">
        <f t="shared" si="9"/>
        <v>130</v>
      </c>
      <c r="Q31" s="85">
        <f>+JAN!Q31+FEBRUARI!Q31+MARET!Q31</f>
        <v>347</v>
      </c>
      <c r="R31" s="85">
        <f>+JAN!R31+FEBRUARI!R31+MARET!R31</f>
        <v>1</v>
      </c>
      <c r="S31" s="85">
        <f>+JAN!S31+FEBRUARI!S31+MARET!S31</f>
        <v>337</v>
      </c>
      <c r="T31" s="127">
        <f t="shared" si="10"/>
        <v>4</v>
      </c>
      <c r="U31" s="127">
        <f t="shared" si="11"/>
        <v>98</v>
      </c>
      <c r="V31" s="68">
        <f t="shared" si="2"/>
        <v>3.7444444444444445</v>
      </c>
      <c r="W31" s="68">
        <f t="shared" si="3"/>
        <v>46.805555555555557</v>
      </c>
      <c r="X31" s="68">
        <f t="shared" si="4"/>
        <v>3.4387755102040818</v>
      </c>
      <c r="Y31" s="69">
        <f t="shared" si="5"/>
        <v>3.9081632653061225</v>
      </c>
      <c r="Z31" s="70">
        <f t="shared" si="6"/>
        <v>12.25</v>
      </c>
    </row>
    <row r="32" spans="1:26" ht="15.75" x14ac:dyDescent="0.25">
      <c r="A32" s="274"/>
      <c r="B32" s="211"/>
      <c r="C32" s="129" t="s">
        <v>47</v>
      </c>
      <c r="D32" s="148"/>
      <c r="E32" s="129">
        <f>+JAN!E32+FEBRUARI!E32+MARET!E32</f>
        <v>90</v>
      </c>
      <c r="F32" s="129">
        <v>12</v>
      </c>
      <c r="G32" s="129">
        <f>JAN!G32</f>
        <v>10</v>
      </c>
      <c r="H32" s="129">
        <f>+JAN!H32+FEBRUARI!H32+MARET!H32</f>
        <v>182</v>
      </c>
      <c r="I32" s="129">
        <f>+JAN!I32+FEBRUARI!I32+MARET!I32</f>
        <v>60</v>
      </c>
      <c r="J32" s="129">
        <f t="shared" si="7"/>
        <v>252</v>
      </c>
      <c r="K32" s="129">
        <f>+JAN!K32+FEBRUARI!K32+MARET!K32</f>
        <v>51</v>
      </c>
      <c r="L32" s="129">
        <f>+JAN!L32+FEBRUARI!L32+MARET!L32</f>
        <v>183</v>
      </c>
      <c r="M32" s="130">
        <f t="shared" si="8"/>
        <v>12</v>
      </c>
      <c r="N32" s="129">
        <f>+JAN!N32+FEBRUARI!N32+MARET!N32</f>
        <v>6</v>
      </c>
      <c r="O32" s="129">
        <f>+JAN!O32+FEBRUARI!O32+MARET!O32</f>
        <v>6</v>
      </c>
      <c r="P32" s="130">
        <f t="shared" si="9"/>
        <v>246</v>
      </c>
      <c r="Q32" s="129">
        <f>+JAN!Q32+FEBRUARI!Q32+MARET!Q32</f>
        <v>666</v>
      </c>
      <c r="R32" s="129">
        <f>+JAN!R32+FEBRUARI!R32+MARET!R32</f>
        <v>3</v>
      </c>
      <c r="S32" s="129">
        <f>+JAN!S32+FEBRUARI!S32+MARET!S32</f>
        <v>657</v>
      </c>
      <c r="T32" s="130">
        <f t="shared" si="10"/>
        <v>6</v>
      </c>
      <c r="U32" s="130">
        <f t="shared" si="11"/>
        <v>195</v>
      </c>
      <c r="V32" s="73">
        <f t="shared" si="2"/>
        <v>7.3</v>
      </c>
      <c r="W32" s="73">
        <f t="shared" si="3"/>
        <v>60.833333333333329</v>
      </c>
      <c r="X32" s="73">
        <f t="shared" si="4"/>
        <v>3.3692307692307693</v>
      </c>
      <c r="Y32" s="146">
        <f t="shared" si="5"/>
        <v>2.1692307692307691</v>
      </c>
      <c r="Z32" s="146">
        <f t="shared" si="6"/>
        <v>16.25</v>
      </c>
    </row>
    <row r="33" spans="1:26" ht="15.75" x14ac:dyDescent="0.25">
      <c r="A33" s="275">
        <v>10</v>
      </c>
      <c r="B33" s="211"/>
      <c r="C33" s="215" t="s">
        <v>49</v>
      </c>
      <c r="D33" s="131" t="s">
        <v>40</v>
      </c>
      <c r="E33" s="82">
        <f>+JAN!E33+FEBRUARI!E33+MARET!E33</f>
        <v>90</v>
      </c>
      <c r="F33" s="85">
        <v>1</v>
      </c>
      <c r="G33" s="85">
        <f>JAN!G33</f>
        <v>0</v>
      </c>
      <c r="H33" s="85">
        <f>+JAN!H33+FEBRUARI!H33+MARET!H33</f>
        <v>9</v>
      </c>
      <c r="I33" s="85">
        <f>+JAN!I33+FEBRUARI!I33+MARET!I33</f>
        <v>1</v>
      </c>
      <c r="J33" s="85">
        <f t="shared" si="7"/>
        <v>10</v>
      </c>
      <c r="K33" s="85">
        <f>+JAN!K33+FEBRUARI!K33+MARET!K33</f>
        <v>2</v>
      </c>
      <c r="L33" s="85">
        <f>+JAN!L33+FEBRUARI!L33+MARET!L33</f>
        <v>7</v>
      </c>
      <c r="M33" s="127">
        <f t="shared" si="8"/>
        <v>0</v>
      </c>
      <c r="N33" s="85">
        <f>+JAN!N33+FEBRUARI!N33+MARET!N33</f>
        <v>0</v>
      </c>
      <c r="O33" s="85">
        <f>+JAN!O33+FEBRUARI!O33+MARET!O33</f>
        <v>0</v>
      </c>
      <c r="P33" s="127">
        <f t="shared" si="9"/>
        <v>9</v>
      </c>
      <c r="Q33" s="85">
        <f>+JAN!Q33+FEBRUARI!Q33+MARET!Q33</f>
        <v>21</v>
      </c>
      <c r="R33" s="85">
        <f>+JAN!R33+FEBRUARI!R33+MARET!R33</f>
        <v>0</v>
      </c>
      <c r="S33" s="85">
        <f>+JAN!S33+FEBRUARI!S33+MARET!S33</f>
        <v>21</v>
      </c>
      <c r="T33" s="127">
        <f t="shared" si="10"/>
        <v>1</v>
      </c>
      <c r="U33" s="127">
        <f t="shared" si="11"/>
        <v>7</v>
      </c>
      <c r="V33" s="68">
        <f t="shared" si="2"/>
        <v>0.23333333333333334</v>
      </c>
      <c r="W33" s="68">
        <f t="shared" si="3"/>
        <v>23.333333333333332</v>
      </c>
      <c r="X33" s="68">
        <f t="shared" si="4"/>
        <v>3</v>
      </c>
      <c r="Y33" s="69">
        <f t="shared" si="5"/>
        <v>9.8571428571428577</v>
      </c>
      <c r="Z33" s="70">
        <f t="shared" si="6"/>
        <v>7</v>
      </c>
    </row>
    <row r="34" spans="1:26" ht="15.75" x14ac:dyDescent="0.25">
      <c r="A34" s="276"/>
      <c r="B34" s="211"/>
      <c r="C34" s="85" t="s">
        <v>49</v>
      </c>
      <c r="D34" s="131" t="s">
        <v>48</v>
      </c>
      <c r="E34" s="82">
        <f>+JAN!E34+FEBRUARI!E34+MARET!E34</f>
        <v>90</v>
      </c>
      <c r="F34" s="85">
        <v>2</v>
      </c>
      <c r="G34" s="85">
        <f>JAN!G34</f>
        <v>3</v>
      </c>
      <c r="H34" s="85">
        <f>+JAN!H34+FEBRUARI!H34+MARET!H34</f>
        <v>37</v>
      </c>
      <c r="I34" s="85">
        <f>+JAN!I34+FEBRUARI!I34+MARET!I34</f>
        <v>9</v>
      </c>
      <c r="J34" s="85">
        <f t="shared" si="7"/>
        <v>49</v>
      </c>
      <c r="K34" s="85">
        <f>+JAN!K34+FEBRUARI!K34+MARET!K34</f>
        <v>4</v>
      </c>
      <c r="L34" s="85">
        <f>+JAN!L34+FEBRUARI!L34+MARET!L34</f>
        <v>40</v>
      </c>
      <c r="M34" s="127">
        <f t="shared" si="8"/>
        <v>3</v>
      </c>
      <c r="N34" s="85">
        <f>+JAN!N34+FEBRUARI!N34+MARET!N34</f>
        <v>1</v>
      </c>
      <c r="O34" s="85">
        <f>+JAN!O34+FEBRUARI!O34+MARET!O34</f>
        <v>2</v>
      </c>
      <c r="P34" s="127">
        <f t="shared" si="9"/>
        <v>47</v>
      </c>
      <c r="Q34" s="85">
        <f>+JAN!Q34+FEBRUARI!Q34+MARET!Q34</f>
        <v>165</v>
      </c>
      <c r="R34" s="85">
        <f>+JAN!R34+FEBRUARI!R34+MARET!R34</f>
        <v>0</v>
      </c>
      <c r="S34" s="85">
        <f>+JAN!S34+FEBRUARI!S34+MARET!S34</f>
        <v>185</v>
      </c>
      <c r="T34" s="127">
        <f t="shared" si="10"/>
        <v>2</v>
      </c>
      <c r="U34" s="127">
        <f t="shared" si="11"/>
        <v>43</v>
      </c>
      <c r="V34" s="68">
        <f t="shared" si="2"/>
        <v>2.0555555555555554</v>
      </c>
      <c r="W34" s="68">
        <f t="shared" si="3"/>
        <v>102.77777777777777</v>
      </c>
      <c r="X34" s="68">
        <f t="shared" si="4"/>
        <v>4.3023255813953485</v>
      </c>
      <c r="Y34" s="69">
        <f t="shared" si="5"/>
        <v>-0.11627906976744144</v>
      </c>
      <c r="Z34" s="70">
        <f t="shared" si="6"/>
        <v>21.5</v>
      </c>
    </row>
    <row r="35" spans="1:26" ht="15.75" x14ac:dyDescent="0.25">
      <c r="A35" s="276"/>
      <c r="B35" s="211"/>
      <c r="C35" s="215" t="s">
        <v>49</v>
      </c>
      <c r="D35" s="131" t="s">
        <v>38</v>
      </c>
      <c r="E35" s="82">
        <f>+JAN!E35+FEBRUARI!E35+MARET!E35</f>
        <v>90</v>
      </c>
      <c r="F35" s="85">
        <v>4</v>
      </c>
      <c r="G35" s="85">
        <f>JAN!G35</f>
        <v>4</v>
      </c>
      <c r="H35" s="85">
        <f>+JAN!H35+FEBRUARI!H35+MARET!H35</f>
        <v>63</v>
      </c>
      <c r="I35" s="85">
        <f>+JAN!I35+FEBRUARI!I35+MARET!I35</f>
        <v>9</v>
      </c>
      <c r="J35" s="85">
        <f t="shared" si="7"/>
        <v>76</v>
      </c>
      <c r="K35" s="85">
        <f>+JAN!K35+FEBRUARI!K35+MARET!K35</f>
        <v>3</v>
      </c>
      <c r="L35" s="85">
        <f>+JAN!L35+FEBRUARI!L35+MARET!L35</f>
        <v>65</v>
      </c>
      <c r="M35" s="127">
        <f t="shared" si="8"/>
        <v>4</v>
      </c>
      <c r="N35" s="85">
        <f>+JAN!N35+FEBRUARI!N35+MARET!N35</f>
        <v>3</v>
      </c>
      <c r="O35" s="85">
        <f>+JAN!O35+FEBRUARI!O35+MARET!O35</f>
        <v>1</v>
      </c>
      <c r="P35" s="127">
        <f t="shared" si="9"/>
        <v>72</v>
      </c>
      <c r="Q35" s="85">
        <f>+JAN!Q35+FEBRUARI!Q35+MARET!Q35</f>
        <v>276</v>
      </c>
      <c r="R35" s="85">
        <f>+JAN!R35+FEBRUARI!R35+MARET!R35</f>
        <v>2</v>
      </c>
      <c r="S35" s="85">
        <f>+JAN!S35+FEBRUARI!S35+MARET!S35</f>
        <v>295</v>
      </c>
      <c r="T35" s="127">
        <f t="shared" si="10"/>
        <v>4</v>
      </c>
      <c r="U35" s="127">
        <f t="shared" si="11"/>
        <v>69</v>
      </c>
      <c r="V35" s="68">
        <f t="shared" si="2"/>
        <v>3.2777777777777777</v>
      </c>
      <c r="W35" s="68">
        <f t="shared" si="3"/>
        <v>81.944444444444443</v>
      </c>
      <c r="X35" s="68">
        <f t="shared" si="4"/>
        <v>4.27536231884058</v>
      </c>
      <c r="Y35" s="69">
        <f t="shared" si="5"/>
        <v>0.94202898550724656</v>
      </c>
      <c r="Z35" s="70">
        <f t="shared" si="6"/>
        <v>17.25</v>
      </c>
    </row>
    <row r="36" spans="1:26" ht="15.75" x14ac:dyDescent="0.25">
      <c r="A36" s="276"/>
      <c r="B36" s="211"/>
      <c r="C36" s="215" t="s">
        <v>49</v>
      </c>
      <c r="D36" s="131" t="s">
        <v>34</v>
      </c>
      <c r="E36" s="82">
        <f>+JAN!E36+FEBRUARI!E36+MARET!E36</f>
        <v>90</v>
      </c>
      <c r="F36" s="85">
        <v>12</v>
      </c>
      <c r="G36" s="85">
        <f>JAN!G36</f>
        <v>7</v>
      </c>
      <c r="H36" s="85">
        <f>+JAN!H36+FEBRUARI!H36+MARET!H36</f>
        <v>212</v>
      </c>
      <c r="I36" s="85">
        <f>+JAN!I36+FEBRUARI!I36+MARET!I36</f>
        <v>25</v>
      </c>
      <c r="J36" s="85">
        <f t="shared" si="7"/>
        <v>244</v>
      </c>
      <c r="K36" s="85">
        <f>+JAN!K36+FEBRUARI!K36+MARET!K36</f>
        <v>6</v>
      </c>
      <c r="L36" s="85">
        <f>+JAN!L36+FEBRUARI!L36+MARET!L36</f>
        <v>206</v>
      </c>
      <c r="M36" s="127">
        <f t="shared" si="8"/>
        <v>17</v>
      </c>
      <c r="N36" s="85">
        <f>+JAN!N36+FEBRUARI!N36+MARET!N36</f>
        <v>7</v>
      </c>
      <c r="O36" s="85">
        <f>+JAN!O36+FEBRUARI!O36+MARET!O36</f>
        <v>10</v>
      </c>
      <c r="P36" s="127">
        <f t="shared" si="9"/>
        <v>229</v>
      </c>
      <c r="Q36" s="85">
        <f>+JAN!Q36+FEBRUARI!Q36+MARET!Q36</f>
        <v>842</v>
      </c>
      <c r="R36" s="85">
        <f>+JAN!R36+FEBRUARI!R36+MARET!R36</f>
        <v>2</v>
      </c>
      <c r="S36" s="85">
        <f>+JAN!S36+FEBRUARI!S36+MARET!S36</f>
        <v>859</v>
      </c>
      <c r="T36" s="127">
        <f t="shared" si="10"/>
        <v>15</v>
      </c>
      <c r="U36" s="127">
        <f t="shared" si="11"/>
        <v>223</v>
      </c>
      <c r="V36" s="68">
        <f t="shared" si="2"/>
        <v>9.5444444444444443</v>
      </c>
      <c r="W36" s="68">
        <f t="shared" si="3"/>
        <v>79.537037037037038</v>
      </c>
      <c r="X36" s="68">
        <f t="shared" si="4"/>
        <v>3.8520179372197307</v>
      </c>
      <c r="Y36" s="69">
        <f t="shared" si="5"/>
        <v>0.99103139013452912</v>
      </c>
      <c r="Z36" s="70">
        <f t="shared" si="6"/>
        <v>18.583333333333332</v>
      </c>
    </row>
    <row r="37" spans="1:26" ht="15.75" x14ac:dyDescent="0.25">
      <c r="A37" s="277"/>
      <c r="B37" s="211"/>
      <c r="C37" s="129" t="s">
        <v>49</v>
      </c>
      <c r="D37" s="148"/>
      <c r="E37" s="129">
        <f>+JAN!E37+FEBRUARI!E37+MARET!E37</f>
        <v>90</v>
      </c>
      <c r="F37" s="129">
        <v>19</v>
      </c>
      <c r="G37" s="129">
        <f>JAN!G37</f>
        <v>14</v>
      </c>
      <c r="H37" s="129">
        <f>+JAN!H37+FEBRUARI!H37+MARET!H37</f>
        <v>321</v>
      </c>
      <c r="I37" s="129">
        <f>+JAN!I37+FEBRUARI!I37+MARET!I37</f>
        <v>44</v>
      </c>
      <c r="J37" s="129">
        <f t="shared" si="7"/>
        <v>379</v>
      </c>
      <c r="K37" s="129">
        <f>+JAN!K37+FEBRUARI!K37+MARET!K37</f>
        <v>15</v>
      </c>
      <c r="L37" s="129">
        <f>+JAN!L37+FEBRUARI!L37+MARET!L37</f>
        <v>318</v>
      </c>
      <c r="M37" s="130">
        <f t="shared" si="8"/>
        <v>24</v>
      </c>
      <c r="N37" s="129">
        <f>+JAN!N37+FEBRUARI!N37+MARET!N37</f>
        <v>11</v>
      </c>
      <c r="O37" s="129">
        <f>+JAN!O37+FEBRUARI!O37+MARET!O37</f>
        <v>13</v>
      </c>
      <c r="P37" s="130">
        <f t="shared" si="9"/>
        <v>357</v>
      </c>
      <c r="Q37" s="129">
        <f>+JAN!Q37+FEBRUARI!Q37+MARET!Q37</f>
        <v>1304</v>
      </c>
      <c r="R37" s="129">
        <f>+JAN!R37+FEBRUARI!R37+MARET!R37</f>
        <v>4</v>
      </c>
      <c r="S37" s="129">
        <f>+JAN!S37+FEBRUARI!S37+MARET!S37</f>
        <v>1360</v>
      </c>
      <c r="T37" s="130">
        <f t="shared" si="10"/>
        <v>22</v>
      </c>
      <c r="U37" s="130">
        <f t="shared" si="11"/>
        <v>342</v>
      </c>
      <c r="V37" s="73">
        <f t="shared" si="2"/>
        <v>15.111111111111111</v>
      </c>
      <c r="W37" s="73">
        <f t="shared" si="3"/>
        <v>79.532163742690059</v>
      </c>
      <c r="X37" s="73">
        <f t="shared" si="4"/>
        <v>3.9766081871345027</v>
      </c>
      <c r="Y37" s="146">
        <f t="shared" si="5"/>
        <v>1.0233918128654973</v>
      </c>
      <c r="Z37" s="146">
        <f t="shared" si="6"/>
        <v>18</v>
      </c>
    </row>
    <row r="38" spans="1:26" ht="15.75" x14ac:dyDescent="0.25">
      <c r="A38" s="283">
        <v>11</v>
      </c>
      <c r="B38" s="211"/>
      <c r="C38" s="212" t="s">
        <v>50</v>
      </c>
      <c r="D38" s="131" t="s">
        <v>51</v>
      </c>
      <c r="E38" s="82">
        <f>+JAN!E38+FEBRUARI!E38+MARET!E38</f>
        <v>90</v>
      </c>
      <c r="F38" s="82">
        <v>6</v>
      </c>
      <c r="G38" s="85">
        <f>JAN!G38</f>
        <v>4</v>
      </c>
      <c r="H38" s="85">
        <f>+JAN!H38+FEBRUARI!H38+MARET!H38</f>
        <v>114</v>
      </c>
      <c r="I38" s="85">
        <f>+JAN!I38+FEBRUARI!I38+MARET!I38</f>
        <v>22</v>
      </c>
      <c r="J38" s="85">
        <f t="shared" si="7"/>
        <v>140</v>
      </c>
      <c r="K38" s="85">
        <f>+JAN!K38+FEBRUARI!K38+MARET!K38</f>
        <v>29</v>
      </c>
      <c r="L38" s="85">
        <f>+JAN!L38+FEBRUARI!L38+MARET!L38</f>
        <v>101</v>
      </c>
      <c r="M38" s="127">
        <f t="shared" si="8"/>
        <v>10</v>
      </c>
      <c r="N38" s="85">
        <f>+JAN!N38+FEBRUARI!N38+MARET!N38</f>
        <v>3</v>
      </c>
      <c r="O38" s="85">
        <f>+JAN!O38+FEBRUARI!O38+MARET!O38</f>
        <v>7</v>
      </c>
      <c r="P38" s="127">
        <f t="shared" si="9"/>
        <v>140</v>
      </c>
      <c r="Q38" s="85">
        <f>+JAN!Q38+FEBRUARI!Q38+MARET!Q38</f>
        <v>316</v>
      </c>
      <c r="R38" s="85">
        <f>+JAN!R38+FEBRUARI!R38+MARET!R38</f>
        <v>0</v>
      </c>
      <c r="S38" s="85">
        <f>+JAN!S38+FEBRUARI!S38+MARET!S38</f>
        <v>458</v>
      </c>
      <c r="T38" s="127">
        <f t="shared" si="10"/>
        <v>0</v>
      </c>
      <c r="U38" s="127">
        <f t="shared" si="11"/>
        <v>111</v>
      </c>
      <c r="V38" s="68">
        <f t="shared" si="2"/>
        <v>5.0888888888888886</v>
      </c>
      <c r="W38" s="68">
        <f t="shared" si="3"/>
        <v>84.81481481481481</v>
      </c>
      <c r="X38" s="68">
        <f t="shared" si="4"/>
        <v>4.1261261261261257</v>
      </c>
      <c r="Y38" s="69">
        <f t="shared" si="5"/>
        <v>0.73873873873873896</v>
      </c>
      <c r="Z38" s="70">
        <f t="shared" si="6"/>
        <v>18.5</v>
      </c>
    </row>
    <row r="39" spans="1:26" ht="15.75" x14ac:dyDescent="0.25">
      <c r="A39" s="283"/>
      <c r="B39" s="211"/>
      <c r="C39" s="152" t="s">
        <v>50</v>
      </c>
      <c r="D39" s="131" t="s">
        <v>52</v>
      </c>
      <c r="E39" s="82">
        <f>+JAN!E39+FEBRUARI!E39+MARET!E39</f>
        <v>90</v>
      </c>
      <c r="F39" s="82">
        <v>8</v>
      </c>
      <c r="G39" s="85">
        <f>JAN!G39</f>
        <v>4</v>
      </c>
      <c r="H39" s="85">
        <f>+JAN!H39+FEBRUARI!H39+MARET!H39</f>
        <v>146</v>
      </c>
      <c r="I39" s="85">
        <f>+JAN!I39+FEBRUARI!I39+MARET!I39</f>
        <v>39</v>
      </c>
      <c r="J39" s="85">
        <f t="shared" si="7"/>
        <v>189</v>
      </c>
      <c r="K39" s="85">
        <f>+JAN!K39+FEBRUARI!K39+MARET!K39</f>
        <v>20</v>
      </c>
      <c r="L39" s="85">
        <f>+JAN!L39+FEBRUARI!L39+MARET!L39</f>
        <v>145</v>
      </c>
      <c r="M39" s="127">
        <f t="shared" si="8"/>
        <v>11</v>
      </c>
      <c r="N39" s="85">
        <f>+JAN!N39+FEBRUARI!N39+MARET!N39</f>
        <v>3</v>
      </c>
      <c r="O39" s="85">
        <f>+JAN!O39+FEBRUARI!O39+MARET!O39</f>
        <v>8</v>
      </c>
      <c r="P39" s="127">
        <f t="shared" si="9"/>
        <v>176</v>
      </c>
      <c r="Q39" s="85">
        <f>+JAN!Q39+FEBRUARI!Q39+MARET!Q39</f>
        <v>479</v>
      </c>
      <c r="R39" s="85">
        <f>+JAN!R39+FEBRUARI!R39+MARET!R39</f>
        <v>3</v>
      </c>
      <c r="S39" s="85">
        <f>+JAN!S39+FEBRUARI!S39+MARET!S39</f>
        <v>420</v>
      </c>
      <c r="T39" s="127">
        <f t="shared" si="10"/>
        <v>13</v>
      </c>
      <c r="U39" s="127">
        <f t="shared" si="11"/>
        <v>156</v>
      </c>
      <c r="V39" s="68">
        <f t="shared" si="2"/>
        <v>4.666666666666667</v>
      </c>
      <c r="W39" s="68">
        <f t="shared" si="3"/>
        <v>58.333333333333336</v>
      </c>
      <c r="X39" s="68">
        <f t="shared" si="4"/>
        <v>2.6923076923076925</v>
      </c>
      <c r="Y39" s="69">
        <f t="shared" si="5"/>
        <v>1.9230769230769231</v>
      </c>
      <c r="Z39" s="70">
        <f t="shared" si="6"/>
        <v>19.5</v>
      </c>
    </row>
    <row r="40" spans="1:26" ht="15.75" x14ac:dyDescent="0.25">
      <c r="A40" s="283"/>
      <c r="B40" s="211"/>
      <c r="C40" s="212" t="s">
        <v>50</v>
      </c>
      <c r="D40" s="131" t="s">
        <v>53</v>
      </c>
      <c r="E40" s="82">
        <f>+JAN!E40+FEBRUARI!E40+MARET!E40</f>
        <v>90</v>
      </c>
      <c r="F40" s="82">
        <v>14</v>
      </c>
      <c r="G40" s="85">
        <f>JAN!G40</f>
        <v>8</v>
      </c>
      <c r="H40" s="85">
        <f>+JAN!H40+FEBRUARI!H40+MARET!H40</f>
        <v>206</v>
      </c>
      <c r="I40" s="85">
        <f>+JAN!I40+FEBRUARI!I40+MARET!I40</f>
        <v>28</v>
      </c>
      <c r="J40" s="85">
        <f t="shared" si="7"/>
        <v>242</v>
      </c>
      <c r="K40" s="85">
        <f>+JAN!K40+FEBRUARI!K40+MARET!K40</f>
        <v>30</v>
      </c>
      <c r="L40" s="85">
        <f>+JAN!L40+FEBRUARI!L40+MARET!L40</f>
        <v>183</v>
      </c>
      <c r="M40" s="127">
        <f t="shared" si="8"/>
        <v>15</v>
      </c>
      <c r="N40" s="85">
        <f>+JAN!N40+FEBRUARI!N40+MARET!N40</f>
        <v>10</v>
      </c>
      <c r="O40" s="85">
        <f>+JAN!O40+FEBRUARI!O40+MARET!O40</f>
        <v>5</v>
      </c>
      <c r="P40" s="127">
        <f t="shared" si="9"/>
        <v>228</v>
      </c>
      <c r="Q40" s="85">
        <f>+JAN!Q40+FEBRUARI!Q40+MARET!Q40</f>
        <v>672</v>
      </c>
      <c r="R40" s="85">
        <f>+JAN!R40+FEBRUARI!R40+MARET!R40</f>
        <v>4</v>
      </c>
      <c r="S40" s="85">
        <f>+JAN!S40+FEBRUARI!S40+MARET!S40</f>
        <v>672</v>
      </c>
      <c r="T40" s="127">
        <f t="shared" si="10"/>
        <v>14</v>
      </c>
      <c r="U40" s="127">
        <f t="shared" si="11"/>
        <v>198</v>
      </c>
      <c r="V40" s="68">
        <f t="shared" si="2"/>
        <v>7.4666666666666668</v>
      </c>
      <c r="W40" s="68">
        <f t="shared" si="3"/>
        <v>53.333333333333336</v>
      </c>
      <c r="X40" s="68">
        <f t="shared" si="4"/>
        <v>3.393939393939394</v>
      </c>
      <c r="Y40" s="69">
        <f t="shared" si="5"/>
        <v>2.9696969696969697</v>
      </c>
      <c r="Z40" s="70">
        <f t="shared" si="6"/>
        <v>14.142857142857142</v>
      </c>
    </row>
    <row r="41" spans="1:26" ht="15.75" x14ac:dyDescent="0.25">
      <c r="A41" s="283"/>
      <c r="B41" s="211"/>
      <c r="C41" s="152"/>
      <c r="D41" s="131"/>
      <c r="E41" s="82"/>
      <c r="F41" s="82"/>
      <c r="G41" s="85">
        <f>JAN!G41</f>
        <v>0</v>
      </c>
      <c r="H41" s="85">
        <f>+JAN!H41+FEBRUARI!H41+MARET!H41</f>
        <v>0</v>
      </c>
      <c r="I41" s="85">
        <f>+JAN!I41+FEBRUARI!I41+MARET!I41</f>
        <v>0</v>
      </c>
      <c r="J41" s="85">
        <f t="shared" si="7"/>
        <v>0</v>
      </c>
      <c r="K41" s="85">
        <f>+JAN!K41+FEBRUARI!K41+MARET!K41</f>
        <v>0</v>
      </c>
      <c r="L41" s="85">
        <f>+JAN!L41+FEBRUARI!L41+MARET!L41</f>
        <v>0</v>
      </c>
      <c r="M41" s="127">
        <f t="shared" si="8"/>
        <v>0</v>
      </c>
      <c r="N41" s="85">
        <f>+JAN!N41+FEBRUARI!N41+MARET!N41</f>
        <v>0</v>
      </c>
      <c r="O41" s="85">
        <f>+JAN!O41+FEBRUARI!O41+MARET!O41</f>
        <v>0</v>
      </c>
      <c r="P41" s="127">
        <f t="shared" si="9"/>
        <v>0</v>
      </c>
      <c r="Q41" s="85">
        <f>+JAN!Q41+FEBRUARI!Q41+MARET!Q41</f>
        <v>0</v>
      </c>
      <c r="R41" s="85">
        <f>+JAN!R41+FEBRUARI!R41+MARET!R41</f>
        <v>0</v>
      </c>
      <c r="S41" s="85">
        <f>+JAN!S41+FEBRUARI!S41+MARET!S41</f>
        <v>0</v>
      </c>
      <c r="T41" s="127">
        <f t="shared" si="10"/>
        <v>0</v>
      </c>
      <c r="U41" s="127">
        <f t="shared" si="11"/>
        <v>0</v>
      </c>
      <c r="V41" s="68" t="e">
        <f t="shared" si="2"/>
        <v>#DIV/0!</v>
      </c>
      <c r="W41" s="68" t="e">
        <f t="shared" si="3"/>
        <v>#DIV/0!</v>
      </c>
      <c r="X41" s="68" t="e">
        <f t="shared" si="4"/>
        <v>#DIV/0!</v>
      </c>
      <c r="Y41" s="69" t="e">
        <f t="shared" si="5"/>
        <v>#DIV/0!</v>
      </c>
      <c r="Z41" s="70" t="e">
        <f t="shared" si="6"/>
        <v>#DIV/0!</v>
      </c>
    </row>
    <row r="42" spans="1:26" ht="15.75" x14ac:dyDescent="0.25">
      <c r="A42" s="283"/>
      <c r="B42" s="211"/>
      <c r="C42" s="129" t="s">
        <v>50</v>
      </c>
      <c r="D42" s="148"/>
      <c r="E42" s="129">
        <f>+JAN!E42+FEBRUARI!E42+MARET!E42</f>
        <v>90</v>
      </c>
      <c r="F42" s="129">
        <v>28</v>
      </c>
      <c r="G42" s="129">
        <f>JAN!G42</f>
        <v>16</v>
      </c>
      <c r="H42" s="129">
        <f>+JAN!H42+FEBRUARI!H42+MARET!H42</f>
        <v>466</v>
      </c>
      <c r="I42" s="129">
        <f>+JAN!I42+FEBRUARI!I42+MARET!I42</f>
        <v>89</v>
      </c>
      <c r="J42" s="129">
        <f t="shared" si="7"/>
        <v>571</v>
      </c>
      <c r="K42" s="129">
        <f>+JAN!K42+FEBRUARI!K42+MARET!K42</f>
        <v>79</v>
      </c>
      <c r="L42" s="129">
        <f>+JAN!L42+FEBRUARI!L42+MARET!L42</f>
        <v>429</v>
      </c>
      <c r="M42" s="130">
        <f t="shared" si="8"/>
        <v>36</v>
      </c>
      <c r="N42" s="129">
        <f>+JAN!N42+FEBRUARI!N42+MARET!N42</f>
        <v>16</v>
      </c>
      <c r="O42" s="129">
        <f>+JAN!O42+FEBRUARI!O42+MARET!O42</f>
        <v>20</v>
      </c>
      <c r="P42" s="130">
        <f t="shared" si="9"/>
        <v>544</v>
      </c>
      <c r="Q42" s="129">
        <f>+JAN!Q42+FEBRUARI!Q42+MARET!Q42</f>
        <v>1467</v>
      </c>
      <c r="R42" s="129">
        <f>+JAN!R42+FEBRUARI!R42+MARET!R42</f>
        <v>7</v>
      </c>
      <c r="S42" s="129">
        <f>+JAN!S42+FEBRUARI!S42+MARET!S42</f>
        <v>1550</v>
      </c>
      <c r="T42" s="130">
        <f t="shared" si="10"/>
        <v>27</v>
      </c>
      <c r="U42" s="130">
        <f t="shared" si="11"/>
        <v>465</v>
      </c>
      <c r="V42" s="73">
        <f t="shared" si="2"/>
        <v>17.222222222222221</v>
      </c>
      <c r="W42" s="73">
        <f t="shared" si="3"/>
        <v>61.507936507936499</v>
      </c>
      <c r="X42" s="73">
        <f t="shared" si="4"/>
        <v>3.3333333333333335</v>
      </c>
      <c r="Y42" s="146">
        <f t="shared" si="5"/>
        <v>2.0860215053763445</v>
      </c>
      <c r="Z42" s="146">
        <f t="shared" si="6"/>
        <v>16.607142857142858</v>
      </c>
    </row>
    <row r="43" spans="1:26" ht="15.75" x14ac:dyDescent="0.25">
      <c r="A43" s="91"/>
      <c r="B43" s="211"/>
      <c r="C43" s="216" t="s">
        <v>54</v>
      </c>
      <c r="D43" s="131" t="s">
        <v>40</v>
      </c>
      <c r="E43" s="82">
        <f>+JAN!E43+FEBRUARI!E43+MARET!E43</f>
        <v>90</v>
      </c>
      <c r="F43" s="85">
        <v>2</v>
      </c>
      <c r="G43" s="85">
        <f>JAN!G43</f>
        <v>0</v>
      </c>
      <c r="H43" s="85">
        <f>+JAN!H43+FEBRUARI!H43+MARET!H43</f>
        <v>0</v>
      </c>
      <c r="I43" s="85">
        <f>+JAN!I43+FEBRUARI!I43+MARET!I43</f>
        <v>0</v>
      </c>
      <c r="J43" s="85">
        <f t="shared" si="7"/>
        <v>0</v>
      </c>
      <c r="K43" s="85">
        <f>+JAN!K43+FEBRUARI!K43+MARET!K43</f>
        <v>0</v>
      </c>
      <c r="L43" s="85">
        <f>+JAN!L43+FEBRUARI!L43+MARET!L43</f>
        <v>0</v>
      </c>
      <c r="M43" s="127">
        <f t="shared" si="8"/>
        <v>0</v>
      </c>
      <c r="N43" s="85">
        <f>+JAN!N43+FEBRUARI!N43+MARET!N43</f>
        <v>0</v>
      </c>
      <c r="O43" s="85">
        <f>+JAN!O43+FEBRUARI!O43+MARET!O43</f>
        <v>0</v>
      </c>
      <c r="P43" s="127">
        <f t="shared" si="9"/>
        <v>0</v>
      </c>
      <c r="Q43" s="85">
        <f>+JAN!Q43+FEBRUARI!Q43+MARET!Q43</f>
        <v>0</v>
      </c>
      <c r="R43" s="85">
        <f>+JAN!R43+FEBRUARI!R43+MARET!R43</f>
        <v>0</v>
      </c>
      <c r="S43" s="85">
        <f>+JAN!S43+FEBRUARI!S43+MARET!S43</f>
        <v>0</v>
      </c>
      <c r="T43" s="127">
        <f t="shared" si="10"/>
        <v>0</v>
      </c>
      <c r="U43" s="127">
        <f t="shared" si="11"/>
        <v>0</v>
      </c>
      <c r="V43" s="68">
        <f t="shared" si="2"/>
        <v>0</v>
      </c>
      <c r="W43" s="68">
        <f t="shared" si="3"/>
        <v>0</v>
      </c>
      <c r="X43" s="68" t="e">
        <f t="shared" si="4"/>
        <v>#DIV/0!</v>
      </c>
      <c r="Y43" s="69" t="e">
        <f t="shared" si="5"/>
        <v>#DIV/0!</v>
      </c>
      <c r="Z43" s="70">
        <f t="shared" si="6"/>
        <v>0</v>
      </c>
    </row>
    <row r="44" spans="1:26" ht="15.75" x14ac:dyDescent="0.25">
      <c r="A44" s="283">
        <v>12</v>
      </c>
      <c r="B44" s="211"/>
      <c r="C44" s="82" t="s">
        <v>54</v>
      </c>
      <c r="D44" s="126" t="s">
        <v>48</v>
      </c>
      <c r="E44" s="82">
        <f>+JAN!E44+FEBRUARI!E44+MARET!E44</f>
        <v>90</v>
      </c>
      <c r="F44" s="82">
        <v>13</v>
      </c>
      <c r="G44" s="85">
        <f>JAN!G44</f>
        <v>14</v>
      </c>
      <c r="H44" s="85">
        <f>+JAN!H44+FEBRUARI!H44+MARET!H44</f>
        <v>303</v>
      </c>
      <c r="I44" s="85">
        <f>+JAN!I44+FEBRUARI!I44+MARET!I44</f>
        <v>44</v>
      </c>
      <c r="J44" s="85">
        <f t="shared" si="7"/>
        <v>361</v>
      </c>
      <c r="K44" s="85">
        <f>+JAN!K44+FEBRUARI!K44+MARET!K44</f>
        <v>24</v>
      </c>
      <c r="L44" s="85">
        <f>+JAN!L44+FEBRUARI!L44+MARET!L44</f>
        <v>301</v>
      </c>
      <c r="M44" s="127">
        <f t="shared" si="8"/>
        <v>22</v>
      </c>
      <c r="N44" s="85">
        <f>+JAN!N44+FEBRUARI!N44+MARET!N44</f>
        <v>8</v>
      </c>
      <c r="O44" s="85">
        <f>+JAN!O44+FEBRUARI!O44+MARET!O44</f>
        <v>14</v>
      </c>
      <c r="P44" s="127">
        <f t="shared" si="9"/>
        <v>347</v>
      </c>
      <c r="Q44" s="85">
        <f>+JAN!Q44+FEBRUARI!Q44+MARET!Q44</f>
        <v>1072</v>
      </c>
      <c r="R44" s="85">
        <f>+JAN!R44+FEBRUARI!R44+MARET!R44</f>
        <v>0</v>
      </c>
      <c r="S44" s="85">
        <f>+JAN!S44+FEBRUARI!S44+MARET!S44</f>
        <v>1046</v>
      </c>
      <c r="T44" s="127">
        <f t="shared" si="10"/>
        <v>14</v>
      </c>
      <c r="U44" s="127">
        <f t="shared" si="11"/>
        <v>323</v>
      </c>
      <c r="V44" s="68">
        <f t="shared" si="2"/>
        <v>11.622222222222222</v>
      </c>
      <c r="W44" s="68">
        <f t="shared" si="3"/>
        <v>89.401709401709397</v>
      </c>
      <c r="X44" s="68">
        <f t="shared" si="4"/>
        <v>3.2383900928792571</v>
      </c>
      <c r="Y44" s="69">
        <f t="shared" si="5"/>
        <v>0.38390092879256982</v>
      </c>
      <c r="Z44" s="70">
        <f t="shared" si="6"/>
        <v>24.846153846153847</v>
      </c>
    </row>
    <row r="45" spans="1:26" ht="15.75" x14ac:dyDescent="0.25">
      <c r="A45" s="283"/>
      <c r="B45" s="211"/>
      <c r="C45" s="216" t="s">
        <v>54</v>
      </c>
      <c r="D45" s="126" t="s">
        <v>55</v>
      </c>
      <c r="E45" s="82">
        <f>+JAN!E45+FEBRUARI!E45+MARET!E45</f>
        <v>90</v>
      </c>
      <c r="F45" s="82">
        <v>2</v>
      </c>
      <c r="G45" s="85">
        <f>JAN!G45</f>
        <v>0</v>
      </c>
      <c r="H45" s="85">
        <f>+JAN!H45+FEBRUARI!H45+MARET!H45</f>
        <v>4</v>
      </c>
      <c r="I45" s="85">
        <f>+JAN!I45+FEBRUARI!I45+MARET!I45</f>
        <v>0</v>
      </c>
      <c r="J45" s="85">
        <f t="shared" si="7"/>
        <v>4</v>
      </c>
      <c r="K45" s="85">
        <f>+JAN!K45+FEBRUARI!K45+MARET!K45</f>
        <v>2</v>
      </c>
      <c r="L45" s="85">
        <f>+JAN!L45+FEBRUARI!L45+MARET!L45</f>
        <v>2</v>
      </c>
      <c r="M45" s="127">
        <f t="shared" si="8"/>
        <v>0</v>
      </c>
      <c r="N45" s="85">
        <f>+JAN!N45+FEBRUARI!N45+MARET!N45</f>
        <v>0</v>
      </c>
      <c r="O45" s="85">
        <f>+JAN!O45+FEBRUARI!O45+MARET!O45</f>
        <v>0</v>
      </c>
      <c r="P45" s="127">
        <f t="shared" si="9"/>
        <v>4</v>
      </c>
      <c r="Q45" s="85">
        <f>+JAN!Q45+FEBRUARI!Q45+MARET!Q45</f>
        <v>8</v>
      </c>
      <c r="R45" s="85">
        <f>+JAN!R45+FEBRUARI!R45+MARET!R45</f>
        <v>0</v>
      </c>
      <c r="S45" s="85">
        <f>+JAN!S45+FEBRUARI!S45+MARET!S45</f>
        <v>7</v>
      </c>
      <c r="T45" s="127">
        <f t="shared" si="10"/>
        <v>0</v>
      </c>
      <c r="U45" s="127">
        <f t="shared" si="11"/>
        <v>2</v>
      </c>
      <c r="V45" s="68">
        <f t="shared" si="2"/>
        <v>7.7777777777777779E-2</v>
      </c>
      <c r="W45" s="68">
        <f t="shared" si="3"/>
        <v>3.8888888888888888</v>
      </c>
      <c r="X45" s="68">
        <f t="shared" si="4"/>
        <v>3.5</v>
      </c>
      <c r="Y45" s="69">
        <f t="shared" si="5"/>
        <v>86.5</v>
      </c>
      <c r="Z45" s="70">
        <f t="shared" si="6"/>
        <v>1</v>
      </c>
    </row>
    <row r="46" spans="1:26" ht="15.75" x14ac:dyDescent="0.25">
      <c r="A46" s="283"/>
      <c r="B46" s="211"/>
      <c r="C46" s="129" t="s">
        <v>54</v>
      </c>
      <c r="D46" s="148"/>
      <c r="E46" s="129">
        <f>+JAN!E46+FEBRUARI!E46+MARET!E46</f>
        <v>90</v>
      </c>
      <c r="F46" s="129">
        <v>17</v>
      </c>
      <c r="G46" s="129">
        <f>JAN!G46</f>
        <v>14</v>
      </c>
      <c r="H46" s="129">
        <f>+JAN!H46+FEBRUARI!H46+MARET!H46</f>
        <v>307</v>
      </c>
      <c r="I46" s="129">
        <f>+JAN!I46+FEBRUARI!I46+MARET!I46</f>
        <v>44</v>
      </c>
      <c r="J46" s="129">
        <f t="shared" si="7"/>
        <v>365</v>
      </c>
      <c r="K46" s="129">
        <f>+JAN!K46+FEBRUARI!K46+MARET!K46</f>
        <v>26</v>
      </c>
      <c r="L46" s="129">
        <f>+JAN!L46+FEBRUARI!L46+MARET!L46</f>
        <v>303</v>
      </c>
      <c r="M46" s="130">
        <f t="shared" si="8"/>
        <v>22</v>
      </c>
      <c r="N46" s="129">
        <f>+JAN!N46+FEBRUARI!N46+MARET!N46</f>
        <v>8</v>
      </c>
      <c r="O46" s="129">
        <f>+JAN!O46+FEBRUARI!O46+MARET!O46</f>
        <v>14</v>
      </c>
      <c r="P46" s="130">
        <f t="shared" si="9"/>
        <v>351</v>
      </c>
      <c r="Q46" s="129">
        <f>+JAN!Q46+FEBRUARI!Q46+MARET!Q46</f>
        <v>1080</v>
      </c>
      <c r="R46" s="129">
        <f>+JAN!R46+FEBRUARI!R46+MARET!R46</f>
        <v>0</v>
      </c>
      <c r="S46" s="129">
        <f>+JAN!S46+FEBRUARI!S46+MARET!S46</f>
        <v>1053</v>
      </c>
      <c r="T46" s="130">
        <f t="shared" si="10"/>
        <v>14</v>
      </c>
      <c r="U46" s="130">
        <f t="shared" si="11"/>
        <v>325</v>
      </c>
      <c r="V46" s="73">
        <f t="shared" si="2"/>
        <v>11.7</v>
      </c>
      <c r="W46" s="73">
        <f t="shared" si="3"/>
        <v>68.82352941176471</v>
      </c>
      <c r="X46" s="73">
        <f t="shared" si="4"/>
        <v>3.24</v>
      </c>
      <c r="Y46" s="146">
        <f t="shared" si="5"/>
        <v>1.4676923076923079</v>
      </c>
      <c r="Z46" s="146">
        <f t="shared" si="6"/>
        <v>19.117647058823529</v>
      </c>
    </row>
    <row r="47" spans="1:26" ht="15.75" x14ac:dyDescent="0.25">
      <c r="A47" s="284">
        <v>13</v>
      </c>
      <c r="B47" s="211"/>
      <c r="C47" s="217" t="s">
        <v>61</v>
      </c>
      <c r="D47" s="131" t="s">
        <v>57</v>
      </c>
      <c r="E47" s="82">
        <f>+JAN!E47+FEBRUARI!E47+MARET!E47</f>
        <v>90</v>
      </c>
      <c r="F47" s="85">
        <v>2</v>
      </c>
      <c r="G47" s="85">
        <f>JAN!G47</f>
        <v>0</v>
      </c>
      <c r="H47" s="85">
        <f>+JAN!H47+FEBRUARI!H47+MARET!H47</f>
        <v>8</v>
      </c>
      <c r="I47" s="85">
        <f>+JAN!I47+FEBRUARI!I47+MARET!I47</f>
        <v>2</v>
      </c>
      <c r="J47" s="85">
        <f t="shared" si="7"/>
        <v>10</v>
      </c>
      <c r="K47" s="85">
        <f>+JAN!K47+FEBRUARI!K47+MARET!K47</f>
        <v>2</v>
      </c>
      <c r="L47" s="85">
        <f>+JAN!L47+FEBRUARI!L47+MARET!L47</f>
        <v>3</v>
      </c>
      <c r="M47" s="127">
        <f t="shared" si="8"/>
        <v>4</v>
      </c>
      <c r="N47" s="85">
        <f>+JAN!N47+FEBRUARI!N47+MARET!N47</f>
        <v>2</v>
      </c>
      <c r="O47" s="85">
        <f>+JAN!O47+FEBRUARI!O47+MARET!O47</f>
        <v>2</v>
      </c>
      <c r="P47" s="127">
        <f t="shared" si="9"/>
        <v>9</v>
      </c>
      <c r="Q47" s="85">
        <f>+JAN!Q47+FEBRUARI!Q47+MARET!Q47</f>
        <v>23</v>
      </c>
      <c r="R47" s="85">
        <f>+JAN!R47+FEBRUARI!R47+MARET!R47</f>
        <v>0</v>
      </c>
      <c r="S47" s="85">
        <f>+JAN!S47+FEBRUARI!S47+MARET!S47</f>
        <v>27</v>
      </c>
      <c r="T47" s="127">
        <f t="shared" si="10"/>
        <v>1</v>
      </c>
      <c r="U47" s="127">
        <f t="shared" si="11"/>
        <v>7</v>
      </c>
      <c r="V47" s="68">
        <f t="shared" si="2"/>
        <v>0.3</v>
      </c>
      <c r="W47" s="68">
        <f t="shared" si="3"/>
        <v>15</v>
      </c>
      <c r="X47" s="68">
        <f t="shared" si="4"/>
        <v>3.8571428571428572</v>
      </c>
      <c r="Y47" s="69">
        <f t="shared" si="5"/>
        <v>21.857142857142858</v>
      </c>
      <c r="Z47" s="70">
        <f t="shared" si="6"/>
        <v>3.5</v>
      </c>
    </row>
    <row r="48" spans="1:26" ht="15.75" x14ac:dyDescent="0.25">
      <c r="A48" s="285"/>
      <c r="B48" s="211"/>
      <c r="C48" s="217" t="s">
        <v>61</v>
      </c>
      <c r="D48" s="132" t="s">
        <v>58</v>
      </c>
      <c r="E48" s="82">
        <f>+JAN!E48+FEBRUARI!E48+MARET!E48</f>
        <v>90</v>
      </c>
      <c r="F48" s="133">
        <v>3</v>
      </c>
      <c r="G48" s="85">
        <f>JAN!G48</f>
        <v>1</v>
      </c>
      <c r="H48" s="85">
        <f>+JAN!H48+FEBRUARI!H48+MARET!H48</f>
        <v>17</v>
      </c>
      <c r="I48" s="85">
        <f>+JAN!I48+FEBRUARI!I48+MARET!I48</f>
        <v>1</v>
      </c>
      <c r="J48" s="85">
        <f t="shared" si="7"/>
        <v>19</v>
      </c>
      <c r="K48" s="85">
        <f>+JAN!K48+FEBRUARI!K48+MARET!K48</f>
        <v>2</v>
      </c>
      <c r="L48" s="85">
        <f>+JAN!L48+FEBRUARI!L48+MARET!L48</f>
        <v>10</v>
      </c>
      <c r="M48" s="127">
        <f t="shared" si="8"/>
        <v>7</v>
      </c>
      <c r="N48" s="85">
        <f>+JAN!N48+FEBRUARI!N48+MARET!N48</f>
        <v>1</v>
      </c>
      <c r="O48" s="85">
        <f>+JAN!O48+FEBRUARI!O48+MARET!O48</f>
        <v>6</v>
      </c>
      <c r="P48" s="127">
        <f t="shared" si="9"/>
        <v>19</v>
      </c>
      <c r="Q48" s="85">
        <f>+JAN!Q48+FEBRUARI!Q48+MARET!Q48</f>
        <v>78</v>
      </c>
      <c r="R48" s="85">
        <f>+JAN!R48+FEBRUARI!R48+MARET!R48</f>
        <v>0</v>
      </c>
      <c r="S48" s="85">
        <f>+JAN!S48+FEBRUARI!S48+MARET!S48</f>
        <v>62</v>
      </c>
      <c r="T48" s="127">
        <f t="shared" si="10"/>
        <v>0</v>
      </c>
      <c r="U48" s="127">
        <f t="shared" si="11"/>
        <v>17</v>
      </c>
      <c r="V48" s="68">
        <f t="shared" si="2"/>
        <v>0.68888888888888888</v>
      </c>
      <c r="W48" s="68">
        <f t="shared" si="3"/>
        <v>22.962962962962962</v>
      </c>
      <c r="X48" s="68">
        <f t="shared" si="4"/>
        <v>3.6470588235294117</v>
      </c>
      <c r="Y48" s="69">
        <f t="shared" si="5"/>
        <v>12.235294117647058</v>
      </c>
      <c r="Z48" s="70">
        <f t="shared" si="6"/>
        <v>5.666666666666667</v>
      </c>
    </row>
    <row r="49" spans="1:26" ht="15.75" x14ac:dyDescent="0.25">
      <c r="A49" s="285"/>
      <c r="B49" s="211"/>
      <c r="C49" s="167" t="s">
        <v>61</v>
      </c>
      <c r="D49" s="132" t="s">
        <v>59</v>
      </c>
      <c r="E49" s="82">
        <f>+JAN!E49+FEBRUARI!E49+MARET!E49</f>
        <v>90</v>
      </c>
      <c r="F49" s="133">
        <v>2</v>
      </c>
      <c r="G49" s="85">
        <f>JAN!G49</f>
        <v>0</v>
      </c>
      <c r="H49" s="85">
        <f>+JAN!H49+FEBRUARI!H49+MARET!H49</f>
        <v>11</v>
      </c>
      <c r="I49" s="85">
        <f>+JAN!I49+FEBRUARI!I49+MARET!I49</f>
        <v>6</v>
      </c>
      <c r="J49" s="85">
        <f t="shared" si="7"/>
        <v>17</v>
      </c>
      <c r="K49" s="85">
        <f>+JAN!K49+FEBRUARI!K49+MARET!K49</f>
        <v>2</v>
      </c>
      <c r="L49" s="85">
        <f>+JAN!L49+FEBRUARI!L49+MARET!L49</f>
        <v>10</v>
      </c>
      <c r="M49" s="127">
        <f t="shared" si="8"/>
        <v>5</v>
      </c>
      <c r="N49" s="85">
        <f>+JAN!N49+FEBRUARI!N49+MARET!N49</f>
        <v>3</v>
      </c>
      <c r="O49" s="85">
        <f>+JAN!O49+FEBRUARI!O49+MARET!O49</f>
        <v>2</v>
      </c>
      <c r="P49" s="127">
        <f t="shared" si="9"/>
        <v>17</v>
      </c>
      <c r="Q49" s="85">
        <f>+JAN!Q49+FEBRUARI!Q49+MARET!Q49</f>
        <v>90</v>
      </c>
      <c r="R49" s="85">
        <f>+JAN!R49+FEBRUARI!R49+MARET!R49</f>
        <v>0</v>
      </c>
      <c r="S49" s="85">
        <f>+JAN!S49+FEBRUARI!S49+MARET!S49</f>
        <v>65</v>
      </c>
      <c r="T49" s="127">
        <f t="shared" si="10"/>
        <v>0</v>
      </c>
      <c r="U49" s="127">
        <f t="shared" si="11"/>
        <v>15</v>
      </c>
      <c r="V49" s="68">
        <f t="shared" si="2"/>
        <v>0.72222222222222221</v>
      </c>
      <c r="W49" s="68">
        <f t="shared" si="3"/>
        <v>36.111111111111107</v>
      </c>
      <c r="X49" s="68">
        <f t="shared" si="4"/>
        <v>4.333333333333333</v>
      </c>
      <c r="Y49" s="69">
        <f t="shared" si="5"/>
        <v>7.6666666666666661</v>
      </c>
      <c r="Z49" s="70">
        <f t="shared" si="6"/>
        <v>7.5</v>
      </c>
    </row>
    <row r="50" spans="1:26" ht="15.75" x14ac:dyDescent="0.25">
      <c r="A50" s="285"/>
      <c r="B50" s="211"/>
      <c r="C50" s="217" t="s">
        <v>61</v>
      </c>
      <c r="D50" s="132" t="s">
        <v>60</v>
      </c>
      <c r="E50" s="82">
        <f>+JAN!E50+FEBRUARI!E50+MARET!E50</f>
        <v>90</v>
      </c>
      <c r="F50" s="133">
        <v>10</v>
      </c>
      <c r="G50" s="85">
        <f>JAN!G50</f>
        <v>2</v>
      </c>
      <c r="H50" s="85">
        <f>+JAN!H50+FEBRUARI!H50+MARET!H50</f>
        <v>138</v>
      </c>
      <c r="I50" s="85">
        <f>+JAN!I50+FEBRUARI!I50+MARET!I50</f>
        <v>24</v>
      </c>
      <c r="J50" s="85">
        <f t="shared" si="7"/>
        <v>164</v>
      </c>
      <c r="K50" s="85">
        <f>+JAN!K50+FEBRUARI!K50+MARET!K50</f>
        <v>6</v>
      </c>
      <c r="L50" s="85">
        <f>+JAN!L50+FEBRUARI!L50+MARET!L50</f>
        <v>100</v>
      </c>
      <c r="M50" s="127">
        <f t="shared" si="8"/>
        <v>53</v>
      </c>
      <c r="N50" s="85">
        <f>+JAN!N50+FEBRUARI!N50+MARET!N50</f>
        <v>25</v>
      </c>
      <c r="O50" s="85">
        <f>+JAN!O50+FEBRUARI!O50+MARET!O50</f>
        <v>28</v>
      </c>
      <c r="P50" s="127">
        <f t="shared" si="9"/>
        <v>159</v>
      </c>
      <c r="Q50" s="85">
        <f>+JAN!Q50+FEBRUARI!Q50+MARET!Q50</f>
        <v>663</v>
      </c>
      <c r="R50" s="85">
        <f>+JAN!R50+FEBRUARI!R50+MARET!R50</f>
        <v>1</v>
      </c>
      <c r="S50" s="85">
        <f>+JAN!S50+FEBRUARI!S50+MARET!S50</f>
        <v>599</v>
      </c>
      <c r="T50" s="127">
        <f t="shared" si="10"/>
        <v>5</v>
      </c>
      <c r="U50" s="127">
        <f t="shared" si="11"/>
        <v>153</v>
      </c>
      <c r="V50" s="68">
        <f t="shared" si="2"/>
        <v>6.6555555555555559</v>
      </c>
      <c r="W50" s="68">
        <f t="shared" si="3"/>
        <v>66.555555555555557</v>
      </c>
      <c r="X50" s="68">
        <f t="shared" si="4"/>
        <v>3.9150326797385619</v>
      </c>
      <c r="Y50" s="69">
        <f t="shared" si="5"/>
        <v>1.9673202614379082</v>
      </c>
      <c r="Z50" s="70">
        <f t="shared" si="6"/>
        <v>15.3</v>
      </c>
    </row>
    <row r="51" spans="1:26" ht="15.75" x14ac:dyDescent="0.25">
      <c r="A51" s="286"/>
      <c r="B51" s="211"/>
      <c r="C51" s="129" t="s">
        <v>61</v>
      </c>
      <c r="D51" s="148"/>
      <c r="E51" s="129">
        <f>+JAN!E51+FEBRUARI!E51+MARET!E51</f>
        <v>90</v>
      </c>
      <c r="F51" s="129">
        <v>17</v>
      </c>
      <c r="G51" s="129">
        <f>JAN!G51</f>
        <v>3</v>
      </c>
      <c r="H51" s="129">
        <f>+JAN!H51+FEBRUARI!H51+MARET!H51</f>
        <v>174</v>
      </c>
      <c r="I51" s="129">
        <f>+JAN!I51+FEBRUARI!I51+MARET!I51</f>
        <v>33</v>
      </c>
      <c r="J51" s="129">
        <f t="shared" si="7"/>
        <v>210</v>
      </c>
      <c r="K51" s="129">
        <f>+JAN!K51+FEBRUARI!K51+MARET!K51</f>
        <v>12</v>
      </c>
      <c r="L51" s="129">
        <f>+JAN!L51+FEBRUARI!L51+MARET!L51</f>
        <v>123</v>
      </c>
      <c r="M51" s="130">
        <f t="shared" si="8"/>
        <v>69</v>
      </c>
      <c r="N51" s="129">
        <f>+JAN!N51+FEBRUARI!N51+MARET!N51</f>
        <v>31</v>
      </c>
      <c r="O51" s="129">
        <f>+JAN!O51+FEBRUARI!O51+MARET!O51</f>
        <v>38</v>
      </c>
      <c r="P51" s="130">
        <f t="shared" si="9"/>
        <v>204</v>
      </c>
      <c r="Q51" s="129">
        <f>+JAN!Q51+FEBRUARI!Q51+MARET!Q51</f>
        <v>854</v>
      </c>
      <c r="R51" s="129">
        <f>+JAN!R51+FEBRUARI!R51+MARET!R51</f>
        <v>1</v>
      </c>
      <c r="S51" s="129">
        <f>+JAN!S51+FEBRUARI!S51+MARET!S51</f>
        <v>753</v>
      </c>
      <c r="T51" s="130">
        <f t="shared" si="10"/>
        <v>6</v>
      </c>
      <c r="U51" s="130">
        <f t="shared" si="11"/>
        <v>192</v>
      </c>
      <c r="V51" s="73">
        <f t="shared" si="2"/>
        <v>8.3666666666666671</v>
      </c>
      <c r="W51" s="73">
        <f t="shared" si="3"/>
        <v>49.215686274509807</v>
      </c>
      <c r="X51" s="73">
        <f t="shared" si="4"/>
        <v>3.921875</v>
      </c>
      <c r="Y51" s="146">
        <f t="shared" si="5"/>
        <v>4.046875</v>
      </c>
      <c r="Z51" s="146">
        <f t="shared" si="6"/>
        <v>11.294117647058824</v>
      </c>
    </row>
    <row r="52" spans="1:26" ht="15.75" x14ac:dyDescent="0.25">
      <c r="A52" s="208"/>
      <c r="B52" s="218"/>
      <c r="C52" s="85"/>
      <c r="D52" s="131"/>
      <c r="E52" s="82">
        <f>+JAN!E52+FEBRUARI!E52+MARET!E52</f>
        <v>0</v>
      </c>
      <c r="F52" s="85"/>
      <c r="G52" s="85">
        <f>JAN!G52</f>
        <v>0</v>
      </c>
      <c r="H52" s="85">
        <f>+JAN!H52+FEBRUARI!H52+MARET!H52</f>
        <v>0</v>
      </c>
      <c r="I52" s="85">
        <f>+JAN!I52+FEBRUARI!I52+MARET!I52</f>
        <v>0</v>
      </c>
      <c r="J52" s="85">
        <f t="shared" si="7"/>
        <v>0</v>
      </c>
      <c r="K52" s="85">
        <f>+JAN!K52+FEBRUARI!K52+MARET!K52</f>
        <v>0</v>
      </c>
      <c r="L52" s="85">
        <f>+JAN!L52+FEBRUARI!L52+MARET!L52</f>
        <v>0</v>
      </c>
      <c r="M52" s="127">
        <f t="shared" si="8"/>
        <v>0</v>
      </c>
      <c r="N52" s="85">
        <f>+JAN!N52+FEBRUARI!N52+MARET!N52</f>
        <v>0</v>
      </c>
      <c r="O52" s="85">
        <f>+JAN!O52+FEBRUARI!O52+MARET!O52</f>
        <v>0</v>
      </c>
      <c r="P52" s="127">
        <f t="shared" si="9"/>
        <v>0</v>
      </c>
      <c r="Q52" s="85">
        <f>+JAN!Q52+FEBRUARI!Q52+MARET!Q52</f>
        <v>0</v>
      </c>
      <c r="R52" s="85">
        <f>+JAN!R52+FEBRUARI!R52+MARET!R52</f>
        <v>0</v>
      </c>
      <c r="S52" s="85">
        <f>+JAN!S52+FEBRUARI!S52+MARET!S52</f>
        <v>0</v>
      </c>
      <c r="T52" s="127">
        <f t="shared" si="10"/>
        <v>0</v>
      </c>
      <c r="U52" s="127">
        <f t="shared" si="11"/>
        <v>0</v>
      </c>
      <c r="V52" s="68" t="e">
        <f t="shared" si="2"/>
        <v>#DIV/0!</v>
      </c>
      <c r="W52" s="68" t="e">
        <f t="shared" si="3"/>
        <v>#DIV/0!</v>
      </c>
      <c r="X52" s="68" t="e">
        <f t="shared" si="4"/>
        <v>#DIV/0!</v>
      </c>
      <c r="Y52" s="69" t="e">
        <f t="shared" si="5"/>
        <v>#DIV/0!</v>
      </c>
      <c r="Z52" s="70" t="e">
        <f t="shared" si="6"/>
        <v>#DIV/0!</v>
      </c>
    </row>
    <row r="53" spans="1:26" ht="15.75" x14ac:dyDescent="0.25">
      <c r="A53" s="283">
        <v>14</v>
      </c>
      <c r="B53" s="211"/>
      <c r="C53" s="85" t="s">
        <v>62</v>
      </c>
      <c r="D53" s="131" t="s">
        <v>55</v>
      </c>
      <c r="E53" s="82">
        <f>+JAN!E53+FEBRUARI!E53+MARET!E53</f>
        <v>90</v>
      </c>
      <c r="F53" s="85">
        <v>8</v>
      </c>
      <c r="G53" s="85">
        <f>JAN!G53</f>
        <v>4</v>
      </c>
      <c r="H53" s="85">
        <f>+JAN!H53+FEBRUARI!H53+MARET!H53</f>
        <v>89</v>
      </c>
      <c r="I53" s="85">
        <f>+JAN!I53+FEBRUARI!I53+MARET!I53</f>
        <v>9</v>
      </c>
      <c r="J53" s="85">
        <f t="shared" si="7"/>
        <v>102</v>
      </c>
      <c r="K53" s="85">
        <f>+JAN!K53+FEBRUARI!K53+MARET!K53</f>
        <v>8</v>
      </c>
      <c r="L53" s="85">
        <f>+JAN!L53+FEBRUARI!L53+MARET!L53</f>
        <v>81</v>
      </c>
      <c r="M53" s="127">
        <f t="shared" si="8"/>
        <v>7</v>
      </c>
      <c r="N53" s="85">
        <f>+JAN!N53+FEBRUARI!N53+MARET!N53</f>
        <v>1</v>
      </c>
      <c r="O53" s="85">
        <f>+JAN!O53+FEBRUARI!O53+MARET!O53</f>
        <v>6</v>
      </c>
      <c r="P53" s="127">
        <f t="shared" si="9"/>
        <v>96</v>
      </c>
      <c r="Q53" s="85">
        <f>+JAN!Q53+FEBRUARI!Q53+MARET!Q53</f>
        <v>303</v>
      </c>
      <c r="R53" s="85">
        <f>+JAN!R53+FEBRUARI!R53+MARET!R53</f>
        <v>1</v>
      </c>
      <c r="S53" s="85">
        <f>+JAN!S53+FEBRUARI!S53+MARET!S53</f>
        <v>329</v>
      </c>
      <c r="T53" s="127">
        <f t="shared" si="10"/>
        <v>6</v>
      </c>
      <c r="U53" s="127">
        <f t="shared" si="11"/>
        <v>88</v>
      </c>
      <c r="V53" s="68">
        <f t="shared" si="2"/>
        <v>3.6555555555555554</v>
      </c>
      <c r="W53" s="68">
        <f t="shared" si="3"/>
        <v>45.694444444444443</v>
      </c>
      <c r="X53" s="68">
        <f t="shared" si="4"/>
        <v>3.7386363636363638</v>
      </c>
      <c r="Y53" s="69">
        <f t="shared" si="5"/>
        <v>4.4431818181818192</v>
      </c>
      <c r="Z53" s="70">
        <f t="shared" si="6"/>
        <v>11</v>
      </c>
    </row>
    <row r="54" spans="1:26" ht="15.75" x14ac:dyDescent="0.25">
      <c r="A54" s="283"/>
      <c r="B54" s="211"/>
      <c r="C54" s="129" t="s">
        <v>62</v>
      </c>
      <c r="D54" s="148" t="s">
        <v>55</v>
      </c>
      <c r="E54" s="129">
        <f>+JAN!E54+FEBRUARI!E54+MARET!E54</f>
        <v>90</v>
      </c>
      <c r="F54" s="129">
        <v>8</v>
      </c>
      <c r="G54" s="129">
        <f>JAN!G54</f>
        <v>4</v>
      </c>
      <c r="H54" s="129">
        <f>+JAN!H54+FEBRUARI!H54+MARET!H54</f>
        <v>89</v>
      </c>
      <c r="I54" s="129">
        <f>+JAN!I54+FEBRUARI!I54+MARET!I54</f>
        <v>9</v>
      </c>
      <c r="J54" s="129">
        <f t="shared" si="7"/>
        <v>102</v>
      </c>
      <c r="K54" s="129">
        <f>+JAN!K54+FEBRUARI!K54+MARET!K54</f>
        <v>8</v>
      </c>
      <c r="L54" s="129">
        <f>+JAN!L54+FEBRUARI!L54+MARET!L54</f>
        <v>81</v>
      </c>
      <c r="M54" s="130">
        <f t="shared" si="8"/>
        <v>7</v>
      </c>
      <c r="N54" s="129">
        <f>+JAN!N54+FEBRUARI!N54+MARET!N54</f>
        <v>1</v>
      </c>
      <c r="O54" s="129">
        <f>+JAN!O54+FEBRUARI!O54+MARET!O54</f>
        <v>6</v>
      </c>
      <c r="P54" s="130">
        <f t="shared" si="9"/>
        <v>96</v>
      </c>
      <c r="Q54" s="129">
        <f>+JAN!Q54+FEBRUARI!Q54+MARET!Q54</f>
        <v>303</v>
      </c>
      <c r="R54" s="129">
        <f>+JAN!R54+FEBRUARI!R54+MARET!R54</f>
        <v>1</v>
      </c>
      <c r="S54" s="129">
        <f>+JAN!S54+FEBRUARI!S54+MARET!S54</f>
        <v>329</v>
      </c>
      <c r="T54" s="130">
        <f t="shared" si="10"/>
        <v>6</v>
      </c>
      <c r="U54" s="130">
        <f t="shared" si="11"/>
        <v>88</v>
      </c>
      <c r="V54" s="73">
        <f t="shared" si="2"/>
        <v>3.6555555555555554</v>
      </c>
      <c r="W54" s="73">
        <f t="shared" si="3"/>
        <v>45.694444444444443</v>
      </c>
      <c r="X54" s="73">
        <f t="shared" si="4"/>
        <v>3.7386363636363638</v>
      </c>
      <c r="Y54" s="146">
        <f t="shared" si="5"/>
        <v>4.4431818181818192</v>
      </c>
      <c r="Z54" s="146">
        <f t="shared" si="6"/>
        <v>11</v>
      </c>
    </row>
    <row r="55" spans="1:26" ht="15.75" x14ac:dyDescent="0.25">
      <c r="A55" s="91"/>
      <c r="B55" s="211"/>
      <c r="C55" s="154" t="s">
        <v>63</v>
      </c>
      <c r="D55" s="131" t="s">
        <v>40</v>
      </c>
      <c r="E55" s="82">
        <f>+JAN!E55+FEBRUARI!E55+MARET!E55</f>
        <v>90</v>
      </c>
      <c r="F55" s="85">
        <v>4</v>
      </c>
      <c r="G55" s="85">
        <f>JAN!G55</f>
        <v>0</v>
      </c>
      <c r="H55" s="85">
        <f>+JAN!H55+FEBRUARI!H55+MARET!H55</f>
        <v>0</v>
      </c>
      <c r="I55" s="85">
        <f>+JAN!I55+FEBRUARI!I55+MARET!I55</f>
        <v>0</v>
      </c>
      <c r="J55" s="85">
        <f t="shared" si="7"/>
        <v>0</v>
      </c>
      <c r="K55" s="85">
        <f>+JAN!K55+FEBRUARI!K55+MARET!K55</f>
        <v>0</v>
      </c>
      <c r="L55" s="85">
        <f>+JAN!L55+FEBRUARI!L55+MARET!L55</f>
        <v>0</v>
      </c>
      <c r="M55" s="127">
        <f t="shared" si="8"/>
        <v>0</v>
      </c>
      <c r="N55" s="85">
        <f>+JAN!N55+FEBRUARI!N55+MARET!N55</f>
        <v>0</v>
      </c>
      <c r="O55" s="85">
        <f>+JAN!O55+FEBRUARI!O55+MARET!O55</f>
        <v>0</v>
      </c>
      <c r="P55" s="127">
        <f t="shared" si="9"/>
        <v>0</v>
      </c>
      <c r="Q55" s="85">
        <f>+JAN!Q55+FEBRUARI!Q55+MARET!Q55</f>
        <v>0</v>
      </c>
      <c r="R55" s="85">
        <f>+JAN!R55+FEBRUARI!R55+MARET!R55</f>
        <v>0</v>
      </c>
      <c r="S55" s="85">
        <f>+JAN!S55+FEBRUARI!S55+MARET!S55</f>
        <v>0</v>
      </c>
      <c r="T55" s="127">
        <f t="shared" si="10"/>
        <v>0</v>
      </c>
      <c r="U55" s="127">
        <f t="shared" si="11"/>
        <v>0</v>
      </c>
      <c r="V55" s="68">
        <f t="shared" si="2"/>
        <v>0</v>
      </c>
      <c r="W55" s="68">
        <f t="shared" si="3"/>
        <v>0</v>
      </c>
      <c r="X55" s="68" t="e">
        <f t="shared" si="4"/>
        <v>#DIV/0!</v>
      </c>
      <c r="Y55" s="69" t="e">
        <f t="shared" si="5"/>
        <v>#DIV/0!</v>
      </c>
      <c r="Z55" s="70">
        <f t="shared" si="6"/>
        <v>0</v>
      </c>
    </row>
    <row r="56" spans="1:26" ht="15.75" x14ac:dyDescent="0.25">
      <c r="A56" s="283">
        <v>15</v>
      </c>
      <c r="B56" s="211"/>
      <c r="C56" s="219" t="s">
        <v>63</v>
      </c>
      <c r="D56" s="131" t="s">
        <v>34</v>
      </c>
      <c r="E56" s="82">
        <f>+JAN!E56+FEBRUARI!E56+MARET!E56</f>
        <v>90</v>
      </c>
      <c r="F56" s="85">
        <v>14</v>
      </c>
      <c r="G56" s="85">
        <f>JAN!G56</f>
        <v>17</v>
      </c>
      <c r="H56" s="85">
        <f>+JAN!H56+FEBRUARI!H56+MARET!H56</f>
        <v>370</v>
      </c>
      <c r="I56" s="85">
        <f>+JAN!I56+FEBRUARI!I56+MARET!I56</f>
        <v>39</v>
      </c>
      <c r="J56" s="85">
        <f t="shared" si="7"/>
        <v>426</v>
      </c>
      <c r="K56" s="85">
        <f>+JAN!K56+FEBRUARI!K56+MARET!K56</f>
        <v>37</v>
      </c>
      <c r="L56" s="85">
        <f>+JAN!L56+FEBRUARI!L56+MARET!L56</f>
        <v>335</v>
      </c>
      <c r="M56" s="127">
        <f t="shared" si="8"/>
        <v>38</v>
      </c>
      <c r="N56" s="85">
        <f>+JAN!N56+FEBRUARI!N56+MARET!N56</f>
        <v>19</v>
      </c>
      <c r="O56" s="85">
        <f>+JAN!O56+FEBRUARI!O56+MARET!O56</f>
        <v>19</v>
      </c>
      <c r="P56" s="127">
        <f t="shared" si="9"/>
        <v>410</v>
      </c>
      <c r="Q56" s="85">
        <f>+JAN!Q56+FEBRUARI!Q56+MARET!Q56</f>
        <v>1336</v>
      </c>
      <c r="R56" s="85">
        <f>+JAN!R56+FEBRUARI!R56+MARET!R56</f>
        <v>3</v>
      </c>
      <c r="S56" s="85">
        <f>+JAN!S56+FEBRUARI!S56+MARET!S56</f>
        <v>1336</v>
      </c>
      <c r="T56" s="127">
        <f t="shared" si="10"/>
        <v>16</v>
      </c>
      <c r="U56" s="127">
        <f t="shared" si="11"/>
        <v>373</v>
      </c>
      <c r="V56" s="68">
        <f t="shared" si="2"/>
        <v>14.844444444444445</v>
      </c>
      <c r="W56" s="68">
        <f t="shared" si="3"/>
        <v>106.03174603174604</v>
      </c>
      <c r="X56" s="68">
        <f t="shared" si="4"/>
        <v>3.5817694369973192</v>
      </c>
      <c r="Y56" s="69">
        <f t="shared" si="5"/>
        <v>-0.20375335120643448</v>
      </c>
      <c r="Z56" s="70">
        <f t="shared" si="6"/>
        <v>26.642857142857142</v>
      </c>
    </row>
    <row r="57" spans="1:26" ht="15.75" x14ac:dyDescent="0.25">
      <c r="A57" s="283"/>
      <c r="B57" s="211"/>
      <c r="C57" s="129" t="s">
        <v>63</v>
      </c>
      <c r="D57" s="148"/>
      <c r="E57" s="129">
        <f>+JAN!E57+FEBRUARI!E57+MARET!E57</f>
        <v>90</v>
      </c>
      <c r="F57" s="129">
        <v>18</v>
      </c>
      <c r="G57" s="129">
        <f>JAN!G57</f>
        <v>17</v>
      </c>
      <c r="H57" s="129">
        <f>+JAN!H57+FEBRUARI!H57+MARET!H57</f>
        <v>370</v>
      </c>
      <c r="I57" s="129">
        <f>+JAN!I57+FEBRUARI!I57+MARET!I57</f>
        <v>39</v>
      </c>
      <c r="J57" s="129">
        <f t="shared" si="7"/>
        <v>426</v>
      </c>
      <c r="K57" s="129">
        <f>+JAN!K57+FEBRUARI!K57+MARET!K57</f>
        <v>37</v>
      </c>
      <c r="L57" s="129">
        <f>+JAN!L57+FEBRUARI!L57+MARET!L57</f>
        <v>335</v>
      </c>
      <c r="M57" s="130">
        <f t="shared" si="8"/>
        <v>38</v>
      </c>
      <c r="N57" s="129">
        <f>+JAN!N57+FEBRUARI!N57+MARET!N57</f>
        <v>19</v>
      </c>
      <c r="O57" s="129">
        <f>+JAN!O57+FEBRUARI!O57+MARET!O57</f>
        <v>19</v>
      </c>
      <c r="P57" s="130">
        <f t="shared" si="9"/>
        <v>410</v>
      </c>
      <c r="Q57" s="129">
        <f>+JAN!Q57+FEBRUARI!Q57+MARET!Q57</f>
        <v>1336</v>
      </c>
      <c r="R57" s="129">
        <f>+JAN!R57+FEBRUARI!R57+MARET!R57</f>
        <v>3</v>
      </c>
      <c r="S57" s="129">
        <f>+JAN!S57+FEBRUARI!S57+MARET!S57</f>
        <v>1336</v>
      </c>
      <c r="T57" s="130">
        <f t="shared" si="10"/>
        <v>16</v>
      </c>
      <c r="U57" s="130">
        <f t="shared" si="11"/>
        <v>373</v>
      </c>
      <c r="V57" s="73">
        <f t="shared" si="2"/>
        <v>14.844444444444445</v>
      </c>
      <c r="W57" s="73">
        <f t="shared" si="3"/>
        <v>82.46913580246914</v>
      </c>
      <c r="X57" s="73">
        <f t="shared" si="4"/>
        <v>3.5817694369973192</v>
      </c>
      <c r="Y57" s="146">
        <f t="shared" si="5"/>
        <v>0.76139410187667544</v>
      </c>
      <c r="Z57" s="146">
        <f t="shared" si="6"/>
        <v>20.722222222222221</v>
      </c>
    </row>
    <row r="58" spans="1:26" ht="15.75" x14ac:dyDescent="0.25">
      <c r="A58" s="91"/>
      <c r="B58" s="211"/>
      <c r="C58" s="270" t="s">
        <v>64</v>
      </c>
      <c r="D58" s="131" t="s">
        <v>112</v>
      </c>
      <c r="E58" s="82">
        <f>+JAN!E58+FEBRUARI!E58+MARET!E58</f>
        <v>90</v>
      </c>
      <c r="F58" s="85"/>
      <c r="G58" s="85">
        <f>JAN!G58</f>
        <v>0</v>
      </c>
      <c r="H58" s="85">
        <f>+JAN!H58+FEBRUARI!H58+MARET!H58</f>
        <v>0</v>
      </c>
      <c r="I58" s="85">
        <f>+JAN!I58+FEBRUARI!I58+MARET!I58</f>
        <v>0</v>
      </c>
      <c r="J58" s="85">
        <f t="shared" si="7"/>
        <v>0</v>
      </c>
      <c r="K58" s="85">
        <f>+JAN!K58+FEBRUARI!K58+MARET!K58</f>
        <v>0</v>
      </c>
      <c r="L58" s="85">
        <f>+JAN!L58+FEBRUARI!L58+MARET!L58</f>
        <v>0</v>
      </c>
      <c r="M58" s="127">
        <f t="shared" si="8"/>
        <v>0</v>
      </c>
      <c r="N58" s="85">
        <f>+JAN!N58+FEBRUARI!N58+MARET!N58</f>
        <v>0</v>
      </c>
      <c r="O58" s="85">
        <f>+JAN!O58+FEBRUARI!O58+MARET!O58</f>
        <v>0</v>
      </c>
      <c r="P58" s="127">
        <f t="shared" si="9"/>
        <v>0</v>
      </c>
      <c r="Q58" s="85">
        <f>+JAN!Q58+FEBRUARI!Q58+MARET!Q58</f>
        <v>0</v>
      </c>
      <c r="R58" s="85">
        <f>+JAN!R58+FEBRUARI!R58+MARET!R58</f>
        <v>0</v>
      </c>
      <c r="S58" s="85">
        <f>+JAN!S58+FEBRUARI!S58+MARET!S58</f>
        <v>0</v>
      </c>
      <c r="T58" s="127">
        <f t="shared" si="10"/>
        <v>0</v>
      </c>
      <c r="U58" s="127">
        <f t="shared" si="11"/>
        <v>0</v>
      </c>
      <c r="V58" s="68">
        <f t="shared" si="2"/>
        <v>0</v>
      </c>
      <c r="W58" s="68" t="e">
        <f t="shared" si="3"/>
        <v>#DIV/0!</v>
      </c>
      <c r="X58" s="68" t="e">
        <f t="shared" si="4"/>
        <v>#DIV/0!</v>
      </c>
      <c r="Y58" s="69" t="e">
        <f t="shared" si="5"/>
        <v>#DIV/0!</v>
      </c>
      <c r="Z58" s="70" t="e">
        <f t="shared" si="6"/>
        <v>#DIV/0!</v>
      </c>
    </row>
    <row r="59" spans="1:26" ht="15.75" x14ac:dyDescent="0.25">
      <c r="A59" s="281">
        <v>16</v>
      </c>
      <c r="B59" s="211"/>
      <c r="C59" s="271"/>
      <c r="D59" s="126" t="s">
        <v>48</v>
      </c>
      <c r="E59" s="82">
        <f>+JAN!E59+FEBRUARI!E59+MARET!E59</f>
        <v>90</v>
      </c>
      <c r="F59" s="82">
        <v>3</v>
      </c>
      <c r="G59" s="85">
        <f>JAN!G59</f>
        <v>0</v>
      </c>
      <c r="H59" s="85">
        <f>+JAN!H59+FEBRUARI!H59+MARET!H59</f>
        <v>35</v>
      </c>
      <c r="I59" s="85">
        <f>+JAN!I59+FEBRUARI!I59+MARET!I59</f>
        <v>40</v>
      </c>
      <c r="J59" s="85">
        <f t="shared" si="7"/>
        <v>75</v>
      </c>
      <c r="K59" s="85">
        <f>+JAN!K59+FEBRUARI!K59+MARET!K59</f>
        <v>42</v>
      </c>
      <c r="L59" s="85">
        <f>+JAN!L59+FEBRUARI!L59+MARET!L59</f>
        <v>29</v>
      </c>
      <c r="M59" s="127">
        <f t="shared" si="8"/>
        <v>0</v>
      </c>
      <c r="N59" s="85">
        <f>+JAN!N59+FEBRUARI!N59+MARET!N59</f>
        <v>0</v>
      </c>
      <c r="O59" s="85">
        <f>+JAN!O59+FEBRUARI!O59+MARET!O59</f>
        <v>0</v>
      </c>
      <c r="P59" s="127">
        <f t="shared" si="9"/>
        <v>71</v>
      </c>
      <c r="Q59" s="85">
        <f>+JAN!Q59+FEBRUARI!Q59+MARET!Q59</f>
        <v>75</v>
      </c>
      <c r="R59" s="85">
        <f>+JAN!R59+FEBRUARI!R59+MARET!R59</f>
        <v>0</v>
      </c>
      <c r="S59" s="85">
        <f>+JAN!S59+FEBRUARI!S59+MARET!S59</f>
        <v>79</v>
      </c>
      <c r="T59" s="127">
        <f t="shared" si="10"/>
        <v>4</v>
      </c>
      <c r="U59" s="127">
        <f t="shared" si="11"/>
        <v>29</v>
      </c>
      <c r="V59" s="68">
        <f t="shared" si="2"/>
        <v>0.87777777777777777</v>
      </c>
      <c r="W59" s="68">
        <f t="shared" si="3"/>
        <v>29.259259259259256</v>
      </c>
      <c r="X59" s="68">
        <f t="shared" si="4"/>
        <v>2.7241379310344827</v>
      </c>
      <c r="Y59" s="69">
        <f t="shared" si="5"/>
        <v>6.5862068965517242</v>
      </c>
      <c r="Z59" s="70">
        <f t="shared" si="6"/>
        <v>9.6666666666666661</v>
      </c>
    </row>
    <row r="60" spans="1:26" ht="15.75" x14ac:dyDescent="0.25">
      <c r="A60" s="281"/>
      <c r="B60" s="211"/>
      <c r="C60" s="271"/>
      <c r="D60" s="126" t="s">
        <v>38</v>
      </c>
      <c r="E60" s="82">
        <f>+JAN!E60+FEBRUARI!E60+MARET!E60</f>
        <v>90</v>
      </c>
      <c r="F60" s="82">
        <v>8</v>
      </c>
      <c r="G60" s="85">
        <f>JAN!G60</f>
        <v>7</v>
      </c>
      <c r="H60" s="85">
        <f>+JAN!H60+FEBRUARI!H60+MARET!H60</f>
        <v>118</v>
      </c>
      <c r="I60" s="85">
        <f>+JAN!I60+FEBRUARI!I60+MARET!I60</f>
        <v>351</v>
      </c>
      <c r="J60" s="85">
        <f t="shared" si="7"/>
        <v>476</v>
      </c>
      <c r="K60" s="85">
        <f>+JAN!K60+FEBRUARI!K60+MARET!K60</f>
        <v>395</v>
      </c>
      <c r="L60" s="85">
        <f>+JAN!L60+FEBRUARI!L60+MARET!L60</f>
        <v>69</v>
      </c>
      <c r="M60" s="127">
        <f t="shared" si="8"/>
        <v>3</v>
      </c>
      <c r="N60" s="85">
        <f>+JAN!N60+FEBRUARI!N60+MARET!N60</f>
        <v>1</v>
      </c>
      <c r="O60" s="85">
        <f>+JAN!O60+FEBRUARI!O60+MARET!O60</f>
        <v>2</v>
      </c>
      <c r="P60" s="127">
        <f t="shared" si="9"/>
        <v>467</v>
      </c>
      <c r="Q60" s="85">
        <f>+JAN!Q60+FEBRUARI!Q60+MARET!Q60</f>
        <v>181</v>
      </c>
      <c r="R60" s="85">
        <f>+JAN!R60+FEBRUARI!R60+MARET!R60</f>
        <v>3</v>
      </c>
      <c r="S60" s="85">
        <f>+JAN!S60+FEBRUARI!S60+MARET!S60</f>
        <v>499</v>
      </c>
      <c r="T60" s="127">
        <f t="shared" si="10"/>
        <v>9</v>
      </c>
      <c r="U60" s="127">
        <f t="shared" si="11"/>
        <v>72</v>
      </c>
      <c r="V60" s="68">
        <f t="shared" si="2"/>
        <v>5.5444444444444443</v>
      </c>
      <c r="W60" s="68">
        <f t="shared" si="3"/>
        <v>69.305555555555557</v>
      </c>
      <c r="X60" s="68">
        <f t="shared" si="4"/>
        <v>6.9305555555555554</v>
      </c>
      <c r="Y60" s="69">
        <f t="shared" si="5"/>
        <v>3.0694444444444446</v>
      </c>
      <c r="Z60" s="70">
        <f t="shared" si="6"/>
        <v>9</v>
      </c>
    </row>
    <row r="61" spans="1:26" ht="15.75" x14ac:dyDescent="0.25">
      <c r="A61" s="281"/>
      <c r="B61" s="211"/>
      <c r="C61" s="272"/>
      <c r="D61" s="126" t="s">
        <v>34</v>
      </c>
      <c r="E61" s="82">
        <f>+JAN!E61+FEBRUARI!E61+MARET!E61</f>
        <v>90</v>
      </c>
      <c r="F61" s="82">
        <v>25</v>
      </c>
      <c r="G61" s="85">
        <f>JAN!G61</f>
        <v>9</v>
      </c>
      <c r="H61" s="85">
        <f>+JAN!H61+FEBRUARI!H61+MARET!H61</f>
        <v>546</v>
      </c>
      <c r="I61" s="85">
        <f>+JAN!I61+FEBRUARI!I61+MARET!I61</f>
        <v>724</v>
      </c>
      <c r="J61" s="85">
        <f t="shared" si="7"/>
        <v>1279</v>
      </c>
      <c r="K61" s="85">
        <f>+JAN!K61+FEBRUARI!K61+MARET!K61</f>
        <v>268</v>
      </c>
      <c r="L61" s="85">
        <f>+JAN!L61+FEBRUARI!L61+MARET!L61</f>
        <v>984</v>
      </c>
      <c r="M61" s="127">
        <f t="shared" si="8"/>
        <v>0</v>
      </c>
      <c r="N61" s="85">
        <f>+JAN!N61+FEBRUARI!N61+MARET!N61</f>
        <v>0</v>
      </c>
      <c r="O61" s="85">
        <f>+JAN!O61+FEBRUARI!O61+MARET!O61</f>
        <v>0</v>
      </c>
      <c r="P61" s="127">
        <f t="shared" si="9"/>
        <v>1252</v>
      </c>
      <c r="Q61" s="85">
        <f>+JAN!Q61+FEBRUARI!Q61+MARET!Q61</f>
        <v>2128</v>
      </c>
      <c r="R61" s="85">
        <f>+JAN!R61+FEBRUARI!R61+MARET!R61</f>
        <v>5</v>
      </c>
      <c r="S61" s="85">
        <f>+JAN!S61+FEBRUARI!S61+MARET!S61</f>
        <v>1395</v>
      </c>
      <c r="T61" s="127">
        <f t="shared" si="10"/>
        <v>27</v>
      </c>
      <c r="U61" s="127">
        <f t="shared" si="11"/>
        <v>984</v>
      </c>
      <c r="V61" s="68">
        <f t="shared" si="2"/>
        <v>15.5</v>
      </c>
      <c r="W61" s="68">
        <f t="shared" si="3"/>
        <v>62</v>
      </c>
      <c r="X61" s="68">
        <f t="shared" si="4"/>
        <v>1.4176829268292683</v>
      </c>
      <c r="Y61" s="69">
        <f t="shared" si="5"/>
        <v>0.86890243902439024</v>
      </c>
      <c r="Z61" s="70">
        <f t="shared" si="6"/>
        <v>39.36</v>
      </c>
    </row>
    <row r="62" spans="1:26" ht="15.75" x14ac:dyDescent="0.25">
      <c r="A62" s="281"/>
      <c r="B62" s="211"/>
      <c r="C62" s="129" t="s">
        <v>64</v>
      </c>
      <c r="D62" s="148"/>
      <c r="E62" s="129">
        <f>+JAN!E62+FEBRUARI!E62+MARET!E62</f>
        <v>90</v>
      </c>
      <c r="F62" s="129">
        <v>36</v>
      </c>
      <c r="G62" s="129">
        <f>JAN!G62</f>
        <v>16</v>
      </c>
      <c r="H62" s="129">
        <f>+JAN!H62+FEBRUARI!H62+MARET!H62</f>
        <v>699</v>
      </c>
      <c r="I62" s="129">
        <f>+JAN!I62+FEBRUARI!I62+MARET!I62</f>
        <v>1115</v>
      </c>
      <c r="J62" s="129">
        <f t="shared" si="7"/>
        <v>1830</v>
      </c>
      <c r="K62" s="129">
        <f>+JAN!K62+FEBRUARI!K62+MARET!K62</f>
        <v>705</v>
      </c>
      <c r="L62" s="129">
        <f>+JAN!L62+FEBRUARI!L62+MARET!L62</f>
        <v>1082</v>
      </c>
      <c r="M62" s="130">
        <f t="shared" si="8"/>
        <v>3</v>
      </c>
      <c r="N62" s="129">
        <f>+JAN!N62+FEBRUARI!N62+MARET!N62</f>
        <v>1</v>
      </c>
      <c r="O62" s="129">
        <f>+JAN!O62+FEBRUARI!O62+MARET!O62</f>
        <v>2</v>
      </c>
      <c r="P62" s="130">
        <f t="shared" si="9"/>
        <v>1790</v>
      </c>
      <c r="Q62" s="129">
        <f>+JAN!Q62+FEBRUARI!Q62+MARET!Q62</f>
        <v>2384</v>
      </c>
      <c r="R62" s="129">
        <f>+JAN!R62+FEBRUARI!R62+MARET!R62</f>
        <v>8</v>
      </c>
      <c r="S62" s="129">
        <f>+JAN!S62+FEBRUARI!S62+MARET!S62</f>
        <v>1973</v>
      </c>
      <c r="T62" s="130">
        <f t="shared" si="10"/>
        <v>40</v>
      </c>
      <c r="U62" s="130">
        <f t="shared" si="11"/>
        <v>1085</v>
      </c>
      <c r="V62" s="73">
        <f t="shared" si="2"/>
        <v>21.922222222222221</v>
      </c>
      <c r="W62" s="73">
        <f t="shared" si="3"/>
        <v>60.895061728395063</v>
      </c>
      <c r="X62" s="73">
        <f t="shared" si="4"/>
        <v>1.8184331797235023</v>
      </c>
      <c r="Y62" s="146">
        <f t="shared" si="5"/>
        <v>1.1677419354838712</v>
      </c>
      <c r="Z62" s="146">
        <f t="shared" si="6"/>
        <v>30.138888888888889</v>
      </c>
    </row>
    <row r="63" spans="1:26" ht="15.75" x14ac:dyDescent="0.25">
      <c r="A63" s="281">
        <v>17</v>
      </c>
      <c r="B63" s="211"/>
      <c r="C63" s="85"/>
      <c r="D63" s="126"/>
      <c r="E63" s="82"/>
      <c r="F63" s="82"/>
      <c r="G63" s="85">
        <f>JAN!G63</f>
        <v>0</v>
      </c>
      <c r="H63" s="85">
        <f>+JAN!H63+FEBRUARI!H63+MARET!H63</f>
        <v>0</v>
      </c>
      <c r="I63" s="85">
        <f>+JAN!I63+FEBRUARI!I63+MARET!I63</f>
        <v>0</v>
      </c>
      <c r="J63" s="85">
        <f t="shared" si="7"/>
        <v>0</v>
      </c>
      <c r="K63" s="85">
        <f>+JAN!K63+FEBRUARI!K63+MARET!K63</f>
        <v>0</v>
      </c>
      <c r="L63" s="85">
        <f>+JAN!L63+FEBRUARI!L63+MARET!L63</f>
        <v>0</v>
      </c>
      <c r="M63" s="127">
        <f t="shared" si="8"/>
        <v>0</v>
      </c>
      <c r="N63" s="85">
        <f>+JAN!N63+FEBRUARI!N63+MARET!N63</f>
        <v>0</v>
      </c>
      <c r="O63" s="85">
        <f>+JAN!O63+FEBRUARI!O63+MARET!O63</f>
        <v>0</v>
      </c>
      <c r="P63" s="127">
        <f t="shared" si="9"/>
        <v>0</v>
      </c>
      <c r="Q63" s="85">
        <f>+JAN!Q63+FEBRUARI!Q63+MARET!Q63</f>
        <v>0</v>
      </c>
      <c r="R63" s="85">
        <f>+JAN!R63+FEBRUARI!R63+MARET!R63</f>
        <v>0</v>
      </c>
      <c r="S63" s="85">
        <f>+JAN!S63+FEBRUARI!S63+MARET!S63</f>
        <v>0</v>
      </c>
      <c r="T63" s="127">
        <f t="shared" si="10"/>
        <v>0</v>
      </c>
      <c r="U63" s="127">
        <f t="shared" si="11"/>
        <v>0</v>
      </c>
      <c r="V63" s="68" t="e">
        <f t="shared" si="2"/>
        <v>#DIV/0!</v>
      </c>
      <c r="W63" s="68" t="e">
        <f t="shared" si="3"/>
        <v>#DIV/0!</v>
      </c>
      <c r="X63" s="68" t="e">
        <f t="shared" si="4"/>
        <v>#DIV/0!</v>
      </c>
      <c r="Y63" s="69" t="e">
        <f t="shared" si="5"/>
        <v>#DIV/0!</v>
      </c>
      <c r="Z63" s="70" t="e">
        <f t="shared" si="6"/>
        <v>#DIV/0!</v>
      </c>
    </row>
    <row r="64" spans="1:26" ht="15.75" x14ac:dyDescent="0.25">
      <c r="A64" s="281"/>
      <c r="B64" s="220"/>
      <c r="C64" s="129"/>
      <c r="D64" s="148"/>
      <c r="E64" s="129"/>
      <c r="F64" s="129">
        <v>0</v>
      </c>
      <c r="G64" s="129">
        <f>JAN!G64</f>
        <v>0</v>
      </c>
      <c r="H64" s="129">
        <f>+JAN!H64+FEBRUARI!H64+MARET!H64</f>
        <v>0</v>
      </c>
      <c r="I64" s="129">
        <f>+JAN!I64+FEBRUARI!I64+MARET!I64</f>
        <v>0</v>
      </c>
      <c r="J64" s="129">
        <f t="shared" si="7"/>
        <v>0</v>
      </c>
      <c r="K64" s="129">
        <f>+JAN!K64+FEBRUARI!K64+MARET!K64</f>
        <v>0</v>
      </c>
      <c r="L64" s="129">
        <f>+JAN!L64+FEBRUARI!L64+MARET!L64</f>
        <v>0</v>
      </c>
      <c r="M64" s="130">
        <f t="shared" si="8"/>
        <v>0</v>
      </c>
      <c r="N64" s="129">
        <f>+JAN!N64+FEBRUARI!N64+MARET!N64</f>
        <v>0</v>
      </c>
      <c r="O64" s="129">
        <f>+JAN!O64+FEBRUARI!O64+MARET!O64</f>
        <v>0</v>
      </c>
      <c r="P64" s="130">
        <f t="shared" si="9"/>
        <v>0</v>
      </c>
      <c r="Q64" s="129">
        <f>+JAN!Q64+FEBRUARI!Q64+MARET!Q64</f>
        <v>0</v>
      </c>
      <c r="R64" s="129">
        <f>+JAN!R64+FEBRUARI!R64+MARET!R64</f>
        <v>0</v>
      </c>
      <c r="S64" s="129">
        <f>+JAN!S64+FEBRUARI!S64+MARET!S64</f>
        <v>0</v>
      </c>
      <c r="T64" s="130">
        <f t="shared" si="10"/>
        <v>0</v>
      </c>
      <c r="U64" s="130">
        <f t="shared" si="11"/>
        <v>0</v>
      </c>
      <c r="V64" s="73" t="e">
        <f t="shared" si="2"/>
        <v>#DIV/0!</v>
      </c>
      <c r="W64" s="73" t="e">
        <f t="shared" si="3"/>
        <v>#DIV/0!</v>
      </c>
      <c r="X64" s="73" t="e">
        <f t="shared" si="4"/>
        <v>#DIV/0!</v>
      </c>
      <c r="Y64" s="146" t="e">
        <f t="shared" si="5"/>
        <v>#DIV/0!</v>
      </c>
      <c r="Z64" s="146" t="e">
        <f t="shared" si="6"/>
        <v>#DIV/0!</v>
      </c>
    </row>
    <row r="65" spans="1:26" ht="15.75" x14ac:dyDescent="0.25">
      <c r="A65" s="282" t="s">
        <v>65</v>
      </c>
      <c r="B65" s="282"/>
      <c r="C65" s="282"/>
      <c r="D65" s="282"/>
      <c r="E65" s="88">
        <f>+JAN!E65+FEBRUARI!E65+MARET!E65</f>
        <v>90</v>
      </c>
      <c r="F65" s="78">
        <v>325</v>
      </c>
      <c r="G65" s="88">
        <f>JAN!G65</f>
        <v>246</v>
      </c>
      <c r="H65" s="88">
        <f>+JAN!H65+FEBRUARI!H65+MARET!H65</f>
        <v>5896</v>
      </c>
      <c r="I65" s="88">
        <f>+JAN!I65+FEBRUARI!I65+MARET!I65</f>
        <v>1933</v>
      </c>
      <c r="J65" s="88">
        <f t="shared" si="7"/>
        <v>8075</v>
      </c>
      <c r="K65" s="88">
        <f>+JAN!K65+FEBRUARI!K65+MARET!K65</f>
        <v>1271</v>
      </c>
      <c r="L65" s="88">
        <f>+JAN!L65+FEBRUARI!L65+MARET!L65</f>
        <v>5976</v>
      </c>
      <c r="M65" s="134">
        <f t="shared" si="8"/>
        <v>531</v>
      </c>
      <c r="N65" s="88">
        <f>+JAN!N65+FEBRUARI!N65+MARET!N65</f>
        <v>255</v>
      </c>
      <c r="O65" s="88">
        <f>+JAN!O65+FEBRUARI!O65+MARET!O65</f>
        <v>276</v>
      </c>
      <c r="P65" s="134">
        <f t="shared" si="9"/>
        <v>7778</v>
      </c>
      <c r="Q65" s="88">
        <f>+JAN!Q65+FEBRUARI!Q65+MARET!Q65</f>
        <v>21729</v>
      </c>
      <c r="R65" s="88">
        <f>+JAN!R65+FEBRUARI!R65+MARET!R65</f>
        <v>73</v>
      </c>
      <c r="S65" s="88">
        <f>+JAN!S65+FEBRUARI!S65+MARET!S65</f>
        <v>21280</v>
      </c>
      <c r="T65" s="134">
        <f t="shared" si="10"/>
        <v>297</v>
      </c>
      <c r="U65" s="134">
        <f t="shared" si="11"/>
        <v>6507</v>
      </c>
      <c r="V65" s="147">
        <f t="shared" si="2"/>
        <v>236.44444444444446</v>
      </c>
      <c r="W65" s="147">
        <f t="shared" si="3"/>
        <v>72.752136752136749</v>
      </c>
      <c r="X65" s="147">
        <f t="shared" si="4"/>
        <v>3.2703242661748884</v>
      </c>
      <c r="Y65" s="75">
        <f t="shared" si="5"/>
        <v>1.2248347932995234</v>
      </c>
      <c r="Z65" s="75">
        <f t="shared" si="6"/>
        <v>20.021538461538462</v>
      </c>
    </row>
    <row r="66" spans="1:26" ht="15.75" x14ac:dyDescent="0.25">
      <c r="A66" s="135" t="s">
        <v>66</v>
      </c>
      <c r="B66" s="136"/>
      <c r="C66" s="90"/>
      <c r="D66" s="90"/>
      <c r="E66" s="221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1:26" x14ac:dyDescent="0.25">
      <c r="A67" s="269" t="s">
        <v>1</v>
      </c>
      <c r="B67" s="269" t="s">
        <v>2</v>
      </c>
      <c r="C67" s="267" t="s">
        <v>3</v>
      </c>
      <c r="D67" s="267" t="s">
        <v>4</v>
      </c>
      <c r="E67" s="268" t="s">
        <v>5</v>
      </c>
      <c r="F67" s="267" t="s">
        <v>6</v>
      </c>
      <c r="G67" s="267" t="s">
        <v>7</v>
      </c>
      <c r="H67" s="267" t="s">
        <v>8</v>
      </c>
      <c r="I67" s="268" t="s">
        <v>9</v>
      </c>
      <c r="J67" s="267" t="s">
        <v>10</v>
      </c>
      <c r="K67" s="267" t="s">
        <v>11</v>
      </c>
      <c r="L67" s="267" t="s">
        <v>12</v>
      </c>
      <c r="M67" s="267" t="s">
        <v>13</v>
      </c>
      <c r="N67" s="267" t="s">
        <v>14</v>
      </c>
      <c r="O67" s="267" t="s">
        <v>15</v>
      </c>
      <c r="P67" s="267" t="s">
        <v>16</v>
      </c>
      <c r="Q67" s="267" t="s">
        <v>17</v>
      </c>
      <c r="R67" s="267" t="s">
        <v>18</v>
      </c>
      <c r="S67" s="267" t="s">
        <v>19</v>
      </c>
      <c r="T67" s="267" t="s">
        <v>20</v>
      </c>
      <c r="U67" s="279" t="s">
        <v>21</v>
      </c>
      <c r="V67" s="76" t="s">
        <v>22</v>
      </c>
      <c r="W67" s="76" t="s">
        <v>23</v>
      </c>
      <c r="X67" s="76" t="s">
        <v>24</v>
      </c>
      <c r="Y67" s="76" t="s">
        <v>25</v>
      </c>
      <c r="Z67" s="76" t="s">
        <v>26</v>
      </c>
    </row>
    <row r="68" spans="1:26" x14ac:dyDescent="0.25">
      <c r="A68" s="269"/>
      <c r="B68" s="269"/>
      <c r="C68" s="267"/>
      <c r="D68" s="267"/>
      <c r="E68" s="268"/>
      <c r="F68" s="267"/>
      <c r="G68" s="267"/>
      <c r="H68" s="267"/>
      <c r="I68" s="268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79"/>
      <c r="V68" s="278" t="s">
        <v>27</v>
      </c>
      <c r="W68" s="278" t="s">
        <v>28</v>
      </c>
      <c r="X68" s="278" t="s">
        <v>29</v>
      </c>
      <c r="Y68" s="278" t="s">
        <v>30</v>
      </c>
      <c r="Z68" s="278" t="s">
        <v>31</v>
      </c>
    </row>
    <row r="69" spans="1:26" x14ac:dyDescent="0.25">
      <c r="A69" s="269"/>
      <c r="B69" s="269"/>
      <c r="C69" s="267"/>
      <c r="D69" s="267"/>
      <c r="E69" s="268"/>
      <c r="F69" s="267"/>
      <c r="G69" s="267"/>
      <c r="H69" s="267"/>
      <c r="I69" s="268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79"/>
      <c r="V69" s="280"/>
      <c r="W69" s="278"/>
      <c r="X69" s="278"/>
      <c r="Y69" s="278"/>
      <c r="Z69" s="278"/>
    </row>
    <row r="70" spans="1:26" x14ac:dyDescent="0.25">
      <c r="A70" s="269"/>
      <c r="B70" s="269"/>
      <c r="C70" s="267"/>
      <c r="D70" s="267"/>
      <c r="E70" s="268"/>
      <c r="F70" s="267"/>
      <c r="G70" s="124">
        <v>1</v>
      </c>
      <c r="H70" s="124">
        <v>2</v>
      </c>
      <c r="I70" s="124">
        <v>3</v>
      </c>
      <c r="J70" s="124">
        <v>4</v>
      </c>
      <c r="K70" s="124">
        <v>5</v>
      </c>
      <c r="L70" s="124">
        <v>6</v>
      </c>
      <c r="M70" s="124">
        <v>7</v>
      </c>
      <c r="N70" s="124">
        <v>8</v>
      </c>
      <c r="O70" s="124">
        <v>9</v>
      </c>
      <c r="P70" s="124">
        <v>10</v>
      </c>
      <c r="Q70" s="124">
        <v>11</v>
      </c>
      <c r="R70" s="124">
        <v>12</v>
      </c>
      <c r="S70" s="124">
        <v>13</v>
      </c>
      <c r="T70" s="124">
        <v>14</v>
      </c>
      <c r="U70" s="279"/>
      <c r="V70" s="123">
        <v>15</v>
      </c>
      <c r="W70" s="123">
        <v>16</v>
      </c>
      <c r="X70" s="123">
        <v>17</v>
      </c>
      <c r="Y70" s="123">
        <v>18</v>
      </c>
      <c r="Z70" s="123">
        <v>19</v>
      </c>
    </row>
    <row r="71" spans="1:26" ht="15.75" x14ac:dyDescent="0.25">
      <c r="A71" s="284">
        <v>1</v>
      </c>
      <c r="B71" s="284" t="s">
        <v>40</v>
      </c>
      <c r="C71" s="85" t="s">
        <v>69</v>
      </c>
      <c r="D71" s="85" t="s">
        <v>38</v>
      </c>
      <c r="E71" s="82">
        <f>+JAN!E71+FEBRUARI!E71+MARET!E71</f>
        <v>90</v>
      </c>
      <c r="F71" s="85"/>
      <c r="G71" s="85">
        <f>JAN!G71</f>
        <v>0</v>
      </c>
      <c r="H71" s="85">
        <f>+JAN!H71+FEBRUARI!H71+MARET!H71</f>
        <v>0</v>
      </c>
      <c r="I71" s="85">
        <f>+JAN!I71+FEBRUARI!I71+MARET!I71</f>
        <v>0</v>
      </c>
      <c r="J71" s="85">
        <f t="shared" ref="J71:J77" si="12">+G71+H71+I71</f>
        <v>0</v>
      </c>
      <c r="K71" s="85">
        <f>+JAN!K71+FEBRUARI!K71+MARET!K71</f>
        <v>0</v>
      </c>
      <c r="L71" s="85">
        <f>+JAN!L71+FEBRUARI!L71+MARET!L71</f>
        <v>0</v>
      </c>
      <c r="M71" s="127">
        <f t="shared" ref="M71:M77" si="13">+N71+O71</f>
        <v>0</v>
      </c>
      <c r="N71" s="85">
        <f>+JAN!N71+FEBRUARI!N71+MARET!N71</f>
        <v>0</v>
      </c>
      <c r="O71" s="85">
        <f>+JAN!O71+FEBRUARI!O71+MARET!O71</f>
        <v>0</v>
      </c>
      <c r="P71" s="127">
        <f t="shared" ref="P71:P77" si="14">+K71+L71+M71</f>
        <v>0</v>
      </c>
      <c r="Q71" s="85">
        <f>+JAN!Q71+FEBRUARI!Q71+MARET!Q71</f>
        <v>0</v>
      </c>
      <c r="R71" s="85">
        <f>+JAN!R71+FEBRUARI!R71+MARET!R71</f>
        <v>0</v>
      </c>
      <c r="S71" s="85">
        <f>+JAN!S71+FEBRUARI!S71+MARET!S71</f>
        <v>0</v>
      </c>
      <c r="T71" s="127">
        <f t="shared" ref="T71:T77" si="15">J71-P71</f>
        <v>0</v>
      </c>
      <c r="U71" s="127">
        <f t="shared" ref="U71:U77" si="16">L71+M71</f>
        <v>0</v>
      </c>
      <c r="V71" s="68">
        <f t="shared" ref="V71:V77" si="17">$S71/$E71</f>
        <v>0</v>
      </c>
      <c r="W71" s="68" t="e">
        <f t="shared" ref="W71:W77" si="18">$V71/$F71*100</f>
        <v>#DIV/0!</v>
      </c>
      <c r="X71" s="68" t="e">
        <f t="shared" ref="X71:X77" si="19">$S71/($L71+$M71)</f>
        <v>#DIV/0!</v>
      </c>
      <c r="Y71" s="69" t="e">
        <f t="shared" ref="Y71:Y77" si="20">(($F71-$V71)*$E71)/($L71+$M71)</f>
        <v>#DIV/0!</v>
      </c>
      <c r="Z71" s="70" t="e">
        <f t="shared" ref="Z71:Z77" si="21">($L71+$M71)/$F71</f>
        <v>#DIV/0!</v>
      </c>
    </row>
    <row r="72" spans="1:26" ht="15.75" x14ac:dyDescent="0.25">
      <c r="A72" s="286"/>
      <c r="B72" s="285"/>
      <c r="C72" s="129" t="s">
        <v>69</v>
      </c>
      <c r="D72" s="129"/>
      <c r="E72" s="129">
        <f>+JAN!E72+FEBRUARI!E72+MARET!E72</f>
        <v>90</v>
      </c>
      <c r="F72" s="129">
        <v>0</v>
      </c>
      <c r="G72" s="129">
        <f>JAN!G72</f>
        <v>0</v>
      </c>
      <c r="H72" s="129">
        <f>+JAN!H72+FEBRUARI!H72+MARET!H72</f>
        <v>0</v>
      </c>
      <c r="I72" s="129">
        <f>+JAN!I72+FEBRUARI!I72+MARET!I72</f>
        <v>0</v>
      </c>
      <c r="J72" s="129">
        <f t="shared" si="12"/>
        <v>0</v>
      </c>
      <c r="K72" s="129">
        <f>+JAN!K72+FEBRUARI!K72+MARET!K72</f>
        <v>0</v>
      </c>
      <c r="L72" s="129">
        <f>+JAN!L72+FEBRUARI!L72+MARET!L72</f>
        <v>0</v>
      </c>
      <c r="M72" s="130">
        <f t="shared" si="13"/>
        <v>0</v>
      </c>
      <c r="N72" s="129">
        <f>+JAN!N72+FEBRUARI!N72+MARET!N72</f>
        <v>0</v>
      </c>
      <c r="O72" s="129">
        <f>+JAN!O72+FEBRUARI!O72+MARET!O72</f>
        <v>0</v>
      </c>
      <c r="P72" s="130">
        <f t="shared" si="14"/>
        <v>0</v>
      </c>
      <c r="Q72" s="129">
        <f>+JAN!Q72+FEBRUARI!Q72+MARET!Q72</f>
        <v>0</v>
      </c>
      <c r="R72" s="129">
        <f>+JAN!R72+FEBRUARI!R72+MARET!R72</f>
        <v>0</v>
      </c>
      <c r="S72" s="129">
        <f>+JAN!S72+FEBRUARI!S72+MARET!S72</f>
        <v>0</v>
      </c>
      <c r="T72" s="130">
        <f t="shared" si="15"/>
        <v>0</v>
      </c>
      <c r="U72" s="130">
        <f t="shared" si="16"/>
        <v>0</v>
      </c>
      <c r="V72" s="73">
        <f t="shared" si="17"/>
        <v>0</v>
      </c>
      <c r="W72" s="73" t="e">
        <f t="shared" si="18"/>
        <v>#DIV/0!</v>
      </c>
      <c r="X72" s="73" t="e">
        <f t="shared" si="19"/>
        <v>#DIV/0!</v>
      </c>
      <c r="Y72" s="146" t="e">
        <f t="shared" si="20"/>
        <v>#DIV/0!</v>
      </c>
      <c r="Z72" s="146" t="e">
        <f t="shared" si="21"/>
        <v>#DIV/0!</v>
      </c>
    </row>
    <row r="73" spans="1:26" ht="15.75" x14ac:dyDescent="0.25">
      <c r="A73" s="284">
        <v>2</v>
      </c>
      <c r="B73" s="285"/>
      <c r="C73" s="85" t="s">
        <v>70</v>
      </c>
      <c r="D73" s="85" t="s">
        <v>48</v>
      </c>
      <c r="E73" s="82">
        <f>+JAN!E73+FEBRUARI!E73+MARET!E73</f>
        <v>90</v>
      </c>
      <c r="F73" s="85"/>
      <c r="G73" s="85">
        <f>JAN!G73</f>
        <v>0</v>
      </c>
      <c r="H73" s="85">
        <f>+JAN!H73+FEBRUARI!H73+MARET!H73</f>
        <v>0</v>
      </c>
      <c r="I73" s="85">
        <f>+JAN!I73+FEBRUARI!I73+MARET!I73</f>
        <v>0</v>
      </c>
      <c r="J73" s="85">
        <f t="shared" si="12"/>
        <v>0</v>
      </c>
      <c r="K73" s="85">
        <f>+JAN!K73+FEBRUARI!K73+MARET!K73</f>
        <v>0</v>
      </c>
      <c r="L73" s="85">
        <f>+JAN!L73+FEBRUARI!L73+MARET!L73</f>
        <v>0</v>
      </c>
      <c r="M73" s="127">
        <f t="shared" si="13"/>
        <v>0</v>
      </c>
      <c r="N73" s="85">
        <f>+JAN!N73+FEBRUARI!N73+MARET!N73</f>
        <v>0</v>
      </c>
      <c r="O73" s="85">
        <f>+JAN!O73+FEBRUARI!O73+MARET!O73</f>
        <v>0</v>
      </c>
      <c r="P73" s="127">
        <f t="shared" si="14"/>
        <v>0</v>
      </c>
      <c r="Q73" s="85">
        <f>+JAN!Q73+FEBRUARI!Q73+MARET!Q73</f>
        <v>0</v>
      </c>
      <c r="R73" s="85">
        <f>+JAN!R73+FEBRUARI!R73+MARET!R73</f>
        <v>0</v>
      </c>
      <c r="S73" s="85">
        <f>+JAN!S73+FEBRUARI!S73+MARET!S73</f>
        <v>0</v>
      </c>
      <c r="T73" s="127">
        <f t="shared" si="15"/>
        <v>0</v>
      </c>
      <c r="U73" s="127">
        <f t="shared" si="16"/>
        <v>0</v>
      </c>
      <c r="V73" s="68">
        <f t="shared" si="17"/>
        <v>0</v>
      </c>
      <c r="W73" s="68" t="e">
        <f t="shared" si="18"/>
        <v>#DIV/0!</v>
      </c>
      <c r="X73" s="68" t="e">
        <f t="shared" si="19"/>
        <v>#DIV/0!</v>
      </c>
      <c r="Y73" s="69" t="e">
        <f t="shared" si="20"/>
        <v>#DIV/0!</v>
      </c>
      <c r="Z73" s="70" t="e">
        <f t="shared" si="21"/>
        <v>#DIV/0!</v>
      </c>
    </row>
    <row r="74" spans="1:26" ht="15.75" x14ac:dyDescent="0.25">
      <c r="A74" s="286"/>
      <c r="B74" s="285"/>
      <c r="C74" s="129" t="s">
        <v>70</v>
      </c>
      <c r="D74" s="129"/>
      <c r="E74" s="129">
        <f>+JAN!E74+FEBRUARI!E74+MARET!E74</f>
        <v>90</v>
      </c>
      <c r="F74" s="129">
        <v>0</v>
      </c>
      <c r="G74" s="129">
        <f>JAN!G74</f>
        <v>0</v>
      </c>
      <c r="H74" s="129">
        <f>+JAN!H74+FEBRUARI!H74+MARET!H74</f>
        <v>0</v>
      </c>
      <c r="I74" s="129">
        <f>+JAN!I74+FEBRUARI!I74+MARET!I74</f>
        <v>0</v>
      </c>
      <c r="J74" s="129">
        <f t="shared" si="12"/>
        <v>0</v>
      </c>
      <c r="K74" s="129">
        <f>+JAN!K74+FEBRUARI!K74+MARET!K74</f>
        <v>0</v>
      </c>
      <c r="L74" s="129">
        <f>+JAN!L74+FEBRUARI!L74+MARET!L74</f>
        <v>0</v>
      </c>
      <c r="M74" s="130">
        <f t="shared" si="13"/>
        <v>0</v>
      </c>
      <c r="N74" s="129">
        <f>+JAN!N74+FEBRUARI!N74+MARET!N74</f>
        <v>0</v>
      </c>
      <c r="O74" s="129">
        <f>+JAN!O74+FEBRUARI!O74+MARET!O74</f>
        <v>0</v>
      </c>
      <c r="P74" s="130">
        <f t="shared" si="14"/>
        <v>0</v>
      </c>
      <c r="Q74" s="129">
        <f>+JAN!Q74+FEBRUARI!Q74+MARET!Q74</f>
        <v>0</v>
      </c>
      <c r="R74" s="129">
        <f>+JAN!R74+FEBRUARI!R74+MARET!R74</f>
        <v>0</v>
      </c>
      <c r="S74" s="129">
        <f>+JAN!S74+FEBRUARI!S74+MARET!S74</f>
        <v>0</v>
      </c>
      <c r="T74" s="130">
        <f t="shared" si="15"/>
        <v>0</v>
      </c>
      <c r="U74" s="130">
        <f t="shared" si="16"/>
        <v>0</v>
      </c>
      <c r="V74" s="73">
        <f t="shared" si="17"/>
        <v>0</v>
      </c>
      <c r="W74" s="73" t="e">
        <f t="shared" si="18"/>
        <v>#DIV/0!</v>
      </c>
      <c r="X74" s="73" t="e">
        <f t="shared" si="19"/>
        <v>#DIV/0!</v>
      </c>
      <c r="Y74" s="146" t="e">
        <f t="shared" si="20"/>
        <v>#DIV/0!</v>
      </c>
      <c r="Z74" s="146" t="e">
        <f t="shared" si="21"/>
        <v>#DIV/0!</v>
      </c>
    </row>
    <row r="75" spans="1:26" ht="15.75" x14ac:dyDescent="0.25">
      <c r="A75" s="284">
        <v>3</v>
      </c>
      <c r="B75" s="285"/>
      <c r="C75" s="85" t="s">
        <v>63</v>
      </c>
      <c r="D75" s="85"/>
      <c r="E75" s="82">
        <f>+JAN!E75+FEBRUARI!E75+MARET!E75</f>
        <v>90</v>
      </c>
      <c r="F75" s="85"/>
      <c r="G75" s="85">
        <f>JAN!G75</f>
        <v>0</v>
      </c>
      <c r="H75" s="85">
        <f>+JAN!H75+FEBRUARI!H75+MARET!H75</f>
        <v>0</v>
      </c>
      <c r="I75" s="85">
        <f>+JAN!I75+FEBRUARI!I75+MARET!I75</f>
        <v>0</v>
      </c>
      <c r="J75" s="85">
        <f t="shared" si="12"/>
        <v>0</v>
      </c>
      <c r="K75" s="85">
        <f>+JAN!K75+FEBRUARI!K75+MARET!K75</f>
        <v>0</v>
      </c>
      <c r="L75" s="85">
        <f>+JAN!L75+FEBRUARI!L75+MARET!L75</f>
        <v>0</v>
      </c>
      <c r="M75" s="127">
        <f t="shared" si="13"/>
        <v>0</v>
      </c>
      <c r="N75" s="85">
        <f>+JAN!N75+FEBRUARI!N75+MARET!N75</f>
        <v>0</v>
      </c>
      <c r="O75" s="85">
        <f>+JAN!O75+FEBRUARI!O75+MARET!O75</f>
        <v>0</v>
      </c>
      <c r="P75" s="127">
        <f t="shared" si="14"/>
        <v>0</v>
      </c>
      <c r="Q75" s="85">
        <f>+JAN!Q75+FEBRUARI!Q75+MARET!Q75</f>
        <v>0</v>
      </c>
      <c r="R75" s="85">
        <f>+JAN!R75+FEBRUARI!R75+MARET!R75</f>
        <v>0</v>
      </c>
      <c r="S75" s="85">
        <f>+JAN!S75+FEBRUARI!S75+MARET!S75</f>
        <v>0</v>
      </c>
      <c r="T75" s="127">
        <f t="shared" si="15"/>
        <v>0</v>
      </c>
      <c r="U75" s="127">
        <f t="shared" si="16"/>
        <v>0</v>
      </c>
      <c r="V75" s="68">
        <f t="shared" si="17"/>
        <v>0</v>
      </c>
      <c r="W75" s="68" t="e">
        <f t="shared" si="18"/>
        <v>#DIV/0!</v>
      </c>
      <c r="X75" s="68" t="e">
        <f t="shared" si="19"/>
        <v>#DIV/0!</v>
      </c>
      <c r="Y75" s="69" t="e">
        <f t="shared" si="20"/>
        <v>#DIV/0!</v>
      </c>
      <c r="Z75" s="70" t="e">
        <f t="shared" si="21"/>
        <v>#DIV/0!</v>
      </c>
    </row>
    <row r="76" spans="1:26" ht="15.75" x14ac:dyDescent="0.25">
      <c r="A76" s="286"/>
      <c r="B76" s="286"/>
      <c r="C76" s="129" t="s">
        <v>63</v>
      </c>
      <c r="D76" s="129"/>
      <c r="E76" s="129">
        <f>+JAN!E76+FEBRUARI!E76+MARET!E76</f>
        <v>90</v>
      </c>
      <c r="F76" s="129">
        <v>0</v>
      </c>
      <c r="G76" s="129">
        <f>JAN!G76</f>
        <v>0</v>
      </c>
      <c r="H76" s="129">
        <f>+JAN!H76+FEBRUARI!H76+MARET!H76</f>
        <v>0</v>
      </c>
      <c r="I76" s="129">
        <f>+JAN!I76+FEBRUARI!I76+MARET!I76</f>
        <v>0</v>
      </c>
      <c r="J76" s="129">
        <f t="shared" si="12"/>
        <v>0</v>
      </c>
      <c r="K76" s="129">
        <f>+JAN!K76+FEBRUARI!K76+MARET!K76</f>
        <v>0</v>
      </c>
      <c r="L76" s="129">
        <f>+JAN!L76+FEBRUARI!L76+MARET!L76</f>
        <v>0</v>
      </c>
      <c r="M76" s="130">
        <f t="shared" si="13"/>
        <v>0</v>
      </c>
      <c r="N76" s="129">
        <f>+JAN!N76+FEBRUARI!N76+MARET!N76</f>
        <v>0</v>
      </c>
      <c r="O76" s="129">
        <f>+JAN!O76+FEBRUARI!O76+MARET!O76</f>
        <v>0</v>
      </c>
      <c r="P76" s="130">
        <f t="shared" si="14"/>
        <v>0</v>
      </c>
      <c r="Q76" s="129">
        <f>+JAN!Q76+FEBRUARI!Q76+MARET!Q76</f>
        <v>0</v>
      </c>
      <c r="R76" s="129">
        <f>+JAN!R76+FEBRUARI!R76+MARET!R76</f>
        <v>0</v>
      </c>
      <c r="S76" s="129">
        <f>+JAN!S76+FEBRUARI!S76+MARET!S76</f>
        <v>0</v>
      </c>
      <c r="T76" s="130">
        <f t="shared" si="15"/>
        <v>0</v>
      </c>
      <c r="U76" s="130">
        <f t="shared" si="16"/>
        <v>0</v>
      </c>
      <c r="V76" s="73">
        <f t="shared" si="17"/>
        <v>0</v>
      </c>
      <c r="W76" s="73" t="e">
        <f t="shared" si="18"/>
        <v>#DIV/0!</v>
      </c>
      <c r="X76" s="73" t="e">
        <f t="shared" si="19"/>
        <v>#DIV/0!</v>
      </c>
      <c r="Y76" s="146" t="e">
        <f t="shared" si="20"/>
        <v>#DIV/0!</v>
      </c>
      <c r="Z76" s="146" t="e">
        <f t="shared" si="21"/>
        <v>#DIV/0!</v>
      </c>
    </row>
    <row r="77" spans="1:26" ht="15.75" x14ac:dyDescent="0.25">
      <c r="A77" s="209" t="s">
        <v>71</v>
      </c>
      <c r="B77" s="209"/>
      <c r="C77" s="209"/>
      <c r="D77" s="209"/>
      <c r="E77" s="88">
        <f>+JAN!E77+FEBRUARI!E77+MARET!E77</f>
        <v>90</v>
      </c>
      <c r="F77" s="78">
        <v>0</v>
      </c>
      <c r="G77" s="88">
        <f>JAN!G77</f>
        <v>0</v>
      </c>
      <c r="H77" s="88">
        <f>+JAN!H77+FEBRUARI!H77+MARET!H77</f>
        <v>0</v>
      </c>
      <c r="I77" s="88">
        <f>+JAN!I77+FEBRUARI!I77+MARET!I77</f>
        <v>0</v>
      </c>
      <c r="J77" s="88">
        <f t="shared" si="12"/>
        <v>0</v>
      </c>
      <c r="K77" s="88">
        <f>+JAN!K77+FEBRUARI!K77+MARET!K77</f>
        <v>0</v>
      </c>
      <c r="L77" s="88">
        <f>+JAN!L77+FEBRUARI!L77+MARET!L77</f>
        <v>0</v>
      </c>
      <c r="M77" s="134">
        <f t="shared" si="13"/>
        <v>0</v>
      </c>
      <c r="N77" s="88">
        <f>+JAN!N77+FEBRUARI!N77+MARET!N77</f>
        <v>0</v>
      </c>
      <c r="O77" s="88">
        <f>+JAN!O77+FEBRUARI!O77+MARET!O77</f>
        <v>0</v>
      </c>
      <c r="P77" s="134">
        <f t="shared" si="14"/>
        <v>0</v>
      </c>
      <c r="Q77" s="88">
        <f>+JAN!Q77+FEBRUARI!Q77+MARET!Q77</f>
        <v>0</v>
      </c>
      <c r="R77" s="88">
        <f>+JAN!R77+FEBRUARI!R77+MARET!R77</f>
        <v>0</v>
      </c>
      <c r="S77" s="88">
        <f>+JAN!S77+FEBRUARI!S77+MARET!S77</f>
        <v>0</v>
      </c>
      <c r="T77" s="134">
        <f t="shared" si="15"/>
        <v>0</v>
      </c>
      <c r="U77" s="134">
        <f t="shared" si="16"/>
        <v>0</v>
      </c>
      <c r="V77" s="147">
        <f t="shared" si="17"/>
        <v>0</v>
      </c>
      <c r="W77" s="147" t="e">
        <f t="shared" si="18"/>
        <v>#DIV/0!</v>
      </c>
      <c r="X77" s="147" t="e">
        <f t="shared" si="19"/>
        <v>#DIV/0!</v>
      </c>
      <c r="Y77" s="75" t="e">
        <f t="shared" si="20"/>
        <v>#DIV/0!</v>
      </c>
      <c r="Z77" s="75" t="e">
        <f t="shared" si="21"/>
        <v>#DIV/0!</v>
      </c>
    </row>
    <row r="79" spans="1:26" x14ac:dyDescent="0.25">
      <c r="A79" s="269" t="s">
        <v>1</v>
      </c>
      <c r="B79" s="269" t="s">
        <v>2</v>
      </c>
      <c r="C79" s="267" t="s">
        <v>3</v>
      </c>
      <c r="D79" s="267" t="s">
        <v>4</v>
      </c>
      <c r="E79" s="268" t="s">
        <v>5</v>
      </c>
      <c r="F79" s="267" t="s">
        <v>6</v>
      </c>
      <c r="G79" s="267" t="s">
        <v>7</v>
      </c>
      <c r="H79" s="287" t="s">
        <v>8</v>
      </c>
      <c r="I79" s="268" t="s">
        <v>9</v>
      </c>
      <c r="J79" s="267" t="s">
        <v>10</v>
      </c>
      <c r="K79" s="267" t="s">
        <v>11</v>
      </c>
      <c r="L79" s="267" t="s">
        <v>12</v>
      </c>
      <c r="M79" s="267" t="s">
        <v>13</v>
      </c>
      <c r="N79" s="267" t="s">
        <v>14</v>
      </c>
      <c r="O79" s="267" t="s">
        <v>15</v>
      </c>
      <c r="P79" s="267" t="s">
        <v>16</v>
      </c>
      <c r="Q79" s="267" t="s">
        <v>17</v>
      </c>
      <c r="R79" s="267" t="s">
        <v>18</v>
      </c>
      <c r="S79" s="267" t="s">
        <v>19</v>
      </c>
      <c r="T79" s="267" t="s">
        <v>20</v>
      </c>
      <c r="U79" s="279" t="s">
        <v>21</v>
      </c>
      <c r="V79" s="76" t="s">
        <v>22</v>
      </c>
      <c r="W79" s="76" t="s">
        <v>23</v>
      </c>
      <c r="X79" s="76" t="s">
        <v>24</v>
      </c>
      <c r="Y79" s="76" t="s">
        <v>25</v>
      </c>
      <c r="Z79" s="76" t="s">
        <v>26</v>
      </c>
    </row>
    <row r="80" spans="1:26" x14ac:dyDescent="0.25">
      <c r="A80" s="269"/>
      <c r="B80" s="269"/>
      <c r="C80" s="267"/>
      <c r="D80" s="267"/>
      <c r="E80" s="268"/>
      <c r="F80" s="267"/>
      <c r="G80" s="267"/>
      <c r="H80" s="288"/>
      <c r="I80" s="268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79"/>
      <c r="V80" s="278" t="s">
        <v>27</v>
      </c>
      <c r="W80" s="278" t="s">
        <v>28</v>
      </c>
      <c r="X80" s="278" t="s">
        <v>29</v>
      </c>
      <c r="Y80" s="278" t="s">
        <v>30</v>
      </c>
      <c r="Z80" s="278" t="s">
        <v>31</v>
      </c>
    </row>
    <row r="81" spans="1:26" x14ac:dyDescent="0.25">
      <c r="A81" s="269"/>
      <c r="B81" s="269"/>
      <c r="C81" s="267"/>
      <c r="D81" s="267"/>
      <c r="E81" s="268"/>
      <c r="F81" s="267"/>
      <c r="G81" s="267"/>
      <c r="H81" s="289"/>
      <c r="I81" s="268"/>
      <c r="J81" s="267"/>
      <c r="K81" s="267"/>
      <c r="L81" s="267"/>
      <c r="M81" s="267"/>
      <c r="N81" s="267"/>
      <c r="O81" s="267"/>
      <c r="P81" s="267"/>
      <c r="Q81" s="267"/>
      <c r="R81" s="267"/>
      <c r="S81" s="267"/>
      <c r="T81" s="267"/>
      <c r="U81" s="279"/>
      <c r="V81" s="280"/>
      <c r="W81" s="278"/>
      <c r="X81" s="278"/>
      <c r="Y81" s="278"/>
      <c r="Z81" s="278"/>
    </row>
    <row r="82" spans="1:26" x14ac:dyDescent="0.25">
      <c r="A82" s="269"/>
      <c r="B82" s="269"/>
      <c r="C82" s="267"/>
      <c r="D82" s="267"/>
      <c r="E82" s="268"/>
      <c r="F82" s="267"/>
      <c r="G82" s="124">
        <v>1</v>
      </c>
      <c r="H82" s="124">
        <v>2</v>
      </c>
      <c r="I82" s="124">
        <v>3</v>
      </c>
      <c r="J82" s="124">
        <v>4</v>
      </c>
      <c r="K82" s="124">
        <v>5</v>
      </c>
      <c r="L82" s="124">
        <v>6</v>
      </c>
      <c r="M82" s="124">
        <v>7</v>
      </c>
      <c r="N82" s="124">
        <v>8</v>
      </c>
      <c r="O82" s="124">
        <v>9</v>
      </c>
      <c r="P82" s="124">
        <v>10</v>
      </c>
      <c r="Q82" s="124">
        <v>11</v>
      </c>
      <c r="R82" s="124">
        <v>12</v>
      </c>
      <c r="S82" s="124">
        <v>13</v>
      </c>
      <c r="T82" s="124">
        <v>14</v>
      </c>
      <c r="U82" s="279"/>
      <c r="V82" s="123">
        <v>15</v>
      </c>
      <c r="W82" s="123">
        <v>16</v>
      </c>
      <c r="X82" s="123">
        <v>17</v>
      </c>
      <c r="Y82" s="123">
        <v>18</v>
      </c>
      <c r="Z82" s="123">
        <v>19</v>
      </c>
    </row>
    <row r="83" spans="1:26" ht="15.75" x14ac:dyDescent="0.25">
      <c r="A83" s="284">
        <v>1</v>
      </c>
      <c r="B83" s="284" t="s">
        <v>72</v>
      </c>
      <c r="C83" s="82" t="s">
        <v>69</v>
      </c>
      <c r="D83" s="82" t="s">
        <v>38</v>
      </c>
      <c r="E83" s="82">
        <f>+JAN!E83+FEBRUARI!E83+MARET!E83</f>
        <v>90</v>
      </c>
      <c r="F83" s="82">
        <v>30</v>
      </c>
      <c r="G83" s="85">
        <f>JAN!G83</f>
        <v>13</v>
      </c>
      <c r="H83" s="85">
        <f>+JAN!H83+FEBRUARI!H83+MARET!H83</f>
        <v>493</v>
      </c>
      <c r="I83" s="85">
        <f>+JAN!I83+FEBRUARI!I83+MARET!I83</f>
        <v>58</v>
      </c>
      <c r="J83" s="85">
        <f t="shared" ref="J83:J90" si="22">+G83+H83+I83</f>
        <v>564</v>
      </c>
      <c r="K83" s="85">
        <f>+JAN!K83+FEBRUARI!K83+MARET!K83</f>
        <v>258</v>
      </c>
      <c r="L83" s="85">
        <f>+JAN!L83+FEBRUARI!L83+MARET!L83</f>
        <v>269</v>
      </c>
      <c r="M83" s="127">
        <f t="shared" ref="M83:M90" si="23">+N83+O83</f>
        <v>9</v>
      </c>
      <c r="N83" s="85">
        <f>+JAN!N83+FEBRUARI!N83+MARET!N83</f>
        <v>8</v>
      </c>
      <c r="O83" s="85">
        <f>+JAN!O83+FEBRUARI!O83+MARET!O83</f>
        <v>1</v>
      </c>
      <c r="P83" s="127">
        <f t="shared" ref="P83:P90" si="24">+K83+L83+M83</f>
        <v>536</v>
      </c>
      <c r="Q83" s="85">
        <f>+JAN!Q83+FEBRUARI!Q83+MARET!Q83</f>
        <v>1684</v>
      </c>
      <c r="R83" s="85">
        <f>+JAN!R83+FEBRUARI!R83+MARET!R83</f>
        <v>4</v>
      </c>
      <c r="S83" s="85">
        <f>+JAN!S83+FEBRUARI!S83+MARET!S83</f>
        <v>1763</v>
      </c>
      <c r="T83" s="127">
        <f t="shared" ref="T83:T90" si="25">J83-P83</f>
        <v>28</v>
      </c>
      <c r="U83" s="127">
        <f t="shared" ref="U83:U90" si="26">L83+M83</f>
        <v>278</v>
      </c>
      <c r="V83" s="68">
        <f t="shared" ref="V83:V90" si="27">$S83/$E83</f>
        <v>19.588888888888889</v>
      </c>
      <c r="W83" s="68">
        <f t="shared" ref="W83:W90" si="28">$V83/$F83*100</f>
        <v>65.296296296296291</v>
      </c>
      <c r="X83" s="68">
        <f t="shared" ref="X83:X90" si="29">$S83/($L83+$M83)</f>
        <v>6.3417266187050361</v>
      </c>
      <c r="Y83" s="69">
        <f t="shared" ref="Y83:Y90" si="30">(($F83-$V83)*$E83)/($L83+$M83)</f>
        <v>3.3705035971223021</v>
      </c>
      <c r="Z83" s="70">
        <f t="shared" ref="Z83:Z90" si="31">($L83+$M83)/$F83</f>
        <v>9.2666666666666675</v>
      </c>
    </row>
    <row r="84" spans="1:26" ht="15.75" x14ac:dyDescent="0.25">
      <c r="A84" s="286"/>
      <c r="B84" s="285"/>
      <c r="C84" s="129" t="s">
        <v>69</v>
      </c>
      <c r="D84" s="129"/>
      <c r="E84" s="129">
        <f>+JAN!E84+FEBRUARI!E84+MARET!E84</f>
        <v>90</v>
      </c>
      <c r="F84" s="129">
        <v>30</v>
      </c>
      <c r="G84" s="129">
        <f>JAN!G84</f>
        <v>13</v>
      </c>
      <c r="H84" s="129">
        <f>+JAN!H84+FEBRUARI!H84+MARET!H84</f>
        <v>493</v>
      </c>
      <c r="I84" s="129">
        <f>+JAN!I84+FEBRUARI!I84+MARET!I84</f>
        <v>58</v>
      </c>
      <c r="J84" s="129">
        <f t="shared" si="22"/>
        <v>564</v>
      </c>
      <c r="K84" s="129">
        <f>+JAN!K84+FEBRUARI!K84+MARET!K84</f>
        <v>258</v>
      </c>
      <c r="L84" s="129">
        <f>+JAN!L84+FEBRUARI!L84+MARET!L84</f>
        <v>269</v>
      </c>
      <c r="M84" s="130">
        <f t="shared" si="23"/>
        <v>9</v>
      </c>
      <c r="N84" s="129">
        <f>+JAN!N84+FEBRUARI!N84+MARET!N84</f>
        <v>8</v>
      </c>
      <c r="O84" s="129">
        <f>+JAN!O84+FEBRUARI!O84+MARET!O84</f>
        <v>1</v>
      </c>
      <c r="P84" s="130">
        <f t="shared" si="24"/>
        <v>536</v>
      </c>
      <c r="Q84" s="129">
        <f>+JAN!Q84+FEBRUARI!Q84+MARET!Q84</f>
        <v>1684</v>
      </c>
      <c r="R84" s="129">
        <f>+JAN!R84+FEBRUARI!R84+MARET!R84</f>
        <v>4</v>
      </c>
      <c r="S84" s="129">
        <f>+JAN!S84+FEBRUARI!S84+MARET!S84</f>
        <v>1763</v>
      </c>
      <c r="T84" s="130">
        <f t="shared" si="25"/>
        <v>28</v>
      </c>
      <c r="U84" s="130">
        <f t="shared" si="26"/>
        <v>278</v>
      </c>
      <c r="V84" s="73">
        <f t="shared" si="27"/>
        <v>19.588888888888889</v>
      </c>
      <c r="W84" s="73">
        <f t="shared" si="28"/>
        <v>65.296296296296291</v>
      </c>
      <c r="X84" s="73">
        <f t="shared" si="29"/>
        <v>6.3417266187050361</v>
      </c>
      <c r="Y84" s="146">
        <f t="shared" si="30"/>
        <v>3.3705035971223021</v>
      </c>
      <c r="Z84" s="146">
        <f t="shared" si="31"/>
        <v>9.2666666666666675</v>
      </c>
    </row>
    <row r="85" spans="1:26" ht="15.75" x14ac:dyDescent="0.25">
      <c r="A85" s="207"/>
      <c r="B85" s="285"/>
      <c r="C85" s="222"/>
      <c r="D85" s="85" t="s">
        <v>55</v>
      </c>
      <c r="E85" s="82">
        <f>+JAN!E85+FEBRUARI!E85+MARET!E85</f>
        <v>90</v>
      </c>
      <c r="F85" s="85"/>
      <c r="G85" s="85">
        <f>JAN!G85</f>
        <v>0</v>
      </c>
      <c r="H85" s="85">
        <f>+JAN!H85+FEBRUARI!H85+MARET!H85</f>
        <v>0</v>
      </c>
      <c r="I85" s="85">
        <f>+JAN!I85+FEBRUARI!I85+MARET!I85</f>
        <v>0</v>
      </c>
      <c r="J85" s="85">
        <f t="shared" si="22"/>
        <v>0</v>
      </c>
      <c r="K85" s="85">
        <f>+JAN!K85+FEBRUARI!K85+MARET!K85</f>
        <v>0</v>
      </c>
      <c r="L85" s="85">
        <f>+JAN!L85+FEBRUARI!L85+MARET!L85</f>
        <v>0</v>
      </c>
      <c r="M85" s="127">
        <f t="shared" si="23"/>
        <v>0</v>
      </c>
      <c r="N85" s="85">
        <f>+JAN!N85+FEBRUARI!N85+MARET!N85</f>
        <v>0</v>
      </c>
      <c r="O85" s="85">
        <f>+JAN!O85+FEBRUARI!O85+MARET!O85</f>
        <v>0</v>
      </c>
      <c r="P85" s="127">
        <f t="shared" si="24"/>
        <v>0</v>
      </c>
      <c r="Q85" s="85">
        <f>+JAN!Q85+FEBRUARI!Q85+MARET!Q85</f>
        <v>0</v>
      </c>
      <c r="R85" s="85">
        <f>+JAN!R85+FEBRUARI!R85+MARET!R85</f>
        <v>0</v>
      </c>
      <c r="S85" s="85">
        <f>+JAN!S85+FEBRUARI!S85+MARET!S85</f>
        <v>0</v>
      </c>
      <c r="T85" s="127">
        <f t="shared" si="25"/>
        <v>0</v>
      </c>
      <c r="U85" s="127">
        <f t="shared" si="26"/>
        <v>0</v>
      </c>
      <c r="V85" s="68">
        <f t="shared" si="27"/>
        <v>0</v>
      </c>
      <c r="W85" s="68" t="e">
        <f t="shared" si="28"/>
        <v>#DIV/0!</v>
      </c>
      <c r="X85" s="68" t="e">
        <f t="shared" si="29"/>
        <v>#DIV/0!</v>
      </c>
      <c r="Y85" s="69" t="e">
        <f t="shared" si="30"/>
        <v>#DIV/0!</v>
      </c>
      <c r="Z85" s="70" t="e">
        <f t="shared" si="31"/>
        <v>#DIV/0!</v>
      </c>
    </row>
    <row r="86" spans="1:26" ht="15.75" x14ac:dyDescent="0.25">
      <c r="A86" s="284">
        <v>2</v>
      </c>
      <c r="B86" s="285"/>
      <c r="C86" s="270" t="s">
        <v>73</v>
      </c>
      <c r="D86" s="82" t="s">
        <v>48</v>
      </c>
      <c r="E86" s="82">
        <f>+JAN!E86+FEBRUARI!E86+MARET!E86</f>
        <v>90</v>
      </c>
      <c r="F86" s="82"/>
      <c r="G86" s="85">
        <f>JAN!G86</f>
        <v>0</v>
      </c>
      <c r="H86" s="85">
        <f>+JAN!H86+FEBRUARI!H86+MARET!H86</f>
        <v>0</v>
      </c>
      <c r="I86" s="85">
        <f>+JAN!I86+FEBRUARI!I86+MARET!I86</f>
        <v>5</v>
      </c>
      <c r="J86" s="85">
        <f t="shared" si="22"/>
        <v>5</v>
      </c>
      <c r="K86" s="85">
        <f>+JAN!K86+FEBRUARI!K86+MARET!K86</f>
        <v>0</v>
      </c>
      <c r="L86" s="85">
        <f>+JAN!L86+FEBRUARI!L86+MARET!L86</f>
        <v>5</v>
      </c>
      <c r="M86" s="127">
        <f t="shared" si="23"/>
        <v>0</v>
      </c>
      <c r="N86" s="85">
        <f>+JAN!N86+FEBRUARI!N86+MARET!N86</f>
        <v>0</v>
      </c>
      <c r="O86" s="85">
        <f>+JAN!O86+FEBRUARI!O86+MARET!O86</f>
        <v>0</v>
      </c>
      <c r="P86" s="127">
        <f t="shared" si="24"/>
        <v>5</v>
      </c>
      <c r="Q86" s="85">
        <f>+JAN!Q86+FEBRUARI!Q86+MARET!Q86</f>
        <v>8</v>
      </c>
      <c r="R86" s="85">
        <f>+JAN!R86+FEBRUARI!R86+MARET!R86</f>
        <v>0</v>
      </c>
      <c r="S86" s="85">
        <f>+JAN!S86+FEBRUARI!S86+MARET!S86</f>
        <v>5</v>
      </c>
      <c r="T86" s="127">
        <f t="shared" si="25"/>
        <v>0</v>
      </c>
      <c r="U86" s="127">
        <f t="shared" si="26"/>
        <v>5</v>
      </c>
      <c r="V86" s="68">
        <f t="shared" si="27"/>
        <v>5.5555555555555552E-2</v>
      </c>
      <c r="W86" s="68" t="e">
        <f t="shared" si="28"/>
        <v>#DIV/0!</v>
      </c>
      <c r="X86" s="68">
        <f t="shared" si="29"/>
        <v>1</v>
      </c>
      <c r="Y86" s="69">
        <f t="shared" si="30"/>
        <v>-1</v>
      </c>
      <c r="Z86" s="70" t="e">
        <f t="shared" si="31"/>
        <v>#DIV/0!</v>
      </c>
    </row>
    <row r="87" spans="1:26" ht="15.75" x14ac:dyDescent="0.25">
      <c r="A87" s="285"/>
      <c r="B87" s="285"/>
      <c r="C87" s="271"/>
      <c r="D87" s="82" t="s">
        <v>38</v>
      </c>
      <c r="E87" s="82">
        <f>+JAN!E87+FEBRUARI!E87+MARET!E87</f>
        <v>90</v>
      </c>
      <c r="F87" s="82"/>
      <c r="G87" s="85">
        <f>JAN!G87</f>
        <v>2</v>
      </c>
      <c r="H87" s="85">
        <f>+JAN!H87+FEBRUARI!H87+MARET!H87</f>
        <v>1</v>
      </c>
      <c r="I87" s="85">
        <f>+JAN!I87+FEBRUARI!I87+MARET!I87</f>
        <v>115</v>
      </c>
      <c r="J87" s="85">
        <f t="shared" si="22"/>
        <v>118</v>
      </c>
      <c r="K87" s="85">
        <f>+JAN!K87+FEBRUARI!K87+MARET!K87</f>
        <v>108</v>
      </c>
      <c r="L87" s="85">
        <f>+JAN!L87+FEBRUARI!L87+MARET!L87</f>
        <v>10</v>
      </c>
      <c r="M87" s="127">
        <f t="shared" si="23"/>
        <v>0</v>
      </c>
      <c r="N87" s="85">
        <f>+JAN!N87+FEBRUARI!N87+MARET!N87</f>
        <v>0</v>
      </c>
      <c r="O87" s="85">
        <f>+JAN!O87+FEBRUARI!O87+MARET!O87</f>
        <v>0</v>
      </c>
      <c r="P87" s="127">
        <f t="shared" si="24"/>
        <v>118</v>
      </c>
      <c r="Q87" s="85">
        <f>+JAN!Q87+FEBRUARI!Q87+MARET!Q87</f>
        <v>16</v>
      </c>
      <c r="R87" s="85">
        <f>+JAN!R87+FEBRUARI!R87+MARET!R87</f>
        <v>0</v>
      </c>
      <c r="S87" s="85">
        <f>+JAN!S87+FEBRUARI!S87+MARET!S87</f>
        <v>118</v>
      </c>
      <c r="T87" s="127">
        <f t="shared" si="25"/>
        <v>0</v>
      </c>
      <c r="U87" s="127">
        <f t="shared" si="26"/>
        <v>10</v>
      </c>
      <c r="V87" s="68">
        <f t="shared" si="27"/>
        <v>1.3111111111111111</v>
      </c>
      <c r="W87" s="68" t="e">
        <f t="shared" si="28"/>
        <v>#DIV/0!</v>
      </c>
      <c r="X87" s="68">
        <f t="shared" si="29"/>
        <v>11.8</v>
      </c>
      <c r="Y87" s="69">
        <f t="shared" si="30"/>
        <v>-11.8</v>
      </c>
      <c r="Z87" s="70" t="e">
        <f t="shared" si="31"/>
        <v>#DIV/0!</v>
      </c>
    </row>
    <row r="88" spans="1:26" ht="15.75" x14ac:dyDescent="0.25">
      <c r="A88" s="285"/>
      <c r="B88" s="285"/>
      <c r="C88" s="272"/>
      <c r="D88" s="82" t="s">
        <v>34</v>
      </c>
      <c r="E88" s="82">
        <f>+JAN!E88+FEBRUARI!E88+MARET!E88</f>
        <v>90</v>
      </c>
      <c r="F88" s="82"/>
      <c r="G88" s="85">
        <f>JAN!G88</f>
        <v>2</v>
      </c>
      <c r="H88" s="85">
        <f>+JAN!H88+FEBRUARI!H88+MARET!H88</f>
        <v>13</v>
      </c>
      <c r="I88" s="85">
        <f>+JAN!I88+FEBRUARI!I88+MARET!I88</f>
        <v>223</v>
      </c>
      <c r="J88" s="85">
        <f t="shared" si="22"/>
        <v>238</v>
      </c>
      <c r="K88" s="85">
        <f>+JAN!K88+FEBRUARI!K88+MARET!K88</f>
        <v>14</v>
      </c>
      <c r="L88" s="85">
        <f>+JAN!L88+FEBRUARI!L88+MARET!L88</f>
        <v>224</v>
      </c>
      <c r="M88" s="127">
        <f t="shared" si="23"/>
        <v>0</v>
      </c>
      <c r="N88" s="85">
        <f>+JAN!N88+FEBRUARI!N88+MARET!N88</f>
        <v>0</v>
      </c>
      <c r="O88" s="85">
        <f>+JAN!O88+FEBRUARI!O88+MARET!O88</f>
        <v>0</v>
      </c>
      <c r="P88" s="127">
        <f t="shared" si="24"/>
        <v>238</v>
      </c>
      <c r="Q88" s="85">
        <f>+JAN!Q88+FEBRUARI!Q88+MARET!Q88</f>
        <v>346</v>
      </c>
      <c r="R88" s="85">
        <f>+JAN!R88+FEBRUARI!R88+MARET!R88</f>
        <v>2</v>
      </c>
      <c r="S88" s="85">
        <f>+JAN!S88+FEBRUARI!S88+MARET!S88</f>
        <v>240</v>
      </c>
      <c r="T88" s="127">
        <f t="shared" si="25"/>
        <v>0</v>
      </c>
      <c r="U88" s="127">
        <f t="shared" si="26"/>
        <v>224</v>
      </c>
      <c r="V88" s="68">
        <f t="shared" si="27"/>
        <v>2.6666666666666665</v>
      </c>
      <c r="W88" s="68" t="e">
        <f t="shared" si="28"/>
        <v>#DIV/0!</v>
      </c>
      <c r="X88" s="68">
        <f t="shared" si="29"/>
        <v>1.0714285714285714</v>
      </c>
      <c r="Y88" s="69">
        <f t="shared" si="30"/>
        <v>-1.0714285714285714</v>
      </c>
      <c r="Z88" s="70" t="e">
        <f t="shared" si="31"/>
        <v>#DIV/0!</v>
      </c>
    </row>
    <row r="89" spans="1:26" ht="15.75" x14ac:dyDescent="0.25">
      <c r="A89" s="286"/>
      <c r="B89" s="286"/>
      <c r="C89" s="129" t="s">
        <v>73</v>
      </c>
      <c r="D89" s="129"/>
      <c r="E89" s="129">
        <f>+JAN!E89+FEBRUARI!E89+MARET!E89</f>
        <v>90</v>
      </c>
      <c r="F89" s="129">
        <v>0</v>
      </c>
      <c r="G89" s="129">
        <f>JAN!G89</f>
        <v>4</v>
      </c>
      <c r="H89" s="129">
        <f>+JAN!H89+FEBRUARI!H89+MARET!H89</f>
        <v>14</v>
      </c>
      <c r="I89" s="129">
        <f>+JAN!I89+FEBRUARI!I89+MARET!I89</f>
        <v>343</v>
      </c>
      <c r="J89" s="129">
        <f t="shared" si="22"/>
        <v>361</v>
      </c>
      <c r="K89" s="129">
        <f>+JAN!K89+FEBRUARI!K89+MARET!K89</f>
        <v>122</v>
      </c>
      <c r="L89" s="129">
        <f>+JAN!L89+FEBRUARI!L89+MARET!L89</f>
        <v>239</v>
      </c>
      <c r="M89" s="130">
        <f t="shared" si="23"/>
        <v>0</v>
      </c>
      <c r="N89" s="129">
        <f>+JAN!N89+FEBRUARI!N89+MARET!N89</f>
        <v>0</v>
      </c>
      <c r="O89" s="129">
        <f>+JAN!O89+FEBRUARI!O89+MARET!O89</f>
        <v>0</v>
      </c>
      <c r="P89" s="130">
        <f t="shared" si="24"/>
        <v>361</v>
      </c>
      <c r="Q89" s="129">
        <f>+JAN!Q89+FEBRUARI!Q89+MARET!Q89</f>
        <v>370</v>
      </c>
      <c r="R89" s="129">
        <f>+JAN!R89+FEBRUARI!R89+MARET!R89</f>
        <v>2</v>
      </c>
      <c r="S89" s="129">
        <f>+JAN!S89+FEBRUARI!S89+MARET!S89</f>
        <v>363</v>
      </c>
      <c r="T89" s="130">
        <f t="shared" si="25"/>
        <v>0</v>
      </c>
      <c r="U89" s="130">
        <f t="shared" si="26"/>
        <v>239</v>
      </c>
      <c r="V89" s="73">
        <f t="shared" si="27"/>
        <v>4.0333333333333332</v>
      </c>
      <c r="W89" s="73" t="e">
        <f t="shared" si="28"/>
        <v>#DIV/0!</v>
      </c>
      <c r="X89" s="73">
        <f t="shared" si="29"/>
        <v>1.5188284518828452</v>
      </c>
      <c r="Y89" s="146">
        <f t="shared" si="30"/>
        <v>-1.5188284518828452</v>
      </c>
      <c r="Z89" s="146" t="e">
        <f t="shared" si="31"/>
        <v>#DIV/0!</v>
      </c>
    </row>
    <row r="90" spans="1:26" ht="15.75" x14ac:dyDescent="0.25">
      <c r="A90" s="223" t="s">
        <v>74</v>
      </c>
      <c r="B90" s="209"/>
      <c r="C90" s="209"/>
      <c r="D90" s="209"/>
      <c r="E90" s="88">
        <f>+JAN!E90+FEBRUARI!E90+MARET!E90</f>
        <v>90</v>
      </c>
      <c r="F90" s="78">
        <v>30</v>
      </c>
      <c r="G90" s="88">
        <f>JAN!G90</f>
        <v>17</v>
      </c>
      <c r="H90" s="88">
        <f>+JAN!H90+FEBRUARI!H90+MARET!H90</f>
        <v>507</v>
      </c>
      <c r="I90" s="88">
        <f>+JAN!I90+FEBRUARI!I90+MARET!I90</f>
        <v>401</v>
      </c>
      <c r="J90" s="88">
        <f t="shared" si="22"/>
        <v>925</v>
      </c>
      <c r="K90" s="88">
        <f>+JAN!K90+FEBRUARI!K90+MARET!K90</f>
        <v>380</v>
      </c>
      <c r="L90" s="88">
        <f>+JAN!L90+FEBRUARI!L90+MARET!L90</f>
        <v>508</v>
      </c>
      <c r="M90" s="134">
        <f t="shared" si="23"/>
        <v>9</v>
      </c>
      <c r="N90" s="88">
        <f>+JAN!N90+FEBRUARI!N90+MARET!N90</f>
        <v>8</v>
      </c>
      <c r="O90" s="88">
        <f>+JAN!O90+FEBRUARI!O90+MARET!O90</f>
        <v>1</v>
      </c>
      <c r="P90" s="134">
        <f t="shared" si="24"/>
        <v>897</v>
      </c>
      <c r="Q90" s="88">
        <f>+JAN!Q90+FEBRUARI!Q90+MARET!Q90</f>
        <v>2054</v>
      </c>
      <c r="R90" s="88">
        <f>+JAN!R90+FEBRUARI!R90+MARET!R90</f>
        <v>6</v>
      </c>
      <c r="S90" s="88">
        <f>+JAN!S90+FEBRUARI!S90+MARET!S90</f>
        <v>2126</v>
      </c>
      <c r="T90" s="134">
        <f t="shared" si="25"/>
        <v>28</v>
      </c>
      <c r="U90" s="134">
        <f t="shared" si="26"/>
        <v>517</v>
      </c>
      <c r="V90" s="147">
        <f t="shared" si="27"/>
        <v>23.622222222222224</v>
      </c>
      <c r="W90" s="147">
        <f t="shared" si="28"/>
        <v>78.740740740740748</v>
      </c>
      <c r="X90" s="147">
        <f t="shared" si="29"/>
        <v>4.1121856866537714</v>
      </c>
      <c r="Y90" s="75">
        <f t="shared" si="30"/>
        <v>1.1102514506769823</v>
      </c>
      <c r="Z90" s="75">
        <f t="shared" si="31"/>
        <v>17.233333333333334</v>
      </c>
    </row>
    <row r="91" spans="1:26" ht="15.75" x14ac:dyDescent="0.25">
      <c r="A91" s="79"/>
      <c r="D91" s="90"/>
      <c r="E91" s="82"/>
      <c r="G91" s="89">
        <v>65</v>
      </c>
    </row>
    <row r="92" spans="1:26" x14ac:dyDescent="0.25">
      <c r="A92" s="269" t="s">
        <v>1</v>
      </c>
      <c r="B92" s="269" t="s">
        <v>2</v>
      </c>
      <c r="C92" s="267" t="s">
        <v>3</v>
      </c>
      <c r="D92" s="267" t="s">
        <v>4</v>
      </c>
      <c r="E92" s="268" t="s">
        <v>5</v>
      </c>
      <c r="F92" s="267" t="s">
        <v>6</v>
      </c>
      <c r="G92" s="267" t="s">
        <v>7</v>
      </c>
      <c r="H92" s="287" t="s">
        <v>8</v>
      </c>
      <c r="I92" s="268" t="s">
        <v>9</v>
      </c>
      <c r="J92" s="267" t="s">
        <v>10</v>
      </c>
      <c r="K92" s="267" t="s">
        <v>11</v>
      </c>
      <c r="L92" s="267" t="s">
        <v>12</v>
      </c>
      <c r="M92" s="267" t="s">
        <v>13</v>
      </c>
      <c r="N92" s="267" t="s">
        <v>14</v>
      </c>
      <c r="O92" s="267" t="s">
        <v>15</v>
      </c>
      <c r="P92" s="267" t="s">
        <v>16</v>
      </c>
      <c r="Q92" s="267" t="s">
        <v>17</v>
      </c>
      <c r="R92" s="267" t="s">
        <v>18</v>
      </c>
      <c r="S92" s="267" t="s">
        <v>19</v>
      </c>
      <c r="T92" s="267" t="s">
        <v>20</v>
      </c>
      <c r="U92" s="279" t="s">
        <v>21</v>
      </c>
      <c r="V92" s="76" t="s">
        <v>22</v>
      </c>
      <c r="W92" s="76" t="s">
        <v>23</v>
      </c>
      <c r="X92" s="76" t="s">
        <v>24</v>
      </c>
      <c r="Y92" s="76" t="s">
        <v>25</v>
      </c>
      <c r="Z92" s="76" t="s">
        <v>26</v>
      </c>
    </row>
    <row r="93" spans="1:26" x14ac:dyDescent="0.25">
      <c r="A93" s="269"/>
      <c r="B93" s="269"/>
      <c r="C93" s="267"/>
      <c r="D93" s="267"/>
      <c r="E93" s="268"/>
      <c r="F93" s="267"/>
      <c r="G93" s="267"/>
      <c r="H93" s="288"/>
      <c r="I93" s="268"/>
      <c r="J93" s="267"/>
      <c r="K93" s="267"/>
      <c r="L93" s="267"/>
      <c r="M93" s="267"/>
      <c r="N93" s="267"/>
      <c r="O93" s="267"/>
      <c r="P93" s="267"/>
      <c r="Q93" s="267"/>
      <c r="R93" s="267"/>
      <c r="S93" s="267"/>
      <c r="T93" s="267"/>
      <c r="U93" s="279"/>
      <c r="V93" s="278" t="s">
        <v>27</v>
      </c>
      <c r="W93" s="278" t="s">
        <v>28</v>
      </c>
      <c r="X93" s="278" t="s">
        <v>29</v>
      </c>
      <c r="Y93" s="278" t="s">
        <v>30</v>
      </c>
      <c r="Z93" s="278" t="s">
        <v>31</v>
      </c>
    </row>
    <row r="94" spans="1:26" x14ac:dyDescent="0.25">
      <c r="A94" s="269"/>
      <c r="B94" s="269"/>
      <c r="C94" s="267"/>
      <c r="D94" s="267"/>
      <c r="E94" s="268"/>
      <c r="F94" s="267"/>
      <c r="G94" s="267"/>
      <c r="H94" s="289"/>
      <c r="I94" s="268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79"/>
      <c r="V94" s="280"/>
      <c r="W94" s="278"/>
      <c r="X94" s="278"/>
      <c r="Y94" s="278"/>
      <c r="Z94" s="278"/>
    </row>
    <row r="95" spans="1:26" x14ac:dyDescent="0.25">
      <c r="A95" s="269"/>
      <c r="B95" s="269"/>
      <c r="C95" s="267"/>
      <c r="D95" s="267"/>
      <c r="E95" s="268"/>
      <c r="F95" s="267"/>
      <c r="G95" s="124">
        <v>1</v>
      </c>
      <c r="H95" s="124">
        <v>2</v>
      </c>
      <c r="I95" s="124">
        <v>3</v>
      </c>
      <c r="J95" s="124">
        <v>4</v>
      </c>
      <c r="K95" s="124">
        <v>5</v>
      </c>
      <c r="L95" s="124">
        <v>6</v>
      </c>
      <c r="M95" s="124">
        <v>7</v>
      </c>
      <c r="N95" s="124">
        <v>8</v>
      </c>
      <c r="O95" s="124">
        <v>9</v>
      </c>
      <c r="P95" s="124">
        <v>10</v>
      </c>
      <c r="Q95" s="124">
        <v>11</v>
      </c>
      <c r="R95" s="124">
        <v>12</v>
      </c>
      <c r="S95" s="124">
        <v>13</v>
      </c>
      <c r="T95" s="124">
        <v>14</v>
      </c>
      <c r="U95" s="279"/>
      <c r="V95" s="123">
        <v>15</v>
      </c>
      <c r="W95" s="123">
        <v>16</v>
      </c>
      <c r="X95" s="123">
        <v>17</v>
      </c>
      <c r="Y95" s="123">
        <v>18</v>
      </c>
      <c r="Z95" s="123">
        <v>19</v>
      </c>
    </row>
    <row r="96" spans="1:26" ht="15.75" x14ac:dyDescent="0.25">
      <c r="A96" s="284">
        <v>1</v>
      </c>
      <c r="B96" s="224" t="s">
        <v>75</v>
      </c>
      <c r="C96" s="82" t="s">
        <v>76</v>
      </c>
      <c r="D96" s="82" t="s">
        <v>48</v>
      </c>
      <c r="E96" s="82">
        <f>+JAN!E96+FEBRUARI!E96+MARET!E96</f>
        <v>90</v>
      </c>
      <c r="F96" s="82">
        <v>14</v>
      </c>
      <c r="G96" s="85">
        <f>JAN!G96</f>
        <v>17</v>
      </c>
      <c r="H96" s="85">
        <f>+JAN!H96+FEBRUARI!H96+MARET!H96</f>
        <v>41</v>
      </c>
      <c r="I96" s="85">
        <f>+JAN!I96+FEBRUARI!I96+MARET!I96</f>
        <v>274</v>
      </c>
      <c r="J96" s="85">
        <f t="shared" ref="J96:J116" si="32">+G96+H96+I96</f>
        <v>332</v>
      </c>
      <c r="K96" s="85">
        <f>+JAN!K96+FEBRUARI!K96+MARET!K96</f>
        <v>277</v>
      </c>
      <c r="L96" s="85">
        <f>+JAN!L96+FEBRUARI!L96+MARET!L96</f>
        <v>0</v>
      </c>
      <c r="M96" s="127">
        <f t="shared" ref="M96:M117" si="33">+N96+O96</f>
        <v>45</v>
      </c>
      <c r="N96" s="85">
        <f>+JAN!N96+FEBRUARI!N96+MARET!N96</f>
        <v>5</v>
      </c>
      <c r="O96" s="85">
        <f>+JAN!O96+FEBRUARI!O96+MARET!O96</f>
        <v>40</v>
      </c>
      <c r="P96" s="127">
        <f t="shared" ref="P96:P117" si="34">+K96+L96+M96</f>
        <v>322</v>
      </c>
      <c r="Q96" s="85">
        <f>+JAN!Q96+FEBRUARI!Q96+MARET!Q96</f>
        <v>404</v>
      </c>
      <c r="R96" s="85">
        <f>+JAN!R96+FEBRUARI!R96+MARET!R96</f>
        <v>1</v>
      </c>
      <c r="S96" s="85">
        <f>+JAN!S96+FEBRUARI!S96+MARET!S96</f>
        <v>932</v>
      </c>
      <c r="T96" s="127">
        <f t="shared" ref="T96:T118" si="35">J96-P96</f>
        <v>10</v>
      </c>
      <c r="U96" s="127">
        <f t="shared" ref="U96:U117" si="36">L96+M96</f>
        <v>45</v>
      </c>
      <c r="V96" s="68">
        <f t="shared" ref="V96:V118" si="37">$S96/$E96</f>
        <v>10.355555555555556</v>
      </c>
      <c r="W96" s="68">
        <f t="shared" ref="W96:W118" si="38">$V96/$F96*100</f>
        <v>73.968253968253975</v>
      </c>
      <c r="X96" s="68">
        <f t="shared" ref="X96:X118" si="39">$S96/($L96+$M96)</f>
        <v>20.711111111111112</v>
      </c>
      <c r="Y96" s="69">
        <f t="shared" ref="Y96:Y118" si="40">(($F96-$V96)*$E96)/($L96+$M96)</f>
        <v>7.2888888888888879</v>
      </c>
      <c r="Z96" s="70">
        <f t="shared" ref="Z96:Z118" si="41">($L96+$M96)/$F96</f>
        <v>3.2142857142857144</v>
      </c>
    </row>
    <row r="97" spans="1:26" ht="15.75" x14ac:dyDescent="0.25">
      <c r="A97" s="286"/>
      <c r="B97" s="225"/>
      <c r="C97" s="129" t="s">
        <v>76</v>
      </c>
      <c r="D97" s="129" t="s">
        <v>48</v>
      </c>
      <c r="E97" s="129">
        <f>+JAN!E97+FEBRUARI!E97+MARET!E97</f>
        <v>90</v>
      </c>
      <c r="F97" s="129">
        <v>14</v>
      </c>
      <c r="G97" s="129">
        <f>JAN!G97</f>
        <v>17</v>
      </c>
      <c r="H97" s="129">
        <f>+JAN!H97+FEBRUARI!H97+MARET!H97</f>
        <v>41</v>
      </c>
      <c r="I97" s="129">
        <f>+JAN!I97+FEBRUARI!I97+MARET!I97</f>
        <v>274</v>
      </c>
      <c r="J97" s="129">
        <f t="shared" si="32"/>
        <v>332</v>
      </c>
      <c r="K97" s="129">
        <f>+JAN!K97+FEBRUARI!K97+MARET!K97</f>
        <v>277</v>
      </c>
      <c r="L97" s="129">
        <f>+JAN!L97+FEBRUARI!L97+MARET!L97</f>
        <v>0</v>
      </c>
      <c r="M97" s="130">
        <f t="shared" si="33"/>
        <v>45</v>
      </c>
      <c r="N97" s="129">
        <f>+JAN!N97+FEBRUARI!N97+MARET!N97</f>
        <v>5</v>
      </c>
      <c r="O97" s="129">
        <f>+JAN!O97+FEBRUARI!O97+MARET!O97</f>
        <v>40</v>
      </c>
      <c r="P97" s="130">
        <f t="shared" si="34"/>
        <v>322</v>
      </c>
      <c r="Q97" s="129">
        <f>+JAN!Q97+FEBRUARI!Q97+MARET!Q97</f>
        <v>404</v>
      </c>
      <c r="R97" s="129">
        <f>+JAN!R97+FEBRUARI!R97+MARET!R97</f>
        <v>1</v>
      </c>
      <c r="S97" s="129">
        <f>+JAN!S97+FEBRUARI!S97+MARET!S97</f>
        <v>932</v>
      </c>
      <c r="T97" s="130">
        <f t="shared" si="35"/>
        <v>10</v>
      </c>
      <c r="U97" s="130">
        <f t="shared" si="36"/>
        <v>45</v>
      </c>
      <c r="V97" s="73">
        <f t="shared" si="37"/>
        <v>10.355555555555556</v>
      </c>
      <c r="W97" s="73">
        <f t="shared" si="38"/>
        <v>73.968253968253975</v>
      </c>
      <c r="X97" s="73">
        <f t="shared" si="39"/>
        <v>20.711111111111112</v>
      </c>
      <c r="Y97" s="146">
        <f t="shared" si="40"/>
        <v>7.2888888888888879</v>
      </c>
      <c r="Z97" s="146">
        <f t="shared" si="41"/>
        <v>3.2142857142857144</v>
      </c>
    </row>
    <row r="98" spans="1:26" ht="15.75" x14ac:dyDescent="0.25">
      <c r="A98" s="284">
        <v>2</v>
      </c>
      <c r="B98" s="225"/>
      <c r="C98" s="82" t="s">
        <v>77</v>
      </c>
      <c r="D98" s="82" t="s">
        <v>48</v>
      </c>
      <c r="E98" s="82">
        <f>+JAN!E98+FEBRUARI!E98+MARET!E98</f>
        <v>90</v>
      </c>
      <c r="F98" s="82">
        <v>5</v>
      </c>
      <c r="G98" s="85">
        <f>JAN!G98</f>
        <v>2</v>
      </c>
      <c r="H98" s="85">
        <f>+JAN!H98+FEBRUARI!H98+MARET!H98</f>
        <v>221</v>
      </c>
      <c r="I98" s="85">
        <f>+JAN!I98+FEBRUARI!I98+MARET!I98</f>
        <v>29</v>
      </c>
      <c r="J98" s="85">
        <f t="shared" si="32"/>
        <v>252</v>
      </c>
      <c r="K98" s="85">
        <f>+JAN!K98+FEBRUARI!K98+MARET!K98</f>
        <v>228</v>
      </c>
      <c r="L98" s="85">
        <f>+JAN!L98+FEBRUARI!L98+MARET!L98</f>
        <v>3</v>
      </c>
      <c r="M98" s="127">
        <f t="shared" si="33"/>
        <v>16</v>
      </c>
      <c r="N98" s="85">
        <f>+JAN!N98+FEBRUARI!N98+MARET!N98</f>
        <v>14</v>
      </c>
      <c r="O98" s="85">
        <f>+JAN!O98+FEBRUARI!O98+MARET!O98</f>
        <v>2</v>
      </c>
      <c r="P98" s="127">
        <f t="shared" si="34"/>
        <v>247</v>
      </c>
      <c r="Q98" s="85">
        <f>+JAN!Q98+FEBRUARI!Q98+MARET!Q98</f>
        <v>23</v>
      </c>
      <c r="R98" s="85">
        <f>+JAN!R98+FEBRUARI!R98+MARET!R98</f>
        <v>5</v>
      </c>
      <c r="S98" s="85">
        <f>+JAN!S98+FEBRUARI!S98+MARET!S98</f>
        <v>314</v>
      </c>
      <c r="T98" s="127">
        <f t="shared" si="35"/>
        <v>5</v>
      </c>
      <c r="U98" s="127">
        <f t="shared" si="36"/>
        <v>19</v>
      </c>
      <c r="V98" s="68">
        <f t="shared" si="37"/>
        <v>3.4888888888888889</v>
      </c>
      <c r="W98" s="68">
        <f t="shared" si="38"/>
        <v>69.777777777777786</v>
      </c>
      <c r="X98" s="68">
        <f t="shared" si="39"/>
        <v>16.526315789473685</v>
      </c>
      <c r="Y98" s="69">
        <f t="shared" si="40"/>
        <v>7.1578947368421053</v>
      </c>
      <c r="Z98" s="70">
        <f t="shared" si="41"/>
        <v>3.8</v>
      </c>
    </row>
    <row r="99" spans="1:26" ht="15.75" x14ac:dyDescent="0.25">
      <c r="A99" s="286"/>
      <c r="B99" s="225"/>
      <c r="C99" s="129" t="s">
        <v>77</v>
      </c>
      <c r="D99" s="129" t="s">
        <v>48</v>
      </c>
      <c r="E99" s="129">
        <f>+JAN!E99+FEBRUARI!E99+MARET!E99</f>
        <v>90</v>
      </c>
      <c r="F99" s="129">
        <v>5</v>
      </c>
      <c r="G99" s="129">
        <f>JAN!G99</f>
        <v>2</v>
      </c>
      <c r="H99" s="129">
        <f>+JAN!H99+FEBRUARI!H99+MARET!H99</f>
        <v>221</v>
      </c>
      <c r="I99" s="129">
        <f>+JAN!I99+FEBRUARI!I99+MARET!I99</f>
        <v>29</v>
      </c>
      <c r="J99" s="129">
        <f t="shared" si="32"/>
        <v>252</v>
      </c>
      <c r="K99" s="129">
        <f>+JAN!K99+FEBRUARI!K99+MARET!K99</f>
        <v>228</v>
      </c>
      <c r="L99" s="129">
        <f>+JAN!L99+FEBRUARI!L99+MARET!L99</f>
        <v>3</v>
      </c>
      <c r="M99" s="130">
        <f t="shared" si="33"/>
        <v>16</v>
      </c>
      <c r="N99" s="129">
        <f>+JAN!N99+FEBRUARI!N99+MARET!N99</f>
        <v>14</v>
      </c>
      <c r="O99" s="129">
        <f>+JAN!O99+FEBRUARI!O99+MARET!O99</f>
        <v>2</v>
      </c>
      <c r="P99" s="130">
        <f t="shared" si="34"/>
        <v>247</v>
      </c>
      <c r="Q99" s="129">
        <f>+JAN!Q99+FEBRUARI!Q99+MARET!Q99</f>
        <v>23</v>
      </c>
      <c r="R99" s="129">
        <f>+JAN!R99+FEBRUARI!R99+MARET!R99</f>
        <v>5</v>
      </c>
      <c r="S99" s="129">
        <f>+JAN!S99+FEBRUARI!S99+MARET!S99</f>
        <v>314</v>
      </c>
      <c r="T99" s="130">
        <f t="shared" si="35"/>
        <v>5</v>
      </c>
      <c r="U99" s="130">
        <f t="shared" si="36"/>
        <v>19</v>
      </c>
      <c r="V99" s="73">
        <f t="shared" si="37"/>
        <v>3.4888888888888889</v>
      </c>
      <c r="W99" s="73">
        <f t="shared" si="38"/>
        <v>69.777777777777786</v>
      </c>
      <c r="X99" s="73">
        <f t="shared" si="39"/>
        <v>16.526315789473685</v>
      </c>
      <c r="Y99" s="146">
        <f t="shared" si="40"/>
        <v>7.1578947368421053</v>
      </c>
      <c r="Z99" s="146">
        <f t="shared" si="41"/>
        <v>3.8</v>
      </c>
    </row>
    <row r="100" spans="1:26" ht="15.75" x14ac:dyDescent="0.25">
      <c r="A100" s="284">
        <v>3</v>
      </c>
      <c r="B100" s="225"/>
      <c r="C100" s="82" t="s">
        <v>78</v>
      </c>
      <c r="D100" s="82" t="s">
        <v>48</v>
      </c>
      <c r="E100" s="82">
        <f>+JAN!E100+FEBRUARI!E100+MARET!E100</f>
        <v>90</v>
      </c>
      <c r="F100" s="82">
        <v>3</v>
      </c>
      <c r="G100" s="85">
        <f>JAN!G100</f>
        <v>2</v>
      </c>
      <c r="H100" s="85">
        <f>+JAN!H100+FEBRUARI!H100+MARET!H100</f>
        <v>40</v>
      </c>
      <c r="I100" s="85">
        <f>+JAN!I100+FEBRUARI!I100+MARET!I100</f>
        <v>27</v>
      </c>
      <c r="J100" s="85">
        <f t="shared" si="32"/>
        <v>69</v>
      </c>
      <c r="K100" s="85">
        <f>+JAN!K100+FEBRUARI!K100+MARET!K100</f>
        <v>55</v>
      </c>
      <c r="L100" s="85">
        <f>+JAN!L100+FEBRUARI!L100+MARET!L100</f>
        <v>1</v>
      </c>
      <c r="M100" s="127">
        <f t="shared" si="33"/>
        <v>10</v>
      </c>
      <c r="N100" s="85">
        <f>+JAN!N100+FEBRUARI!N100+MARET!N100</f>
        <v>5</v>
      </c>
      <c r="O100" s="85">
        <f>+JAN!O100+FEBRUARI!O100+MARET!O100</f>
        <v>5</v>
      </c>
      <c r="P100" s="127">
        <f t="shared" si="34"/>
        <v>66</v>
      </c>
      <c r="Q100" s="85">
        <f>+JAN!Q100+FEBRUARI!Q100+MARET!Q100</f>
        <v>64</v>
      </c>
      <c r="R100" s="85">
        <f>+JAN!R100+FEBRUARI!R100+MARET!R100</f>
        <v>0</v>
      </c>
      <c r="S100" s="85">
        <f>+JAN!S100+FEBRUARI!S100+MARET!S100</f>
        <v>186</v>
      </c>
      <c r="T100" s="127">
        <f t="shared" si="35"/>
        <v>3</v>
      </c>
      <c r="U100" s="127">
        <f t="shared" si="36"/>
        <v>11</v>
      </c>
      <c r="V100" s="68">
        <f t="shared" si="37"/>
        <v>2.0666666666666669</v>
      </c>
      <c r="W100" s="68">
        <f t="shared" si="38"/>
        <v>68.8888888888889</v>
      </c>
      <c r="X100" s="68">
        <f t="shared" si="39"/>
        <v>16.90909090909091</v>
      </c>
      <c r="Y100" s="69">
        <f t="shared" si="40"/>
        <v>7.6363636363636349</v>
      </c>
      <c r="Z100" s="70">
        <f t="shared" si="41"/>
        <v>3.6666666666666665</v>
      </c>
    </row>
    <row r="101" spans="1:26" ht="15.75" x14ac:dyDescent="0.25">
      <c r="A101" s="286"/>
      <c r="B101" s="225"/>
      <c r="C101" s="129" t="s">
        <v>78</v>
      </c>
      <c r="D101" s="129" t="s">
        <v>48</v>
      </c>
      <c r="E101" s="129">
        <f>+JAN!E101+FEBRUARI!E101+MARET!E101</f>
        <v>90</v>
      </c>
      <c r="F101" s="129">
        <v>3</v>
      </c>
      <c r="G101" s="129">
        <f>JAN!G101</f>
        <v>2</v>
      </c>
      <c r="H101" s="129">
        <f>+JAN!H101+FEBRUARI!H101+MARET!H101</f>
        <v>40</v>
      </c>
      <c r="I101" s="129">
        <f>+JAN!I101+FEBRUARI!I101+MARET!I101</f>
        <v>27</v>
      </c>
      <c r="J101" s="129">
        <f t="shared" si="32"/>
        <v>69</v>
      </c>
      <c r="K101" s="129">
        <f>+JAN!K101+FEBRUARI!K101+MARET!K101</f>
        <v>55</v>
      </c>
      <c r="L101" s="129">
        <f>+JAN!L101+FEBRUARI!L101+MARET!L101</f>
        <v>1</v>
      </c>
      <c r="M101" s="130">
        <f t="shared" si="33"/>
        <v>10</v>
      </c>
      <c r="N101" s="129">
        <f>+JAN!N101+FEBRUARI!N101+MARET!N101</f>
        <v>5</v>
      </c>
      <c r="O101" s="129">
        <f>+JAN!O101+FEBRUARI!O101+MARET!O101</f>
        <v>5</v>
      </c>
      <c r="P101" s="130">
        <f t="shared" si="34"/>
        <v>66</v>
      </c>
      <c r="Q101" s="129">
        <f>+JAN!Q101+FEBRUARI!Q101+MARET!Q101</f>
        <v>64</v>
      </c>
      <c r="R101" s="129">
        <f>+JAN!R101+FEBRUARI!R101+MARET!R101</f>
        <v>0</v>
      </c>
      <c r="S101" s="129">
        <f>+JAN!S101+FEBRUARI!S101+MARET!S101</f>
        <v>186</v>
      </c>
      <c r="T101" s="130">
        <f t="shared" si="35"/>
        <v>3</v>
      </c>
      <c r="U101" s="130">
        <f t="shared" si="36"/>
        <v>11</v>
      </c>
      <c r="V101" s="73">
        <f t="shared" si="37"/>
        <v>2.0666666666666669</v>
      </c>
      <c r="W101" s="73">
        <f t="shared" si="38"/>
        <v>68.8888888888889</v>
      </c>
      <c r="X101" s="73">
        <f t="shared" si="39"/>
        <v>16.90909090909091</v>
      </c>
      <c r="Y101" s="146">
        <f t="shared" si="40"/>
        <v>7.6363636363636349</v>
      </c>
      <c r="Z101" s="146">
        <f t="shared" si="41"/>
        <v>3.6666666666666665</v>
      </c>
    </row>
    <row r="102" spans="1:26" ht="15.75" x14ac:dyDescent="0.25">
      <c r="A102" s="284">
        <v>4</v>
      </c>
      <c r="B102" s="225"/>
      <c r="C102" s="85" t="s">
        <v>79</v>
      </c>
      <c r="D102" s="85" t="s">
        <v>48</v>
      </c>
      <c r="E102" s="82">
        <f>+JAN!E102+FEBRUARI!E102+MARET!E102</f>
        <v>90</v>
      </c>
      <c r="F102" s="85">
        <v>5</v>
      </c>
      <c r="G102" s="85">
        <f>JAN!G102</f>
        <v>5</v>
      </c>
      <c r="H102" s="85">
        <f>+JAN!H102+FEBRUARI!H102+MARET!H102</f>
        <v>30</v>
      </c>
      <c r="I102" s="85">
        <f>+JAN!I102+FEBRUARI!I102+MARET!I102</f>
        <v>49</v>
      </c>
      <c r="J102" s="85">
        <f t="shared" si="32"/>
        <v>84</v>
      </c>
      <c r="K102" s="85">
        <f>+JAN!K102+FEBRUARI!K102+MARET!K102</f>
        <v>59</v>
      </c>
      <c r="L102" s="85">
        <f>+JAN!L102+FEBRUARI!L102+MARET!L102</f>
        <v>1</v>
      </c>
      <c r="M102" s="127">
        <f t="shared" si="33"/>
        <v>20</v>
      </c>
      <c r="N102" s="85">
        <f>+JAN!N102+FEBRUARI!N102+MARET!N102</f>
        <v>9</v>
      </c>
      <c r="O102" s="85">
        <f>+JAN!O102+FEBRUARI!O102+MARET!O102</f>
        <v>11</v>
      </c>
      <c r="P102" s="127">
        <f t="shared" si="34"/>
        <v>80</v>
      </c>
      <c r="Q102" s="85">
        <f>+JAN!Q102+FEBRUARI!Q102+MARET!Q102</f>
        <v>127</v>
      </c>
      <c r="R102" s="85">
        <f>+JAN!R102+FEBRUARI!R102+MARET!R102</f>
        <v>2</v>
      </c>
      <c r="S102" s="85">
        <f>+JAN!S102+FEBRUARI!S102+MARET!S102</f>
        <v>363</v>
      </c>
      <c r="T102" s="127">
        <f t="shared" si="35"/>
        <v>4</v>
      </c>
      <c r="U102" s="127">
        <f t="shared" si="36"/>
        <v>21</v>
      </c>
      <c r="V102" s="68">
        <f t="shared" si="37"/>
        <v>4.0333333333333332</v>
      </c>
      <c r="W102" s="68">
        <f t="shared" si="38"/>
        <v>80.666666666666657</v>
      </c>
      <c r="X102" s="68">
        <f t="shared" si="39"/>
        <v>17.285714285714285</v>
      </c>
      <c r="Y102" s="69">
        <f t="shared" si="40"/>
        <v>4.1428571428571432</v>
      </c>
      <c r="Z102" s="70">
        <f t="shared" si="41"/>
        <v>4.2</v>
      </c>
    </row>
    <row r="103" spans="1:26" ht="15.75" x14ac:dyDescent="0.25">
      <c r="A103" s="286"/>
      <c r="B103" s="225"/>
      <c r="C103" s="129" t="s">
        <v>79</v>
      </c>
      <c r="D103" s="129" t="s">
        <v>48</v>
      </c>
      <c r="E103" s="129">
        <f>+JAN!E103+FEBRUARI!E103+MARET!E103</f>
        <v>90</v>
      </c>
      <c r="F103" s="129">
        <v>5</v>
      </c>
      <c r="G103" s="129">
        <f>JAN!G103</f>
        <v>5</v>
      </c>
      <c r="H103" s="129">
        <f>+JAN!H103+FEBRUARI!H103+MARET!H103</f>
        <v>30</v>
      </c>
      <c r="I103" s="129">
        <f>+JAN!I103+FEBRUARI!I103+MARET!I103</f>
        <v>49</v>
      </c>
      <c r="J103" s="129">
        <f t="shared" si="32"/>
        <v>84</v>
      </c>
      <c r="K103" s="129">
        <f>+JAN!K103+FEBRUARI!K103+MARET!K103</f>
        <v>59</v>
      </c>
      <c r="L103" s="129">
        <f>+JAN!L103+FEBRUARI!L103+MARET!L103</f>
        <v>1</v>
      </c>
      <c r="M103" s="130">
        <f t="shared" si="33"/>
        <v>20</v>
      </c>
      <c r="N103" s="129">
        <f>+JAN!N103+FEBRUARI!N103+MARET!N103</f>
        <v>9</v>
      </c>
      <c r="O103" s="129">
        <f>+JAN!O103+FEBRUARI!O103+MARET!O103</f>
        <v>11</v>
      </c>
      <c r="P103" s="130">
        <f t="shared" si="34"/>
        <v>80</v>
      </c>
      <c r="Q103" s="129">
        <f>+JAN!Q103+FEBRUARI!Q103+MARET!Q103</f>
        <v>127</v>
      </c>
      <c r="R103" s="129">
        <f>+JAN!R103+FEBRUARI!R103+MARET!R103</f>
        <v>2</v>
      </c>
      <c r="S103" s="129">
        <f>+JAN!S103+FEBRUARI!S103+MARET!S103</f>
        <v>363</v>
      </c>
      <c r="T103" s="130">
        <f t="shared" si="35"/>
        <v>4</v>
      </c>
      <c r="U103" s="130">
        <f t="shared" si="36"/>
        <v>21</v>
      </c>
      <c r="V103" s="73">
        <f t="shared" si="37"/>
        <v>4.0333333333333332</v>
      </c>
      <c r="W103" s="73">
        <f t="shared" si="38"/>
        <v>80.666666666666657</v>
      </c>
      <c r="X103" s="73">
        <f t="shared" si="39"/>
        <v>17.285714285714285</v>
      </c>
      <c r="Y103" s="146">
        <f t="shared" si="40"/>
        <v>4.1428571428571432</v>
      </c>
      <c r="Z103" s="146">
        <f t="shared" si="41"/>
        <v>4.2</v>
      </c>
    </row>
    <row r="104" spans="1:26" ht="15.75" x14ac:dyDescent="0.25">
      <c r="A104" s="284">
        <v>5</v>
      </c>
      <c r="B104" s="225"/>
      <c r="C104" s="85" t="s">
        <v>80</v>
      </c>
      <c r="D104" s="85" t="s">
        <v>48</v>
      </c>
      <c r="E104" s="82">
        <f>+JAN!E104+FEBRUARI!E104+MARET!E104</f>
        <v>90</v>
      </c>
      <c r="F104" s="85">
        <v>4</v>
      </c>
      <c r="G104" s="85">
        <f>JAN!G104</f>
        <v>3</v>
      </c>
      <c r="H104" s="85">
        <f>+JAN!H104+FEBRUARI!H104+MARET!H104</f>
        <v>79</v>
      </c>
      <c r="I104" s="85">
        <f>+JAN!I104+FEBRUARI!I104+MARET!I104</f>
        <v>32</v>
      </c>
      <c r="J104" s="85">
        <f t="shared" si="32"/>
        <v>114</v>
      </c>
      <c r="K104" s="85">
        <f>+JAN!K104+FEBRUARI!K104+MARET!K104</f>
        <v>75</v>
      </c>
      <c r="L104" s="85">
        <f>+JAN!L104+FEBRUARI!L104+MARET!L104</f>
        <v>1</v>
      </c>
      <c r="M104" s="127">
        <f t="shared" si="33"/>
        <v>37</v>
      </c>
      <c r="N104" s="85">
        <f>+JAN!N104+FEBRUARI!N104+MARET!N104</f>
        <v>26</v>
      </c>
      <c r="O104" s="85">
        <f>+JAN!O104+FEBRUARI!O104+MARET!O104</f>
        <v>11</v>
      </c>
      <c r="P104" s="127">
        <f t="shared" si="34"/>
        <v>113</v>
      </c>
      <c r="Q104" s="85">
        <f>+JAN!Q104+FEBRUARI!Q104+MARET!Q104</f>
        <v>86</v>
      </c>
      <c r="R104" s="85">
        <f>+JAN!R104+FEBRUARI!R104+MARET!R104</f>
        <v>7</v>
      </c>
      <c r="S104" s="85">
        <f>+JAN!S104+FEBRUARI!S104+MARET!S104</f>
        <v>231</v>
      </c>
      <c r="T104" s="127">
        <f t="shared" si="35"/>
        <v>1</v>
      </c>
      <c r="U104" s="127">
        <f t="shared" si="36"/>
        <v>38</v>
      </c>
      <c r="V104" s="68">
        <f t="shared" si="37"/>
        <v>2.5666666666666669</v>
      </c>
      <c r="W104" s="68">
        <f t="shared" si="38"/>
        <v>64.166666666666671</v>
      </c>
      <c r="X104" s="68">
        <f t="shared" si="39"/>
        <v>6.0789473684210522</v>
      </c>
      <c r="Y104" s="69">
        <f t="shared" si="40"/>
        <v>3.3947368421052624</v>
      </c>
      <c r="Z104" s="70">
        <f t="shared" si="41"/>
        <v>9.5</v>
      </c>
    </row>
    <row r="105" spans="1:26" ht="15.75" x14ac:dyDescent="0.25">
      <c r="A105" s="286"/>
      <c r="B105" s="225"/>
      <c r="C105" s="129" t="s">
        <v>80</v>
      </c>
      <c r="D105" s="129" t="s">
        <v>48</v>
      </c>
      <c r="E105" s="129">
        <f>+JAN!E105+FEBRUARI!E105+MARET!E105</f>
        <v>90</v>
      </c>
      <c r="F105" s="129">
        <v>4</v>
      </c>
      <c r="G105" s="129">
        <f>JAN!G105</f>
        <v>3</v>
      </c>
      <c r="H105" s="129">
        <f>+JAN!H105+FEBRUARI!H105+MARET!H105</f>
        <v>79</v>
      </c>
      <c r="I105" s="129">
        <f>+JAN!I105+FEBRUARI!I105+MARET!I105</f>
        <v>32</v>
      </c>
      <c r="J105" s="129">
        <f t="shared" si="32"/>
        <v>114</v>
      </c>
      <c r="K105" s="129">
        <f>+JAN!K105+FEBRUARI!K105+MARET!K105</f>
        <v>75</v>
      </c>
      <c r="L105" s="129">
        <f>+JAN!L105+FEBRUARI!L105+MARET!L105</f>
        <v>1</v>
      </c>
      <c r="M105" s="130">
        <f t="shared" si="33"/>
        <v>37</v>
      </c>
      <c r="N105" s="129">
        <f>+JAN!N105+FEBRUARI!N105+MARET!N105</f>
        <v>26</v>
      </c>
      <c r="O105" s="129">
        <f>+JAN!O105+FEBRUARI!O105+MARET!O105</f>
        <v>11</v>
      </c>
      <c r="P105" s="130">
        <f t="shared" si="34"/>
        <v>113</v>
      </c>
      <c r="Q105" s="129">
        <f>+JAN!Q105+FEBRUARI!Q105+MARET!Q105</f>
        <v>86</v>
      </c>
      <c r="R105" s="129">
        <f>+JAN!R105+FEBRUARI!R105+MARET!R105</f>
        <v>7</v>
      </c>
      <c r="S105" s="129">
        <f>+JAN!S105+FEBRUARI!S105+MARET!S105</f>
        <v>231</v>
      </c>
      <c r="T105" s="130">
        <f t="shared" si="35"/>
        <v>1</v>
      </c>
      <c r="U105" s="130">
        <f t="shared" si="36"/>
        <v>38</v>
      </c>
      <c r="V105" s="73">
        <f t="shared" si="37"/>
        <v>2.5666666666666669</v>
      </c>
      <c r="W105" s="73">
        <f t="shared" si="38"/>
        <v>64.166666666666671</v>
      </c>
      <c r="X105" s="73">
        <f t="shared" si="39"/>
        <v>6.0789473684210522</v>
      </c>
      <c r="Y105" s="146">
        <f t="shared" si="40"/>
        <v>3.3947368421052624</v>
      </c>
      <c r="Z105" s="146">
        <f t="shared" si="41"/>
        <v>9.5</v>
      </c>
    </row>
    <row r="106" spans="1:26" ht="15.75" x14ac:dyDescent="0.25">
      <c r="A106" s="284">
        <v>6</v>
      </c>
      <c r="B106" s="225"/>
      <c r="C106" s="85" t="s">
        <v>70</v>
      </c>
      <c r="D106" s="85" t="s">
        <v>48</v>
      </c>
      <c r="E106" s="82">
        <f>+JAN!E106+FEBRUARI!E106+MARET!E106</f>
        <v>90</v>
      </c>
      <c r="F106" s="85">
        <v>2</v>
      </c>
      <c r="G106" s="85">
        <f>JAN!G106</f>
        <v>0</v>
      </c>
      <c r="H106" s="85">
        <f>+JAN!H106+FEBRUARI!H106+MARET!H106</f>
        <v>26</v>
      </c>
      <c r="I106" s="85">
        <f>+JAN!I106+FEBRUARI!I106+MARET!I106</f>
        <v>12</v>
      </c>
      <c r="J106" s="85">
        <f t="shared" si="32"/>
        <v>38</v>
      </c>
      <c r="K106" s="85">
        <f>+JAN!K106+FEBRUARI!K106+MARET!K106</f>
        <v>23</v>
      </c>
      <c r="L106" s="85">
        <f>+JAN!L106+FEBRUARI!L106+MARET!L106</f>
        <v>1</v>
      </c>
      <c r="M106" s="127">
        <f t="shared" si="33"/>
        <v>13</v>
      </c>
      <c r="N106" s="85">
        <f>+JAN!N106+FEBRUARI!N106+MARET!N106</f>
        <v>6</v>
      </c>
      <c r="O106" s="85">
        <f>+JAN!O106+FEBRUARI!O106+MARET!O106</f>
        <v>7</v>
      </c>
      <c r="P106" s="127">
        <f t="shared" si="34"/>
        <v>37</v>
      </c>
      <c r="Q106" s="85">
        <f>+JAN!Q106+FEBRUARI!Q106+MARET!Q106</f>
        <v>41</v>
      </c>
      <c r="R106" s="85">
        <f>+JAN!R106+FEBRUARI!R106+MARET!R106</f>
        <v>2</v>
      </c>
      <c r="S106" s="85">
        <f>+JAN!S106+FEBRUARI!S106+MARET!S106</f>
        <v>112</v>
      </c>
      <c r="T106" s="127">
        <f t="shared" si="35"/>
        <v>1</v>
      </c>
      <c r="U106" s="127">
        <f t="shared" si="36"/>
        <v>14</v>
      </c>
      <c r="V106" s="68">
        <f t="shared" si="37"/>
        <v>1.2444444444444445</v>
      </c>
      <c r="W106" s="68">
        <f t="shared" si="38"/>
        <v>62.222222222222221</v>
      </c>
      <c r="X106" s="68">
        <f t="shared" si="39"/>
        <v>8</v>
      </c>
      <c r="Y106" s="69">
        <f t="shared" si="40"/>
        <v>4.8571428571428568</v>
      </c>
      <c r="Z106" s="70">
        <f t="shared" si="41"/>
        <v>7</v>
      </c>
    </row>
    <row r="107" spans="1:26" ht="15.75" x14ac:dyDescent="0.25">
      <c r="A107" s="286"/>
      <c r="B107" s="225"/>
      <c r="C107" s="129" t="s">
        <v>70</v>
      </c>
      <c r="D107" s="129"/>
      <c r="E107" s="129">
        <f>+JAN!E107+FEBRUARI!E107+MARET!E107</f>
        <v>90</v>
      </c>
      <c r="F107" s="129">
        <v>2</v>
      </c>
      <c r="G107" s="129">
        <f>JAN!G107</f>
        <v>0</v>
      </c>
      <c r="H107" s="129">
        <f>+JAN!H107+FEBRUARI!H107+MARET!H107</f>
        <v>26</v>
      </c>
      <c r="I107" s="129">
        <f>+JAN!I107+FEBRUARI!I107+MARET!I107</f>
        <v>12</v>
      </c>
      <c r="J107" s="129">
        <f t="shared" si="32"/>
        <v>38</v>
      </c>
      <c r="K107" s="129">
        <f>+JAN!K107+FEBRUARI!K107+MARET!K107</f>
        <v>23</v>
      </c>
      <c r="L107" s="129">
        <f>+JAN!L107+FEBRUARI!L107+MARET!L107</f>
        <v>1</v>
      </c>
      <c r="M107" s="130">
        <f t="shared" si="33"/>
        <v>13</v>
      </c>
      <c r="N107" s="129">
        <f>+JAN!N107+FEBRUARI!N107+MARET!N107</f>
        <v>6</v>
      </c>
      <c r="O107" s="129">
        <f>+JAN!O107+FEBRUARI!O107+MARET!O107</f>
        <v>7</v>
      </c>
      <c r="P107" s="130">
        <f t="shared" si="34"/>
        <v>37</v>
      </c>
      <c r="Q107" s="129">
        <f>+JAN!Q107+FEBRUARI!Q107+MARET!Q107</f>
        <v>41</v>
      </c>
      <c r="R107" s="129">
        <f>+JAN!R107+FEBRUARI!R107+MARET!R107</f>
        <v>2</v>
      </c>
      <c r="S107" s="129">
        <f>+JAN!S107+FEBRUARI!S107+MARET!S107</f>
        <v>112</v>
      </c>
      <c r="T107" s="130">
        <f t="shared" si="35"/>
        <v>1</v>
      </c>
      <c r="U107" s="130">
        <f t="shared" si="36"/>
        <v>14</v>
      </c>
      <c r="V107" s="73">
        <f t="shared" si="37"/>
        <v>1.2444444444444445</v>
      </c>
      <c r="W107" s="73">
        <f t="shared" si="38"/>
        <v>62.222222222222221</v>
      </c>
      <c r="X107" s="73">
        <f t="shared" si="39"/>
        <v>8</v>
      </c>
      <c r="Y107" s="146">
        <f t="shared" si="40"/>
        <v>4.8571428571428568</v>
      </c>
      <c r="Z107" s="146">
        <f t="shared" si="41"/>
        <v>7</v>
      </c>
    </row>
    <row r="108" spans="1:26" ht="15.75" x14ac:dyDescent="0.25">
      <c r="A108" s="284">
        <v>7</v>
      </c>
      <c r="B108" s="225"/>
      <c r="C108" s="85" t="s">
        <v>81</v>
      </c>
      <c r="D108" s="85" t="s">
        <v>48</v>
      </c>
      <c r="E108" s="82">
        <f>+JAN!E108+FEBRUARI!E108+MARET!E108</f>
        <v>90</v>
      </c>
      <c r="F108" s="85"/>
      <c r="G108" s="85">
        <f>JAN!G108</f>
        <v>0</v>
      </c>
      <c r="H108" s="85">
        <f>+JAN!H108+FEBRUARI!H108+MARET!H108</f>
        <v>0</v>
      </c>
      <c r="I108" s="85">
        <f>+JAN!I108+FEBRUARI!I108+MARET!I108</f>
        <v>0</v>
      </c>
      <c r="J108" s="85">
        <f t="shared" si="32"/>
        <v>0</v>
      </c>
      <c r="K108" s="85">
        <f>+JAN!K108+FEBRUARI!K108+MARET!K108</f>
        <v>0</v>
      </c>
      <c r="L108" s="85">
        <f>+JAN!L108+FEBRUARI!L108+MARET!L108</f>
        <v>0</v>
      </c>
      <c r="M108" s="127">
        <f t="shared" si="33"/>
        <v>0</v>
      </c>
      <c r="N108" s="85">
        <f>+JAN!N108+FEBRUARI!N108+MARET!N108</f>
        <v>0</v>
      </c>
      <c r="O108" s="85">
        <f>+JAN!O108+FEBRUARI!O108+MARET!O108</f>
        <v>0</v>
      </c>
      <c r="P108" s="127">
        <f t="shared" si="34"/>
        <v>0</v>
      </c>
      <c r="Q108" s="85">
        <f>+JAN!Q108+FEBRUARI!Q108+MARET!Q108</f>
        <v>0</v>
      </c>
      <c r="R108" s="85">
        <f>+JAN!R108+FEBRUARI!R108+MARET!R108</f>
        <v>0</v>
      </c>
      <c r="S108" s="85">
        <f>+JAN!S108+FEBRUARI!S108+MARET!S108</f>
        <v>0</v>
      </c>
      <c r="T108" s="127">
        <f t="shared" si="35"/>
        <v>0</v>
      </c>
      <c r="U108" s="127">
        <f t="shared" si="36"/>
        <v>0</v>
      </c>
      <c r="V108" s="68">
        <f t="shared" si="37"/>
        <v>0</v>
      </c>
      <c r="W108" s="68" t="e">
        <f t="shared" si="38"/>
        <v>#DIV/0!</v>
      </c>
      <c r="X108" s="68" t="e">
        <f t="shared" si="39"/>
        <v>#DIV/0!</v>
      </c>
      <c r="Y108" s="69" t="e">
        <f t="shared" si="40"/>
        <v>#DIV/0!</v>
      </c>
      <c r="Z108" s="70" t="e">
        <f t="shared" si="41"/>
        <v>#DIV/0!</v>
      </c>
    </row>
    <row r="109" spans="1:26" ht="15.75" x14ac:dyDescent="0.25">
      <c r="A109" s="286"/>
      <c r="B109" s="225"/>
      <c r="C109" s="129" t="s">
        <v>81</v>
      </c>
      <c r="D109" s="129" t="s">
        <v>48</v>
      </c>
      <c r="E109" s="129">
        <f>+JAN!E109+FEBRUARI!E109+MARET!E109</f>
        <v>90</v>
      </c>
      <c r="F109" s="129">
        <v>0</v>
      </c>
      <c r="G109" s="129">
        <f>JAN!G109</f>
        <v>0</v>
      </c>
      <c r="H109" s="129">
        <f>+JAN!H109+FEBRUARI!H109+MARET!H109</f>
        <v>0</v>
      </c>
      <c r="I109" s="129">
        <f>+JAN!I109+FEBRUARI!I109+MARET!I109</f>
        <v>0</v>
      </c>
      <c r="J109" s="129">
        <f t="shared" si="32"/>
        <v>0</v>
      </c>
      <c r="K109" s="129">
        <f>+JAN!K109+FEBRUARI!K109+MARET!K109</f>
        <v>0</v>
      </c>
      <c r="L109" s="129">
        <f>+JAN!L109+FEBRUARI!L109+MARET!L109</f>
        <v>0</v>
      </c>
      <c r="M109" s="130">
        <f t="shared" si="33"/>
        <v>0</v>
      </c>
      <c r="N109" s="129">
        <f>+JAN!N109+FEBRUARI!N109+MARET!N109</f>
        <v>0</v>
      </c>
      <c r="O109" s="129">
        <f>+JAN!O109+FEBRUARI!O109+MARET!O109</f>
        <v>0</v>
      </c>
      <c r="P109" s="130">
        <f t="shared" si="34"/>
        <v>0</v>
      </c>
      <c r="Q109" s="129">
        <f>+JAN!Q109+FEBRUARI!Q109+MARET!Q109</f>
        <v>0</v>
      </c>
      <c r="R109" s="129">
        <f>+JAN!R109+FEBRUARI!R109+MARET!R109</f>
        <v>0</v>
      </c>
      <c r="S109" s="129">
        <f>+JAN!S109+FEBRUARI!S109+MARET!S109</f>
        <v>0</v>
      </c>
      <c r="T109" s="130">
        <f t="shared" si="35"/>
        <v>0</v>
      </c>
      <c r="U109" s="130">
        <f t="shared" si="36"/>
        <v>0</v>
      </c>
      <c r="V109" s="73">
        <f t="shared" si="37"/>
        <v>0</v>
      </c>
      <c r="W109" s="73" t="e">
        <f t="shared" si="38"/>
        <v>#DIV/0!</v>
      </c>
      <c r="X109" s="73" t="e">
        <f t="shared" si="39"/>
        <v>#DIV/0!</v>
      </c>
      <c r="Y109" s="146" t="e">
        <f t="shared" si="40"/>
        <v>#DIV/0!</v>
      </c>
      <c r="Z109" s="146" t="e">
        <f t="shared" si="41"/>
        <v>#DIV/0!</v>
      </c>
    </row>
    <row r="110" spans="1:26" ht="15.75" x14ac:dyDescent="0.25">
      <c r="A110" s="284">
        <v>8</v>
      </c>
      <c r="B110" s="225"/>
      <c r="C110" s="85" t="s">
        <v>82</v>
      </c>
      <c r="D110" s="85" t="s">
        <v>38</v>
      </c>
      <c r="E110" s="82">
        <f>+JAN!E110+FEBRUARI!E110+MARET!E110</f>
        <v>90</v>
      </c>
      <c r="F110" s="85"/>
      <c r="G110" s="85">
        <f>JAN!G110</f>
        <v>0</v>
      </c>
      <c r="H110" s="85">
        <f>+JAN!H110+FEBRUARI!H110+MARET!H110</f>
        <v>718</v>
      </c>
      <c r="I110" s="85">
        <f>+JAN!I110+FEBRUARI!I110+MARET!I110</f>
        <v>13</v>
      </c>
      <c r="J110" s="85">
        <f t="shared" si="32"/>
        <v>731</v>
      </c>
      <c r="K110" s="85">
        <f>+JAN!K110+FEBRUARI!K110+MARET!K110</f>
        <v>706</v>
      </c>
      <c r="L110" s="85">
        <f>+JAN!L110+FEBRUARI!L110+MARET!L110</f>
        <v>6</v>
      </c>
      <c r="M110" s="127">
        <f t="shared" si="33"/>
        <v>13</v>
      </c>
      <c r="N110" s="85">
        <f>+JAN!N110+FEBRUARI!N110+MARET!N110</f>
        <v>13</v>
      </c>
      <c r="O110" s="85">
        <f>+JAN!O110+FEBRUARI!O110+MARET!O110</f>
        <v>0</v>
      </c>
      <c r="P110" s="127">
        <f t="shared" si="34"/>
        <v>725</v>
      </c>
      <c r="Q110" s="85">
        <f>+JAN!Q110+FEBRUARI!Q110+MARET!Q110</f>
        <v>19</v>
      </c>
      <c r="R110" s="85">
        <f>+JAN!R110+FEBRUARI!R110+MARET!R110</f>
        <v>18</v>
      </c>
      <c r="S110" s="85">
        <f>+JAN!S110+FEBRUARI!S110+MARET!S110</f>
        <v>331</v>
      </c>
      <c r="T110" s="127">
        <f t="shared" si="35"/>
        <v>6</v>
      </c>
      <c r="U110" s="127">
        <f t="shared" si="36"/>
        <v>19</v>
      </c>
      <c r="V110" s="68">
        <f t="shared" si="37"/>
        <v>3.6777777777777776</v>
      </c>
      <c r="W110" s="68" t="e">
        <f t="shared" si="38"/>
        <v>#DIV/0!</v>
      </c>
      <c r="X110" s="68">
        <f t="shared" si="39"/>
        <v>17.421052631578949</v>
      </c>
      <c r="Y110" s="69">
        <f t="shared" si="40"/>
        <v>-17.421052631578949</v>
      </c>
      <c r="Z110" s="70" t="e">
        <f t="shared" si="41"/>
        <v>#DIV/0!</v>
      </c>
    </row>
    <row r="111" spans="1:26" ht="15.75" x14ac:dyDescent="0.25">
      <c r="A111" s="286"/>
      <c r="B111" s="225"/>
      <c r="C111" s="129" t="s">
        <v>82</v>
      </c>
      <c r="D111" s="129" t="s">
        <v>38</v>
      </c>
      <c r="E111" s="129">
        <f>+JAN!E111+FEBRUARI!E111+MARET!E111</f>
        <v>90</v>
      </c>
      <c r="F111" s="129">
        <v>0</v>
      </c>
      <c r="G111" s="129">
        <f>JAN!G111</f>
        <v>0</v>
      </c>
      <c r="H111" s="129">
        <f>+JAN!H111+FEBRUARI!H111+MARET!H111</f>
        <v>718</v>
      </c>
      <c r="I111" s="129">
        <f>+JAN!I111+FEBRUARI!I111+MARET!I111</f>
        <v>13</v>
      </c>
      <c r="J111" s="129">
        <f t="shared" si="32"/>
        <v>731</v>
      </c>
      <c r="K111" s="129">
        <f>+JAN!K111+FEBRUARI!K111+MARET!K111</f>
        <v>706</v>
      </c>
      <c r="L111" s="129">
        <f>+JAN!L111+FEBRUARI!L111+MARET!L111</f>
        <v>6</v>
      </c>
      <c r="M111" s="130">
        <f t="shared" si="33"/>
        <v>13</v>
      </c>
      <c r="N111" s="129">
        <f>+JAN!N111+FEBRUARI!N111+MARET!N111</f>
        <v>13</v>
      </c>
      <c r="O111" s="129">
        <f>+JAN!O111+FEBRUARI!O111+MARET!O111</f>
        <v>0</v>
      </c>
      <c r="P111" s="130">
        <f t="shared" si="34"/>
        <v>725</v>
      </c>
      <c r="Q111" s="129">
        <f>+JAN!Q111+FEBRUARI!Q111+MARET!Q111</f>
        <v>19</v>
      </c>
      <c r="R111" s="129">
        <f>+JAN!R111+FEBRUARI!R111+MARET!R111</f>
        <v>18</v>
      </c>
      <c r="S111" s="129">
        <f>+JAN!S111+FEBRUARI!S111+MARET!S111</f>
        <v>331</v>
      </c>
      <c r="T111" s="130">
        <f t="shared" si="35"/>
        <v>6</v>
      </c>
      <c r="U111" s="130">
        <f t="shared" si="36"/>
        <v>19</v>
      </c>
      <c r="V111" s="73">
        <f t="shared" si="37"/>
        <v>3.6777777777777776</v>
      </c>
      <c r="W111" s="73" t="e">
        <f t="shared" si="38"/>
        <v>#DIV/0!</v>
      </c>
      <c r="X111" s="73">
        <f t="shared" si="39"/>
        <v>17.421052631578949</v>
      </c>
      <c r="Y111" s="146">
        <f t="shared" si="40"/>
        <v>-17.421052631578949</v>
      </c>
      <c r="Z111" s="146" t="e">
        <f t="shared" si="41"/>
        <v>#DIV/0!</v>
      </c>
    </row>
    <row r="112" spans="1:26" ht="15.75" x14ac:dyDescent="0.25">
      <c r="A112" s="284">
        <v>9</v>
      </c>
      <c r="B112" s="225"/>
      <c r="C112" s="85" t="s">
        <v>64</v>
      </c>
      <c r="D112" s="85" t="s">
        <v>83</v>
      </c>
      <c r="E112" s="82">
        <f>+JAN!E112+FEBRUARI!E112+MARET!E112</f>
        <v>90</v>
      </c>
      <c r="F112" s="85"/>
      <c r="G112" s="85">
        <f>JAN!G112</f>
        <v>0</v>
      </c>
      <c r="H112" s="85">
        <f>+JAN!H112+FEBRUARI!H112+MARET!H112</f>
        <v>0</v>
      </c>
      <c r="I112" s="85">
        <f>+JAN!I112+FEBRUARI!I112+MARET!I112</f>
        <v>0</v>
      </c>
      <c r="J112" s="85">
        <f t="shared" si="32"/>
        <v>0</v>
      </c>
      <c r="K112" s="85">
        <f>+JAN!K112+FEBRUARI!K112+MARET!K112</f>
        <v>0</v>
      </c>
      <c r="L112" s="85">
        <f>+JAN!L112+FEBRUARI!L112+MARET!L112</f>
        <v>0</v>
      </c>
      <c r="M112" s="127">
        <f t="shared" si="33"/>
        <v>0</v>
      </c>
      <c r="N112" s="85">
        <f>+JAN!N112+FEBRUARI!N112+MARET!N112</f>
        <v>0</v>
      </c>
      <c r="O112" s="85">
        <f>+JAN!O112+FEBRUARI!O112+MARET!O112</f>
        <v>0</v>
      </c>
      <c r="P112" s="127">
        <f t="shared" si="34"/>
        <v>0</v>
      </c>
      <c r="Q112" s="85">
        <f>+JAN!Q112+FEBRUARI!Q112+MARET!Q112</f>
        <v>0</v>
      </c>
      <c r="R112" s="85">
        <f>+JAN!R112+FEBRUARI!R112+MARET!R112</f>
        <v>0</v>
      </c>
      <c r="S112" s="85">
        <f>+JAN!S112+FEBRUARI!S112+MARET!S112</f>
        <v>0</v>
      </c>
      <c r="T112" s="127">
        <f t="shared" si="35"/>
        <v>0</v>
      </c>
      <c r="U112" s="127">
        <f t="shared" si="36"/>
        <v>0</v>
      </c>
      <c r="V112" s="68">
        <f t="shared" si="37"/>
        <v>0</v>
      </c>
      <c r="W112" s="68" t="e">
        <f t="shared" si="38"/>
        <v>#DIV/0!</v>
      </c>
      <c r="X112" s="68" t="e">
        <f t="shared" si="39"/>
        <v>#DIV/0!</v>
      </c>
      <c r="Y112" s="69" t="e">
        <f t="shared" si="40"/>
        <v>#DIV/0!</v>
      </c>
      <c r="Z112" s="70" t="e">
        <f t="shared" si="41"/>
        <v>#DIV/0!</v>
      </c>
    </row>
    <row r="113" spans="1:26" ht="15.75" x14ac:dyDescent="0.25">
      <c r="A113" s="286"/>
      <c r="B113" s="225"/>
      <c r="C113" s="129" t="s">
        <v>64</v>
      </c>
      <c r="D113" s="129" t="s">
        <v>83</v>
      </c>
      <c r="E113" s="129">
        <f>+JAN!E113+FEBRUARI!E113+MARET!E113</f>
        <v>90</v>
      </c>
      <c r="F113" s="129">
        <v>0</v>
      </c>
      <c r="G113" s="129">
        <f>JAN!G113</f>
        <v>0</v>
      </c>
      <c r="H113" s="129">
        <f>+JAN!H113+FEBRUARI!H113+MARET!H113</f>
        <v>0</v>
      </c>
      <c r="I113" s="129">
        <f>+JAN!I113+FEBRUARI!I113+MARET!I113</f>
        <v>0</v>
      </c>
      <c r="J113" s="129">
        <f t="shared" si="32"/>
        <v>0</v>
      </c>
      <c r="K113" s="129">
        <f>+JAN!K113+FEBRUARI!K113+MARET!K113</f>
        <v>0</v>
      </c>
      <c r="L113" s="129">
        <f>+JAN!L113+FEBRUARI!L113+MARET!L113</f>
        <v>0</v>
      </c>
      <c r="M113" s="130">
        <f t="shared" si="33"/>
        <v>0</v>
      </c>
      <c r="N113" s="129">
        <f>+JAN!N113+FEBRUARI!N113+MARET!N113</f>
        <v>0</v>
      </c>
      <c r="O113" s="129">
        <f>+JAN!O113+FEBRUARI!O113+MARET!O113</f>
        <v>0</v>
      </c>
      <c r="P113" s="130">
        <f t="shared" si="34"/>
        <v>0</v>
      </c>
      <c r="Q113" s="129">
        <f>+JAN!Q113+FEBRUARI!Q113+MARET!Q113</f>
        <v>0</v>
      </c>
      <c r="R113" s="129">
        <f>+JAN!R113+FEBRUARI!R113+MARET!R113</f>
        <v>0</v>
      </c>
      <c r="S113" s="129">
        <f>+JAN!S113+FEBRUARI!S113+MARET!S113</f>
        <v>0</v>
      </c>
      <c r="T113" s="130">
        <f t="shared" si="35"/>
        <v>0</v>
      </c>
      <c r="U113" s="130">
        <f t="shared" si="36"/>
        <v>0</v>
      </c>
      <c r="V113" s="73">
        <f t="shared" si="37"/>
        <v>0</v>
      </c>
      <c r="W113" s="73" t="e">
        <f t="shared" si="38"/>
        <v>#DIV/0!</v>
      </c>
      <c r="X113" s="73" t="e">
        <f t="shared" si="39"/>
        <v>#DIV/0!</v>
      </c>
      <c r="Y113" s="146" t="e">
        <f t="shared" si="40"/>
        <v>#DIV/0!</v>
      </c>
      <c r="Z113" s="146" t="e">
        <f t="shared" si="41"/>
        <v>#DIV/0!</v>
      </c>
    </row>
    <row r="114" spans="1:26" ht="15.75" x14ac:dyDescent="0.25">
      <c r="A114" s="284">
        <v>10</v>
      </c>
      <c r="B114" s="225"/>
      <c r="C114" s="82" t="s">
        <v>73</v>
      </c>
      <c r="D114" s="82" t="s">
        <v>83</v>
      </c>
      <c r="E114" s="82">
        <f>+JAN!E114+FEBRUARI!E114+MARET!E114</f>
        <v>90</v>
      </c>
      <c r="F114" s="82"/>
      <c r="G114" s="85">
        <f>JAN!G114</f>
        <v>0</v>
      </c>
      <c r="H114" s="85">
        <f>+JAN!H114+FEBRUARI!H114+MARET!H114</f>
        <v>0</v>
      </c>
      <c r="I114" s="85">
        <f>+JAN!I114+FEBRUARI!I114+MARET!I114</f>
        <v>0</v>
      </c>
      <c r="J114" s="85">
        <f t="shared" si="32"/>
        <v>0</v>
      </c>
      <c r="K114" s="85">
        <f>+JAN!K114+FEBRUARI!K114+MARET!K114</f>
        <v>0</v>
      </c>
      <c r="L114" s="85">
        <f>+JAN!L114+FEBRUARI!L114+MARET!L114</f>
        <v>0</v>
      </c>
      <c r="M114" s="127">
        <f t="shared" si="33"/>
        <v>0</v>
      </c>
      <c r="N114" s="85">
        <f>+JAN!N114+FEBRUARI!N114+MARET!N114</f>
        <v>0</v>
      </c>
      <c r="O114" s="85">
        <f>+JAN!O114+FEBRUARI!O114+MARET!O114</f>
        <v>0</v>
      </c>
      <c r="P114" s="127">
        <f t="shared" si="34"/>
        <v>0</v>
      </c>
      <c r="Q114" s="85">
        <f>+JAN!Q114+FEBRUARI!Q114+MARET!Q114</f>
        <v>0</v>
      </c>
      <c r="R114" s="85">
        <f>+JAN!R114+FEBRUARI!R114+MARET!R114</f>
        <v>0</v>
      </c>
      <c r="S114" s="85">
        <f>+JAN!S114+FEBRUARI!S114+MARET!S114</f>
        <v>0</v>
      </c>
      <c r="T114" s="127">
        <f t="shared" si="35"/>
        <v>0</v>
      </c>
      <c r="U114" s="127">
        <f t="shared" si="36"/>
        <v>0</v>
      </c>
      <c r="V114" s="68">
        <f t="shared" si="37"/>
        <v>0</v>
      </c>
      <c r="W114" s="68" t="e">
        <f t="shared" si="38"/>
        <v>#DIV/0!</v>
      </c>
      <c r="X114" s="68" t="e">
        <f t="shared" si="39"/>
        <v>#DIV/0!</v>
      </c>
      <c r="Y114" s="69" t="e">
        <f t="shared" si="40"/>
        <v>#DIV/0!</v>
      </c>
      <c r="Z114" s="70" t="e">
        <f t="shared" si="41"/>
        <v>#DIV/0!</v>
      </c>
    </row>
    <row r="115" spans="1:26" ht="15.75" x14ac:dyDescent="0.25">
      <c r="A115" s="286"/>
      <c r="B115" s="226"/>
      <c r="C115" s="129" t="s">
        <v>73</v>
      </c>
      <c r="D115" s="129" t="s">
        <v>83</v>
      </c>
      <c r="E115" s="129">
        <f>+JAN!E115+FEBRUARI!E115+MARET!E115</f>
        <v>90</v>
      </c>
      <c r="F115" s="129"/>
      <c r="G115" s="129">
        <f>JAN!G115</f>
        <v>0</v>
      </c>
      <c r="H115" s="129">
        <f>+JAN!H115+FEBRUARI!H115+MARET!H115</f>
        <v>0</v>
      </c>
      <c r="I115" s="129">
        <f>+JAN!I115+FEBRUARI!I115+MARET!I115</f>
        <v>0</v>
      </c>
      <c r="J115" s="129">
        <f t="shared" si="32"/>
        <v>0</v>
      </c>
      <c r="K115" s="129">
        <f>+JAN!K115+FEBRUARI!K115+MARET!K115</f>
        <v>0</v>
      </c>
      <c r="L115" s="129">
        <f>+JAN!L115+FEBRUARI!L115+MARET!L115</f>
        <v>0</v>
      </c>
      <c r="M115" s="130">
        <f t="shared" si="33"/>
        <v>0</v>
      </c>
      <c r="N115" s="129">
        <f>+JAN!N115+FEBRUARI!N115+MARET!N115</f>
        <v>0</v>
      </c>
      <c r="O115" s="129">
        <f>+JAN!O115+FEBRUARI!O115+MARET!O115</f>
        <v>0</v>
      </c>
      <c r="P115" s="130">
        <f t="shared" si="34"/>
        <v>0</v>
      </c>
      <c r="Q115" s="129">
        <f>+JAN!Q115+FEBRUARI!Q115+MARET!Q115</f>
        <v>0</v>
      </c>
      <c r="R115" s="129">
        <f>+JAN!R115+FEBRUARI!R115+MARET!R115</f>
        <v>0</v>
      </c>
      <c r="S115" s="129">
        <f>+JAN!S115+FEBRUARI!S115+MARET!S115</f>
        <v>0</v>
      </c>
      <c r="T115" s="130">
        <f t="shared" si="35"/>
        <v>0</v>
      </c>
      <c r="U115" s="130">
        <f t="shared" si="36"/>
        <v>0</v>
      </c>
      <c r="V115" s="73">
        <f t="shared" si="37"/>
        <v>0</v>
      </c>
      <c r="W115" s="73" t="e">
        <f t="shared" si="38"/>
        <v>#DIV/0!</v>
      </c>
      <c r="X115" s="73" t="e">
        <f t="shared" si="39"/>
        <v>#DIV/0!</v>
      </c>
      <c r="Y115" s="146" t="e">
        <f t="shared" si="40"/>
        <v>#DIV/0!</v>
      </c>
      <c r="Z115" s="146" t="e">
        <f t="shared" si="41"/>
        <v>#DIV/0!</v>
      </c>
    </row>
    <row r="116" spans="1:26" ht="15.75" x14ac:dyDescent="0.25">
      <c r="A116" s="290" t="s">
        <v>84</v>
      </c>
      <c r="B116" s="291"/>
      <c r="C116" s="291"/>
      <c r="D116" s="292"/>
      <c r="E116" s="88">
        <f>+JAN!E116+FEBRUARI!E116+MARET!E116</f>
        <v>90</v>
      </c>
      <c r="F116" s="78">
        <v>33</v>
      </c>
      <c r="G116" s="88">
        <f>JAN!G116</f>
        <v>29</v>
      </c>
      <c r="H116" s="88">
        <f>+JAN!H116+FEBRUARI!H116+MARET!H116</f>
        <v>1155</v>
      </c>
      <c r="I116" s="88">
        <f>+JAN!I116+FEBRUARI!I116+MARET!I116</f>
        <v>437</v>
      </c>
      <c r="J116" s="88">
        <f t="shared" si="32"/>
        <v>1621</v>
      </c>
      <c r="K116" s="88">
        <f>+JAN!K116+FEBRUARI!K116+MARET!K116</f>
        <v>1423</v>
      </c>
      <c r="L116" s="88">
        <f>+JAN!L116+FEBRUARI!L116+MARET!L116</f>
        <v>13</v>
      </c>
      <c r="M116" s="134">
        <f t="shared" si="33"/>
        <v>154</v>
      </c>
      <c r="N116" s="88">
        <f>+JAN!N116+FEBRUARI!N116+MARET!N116</f>
        <v>78</v>
      </c>
      <c r="O116" s="88">
        <f>+JAN!O116+FEBRUARI!O116+MARET!O116</f>
        <v>76</v>
      </c>
      <c r="P116" s="134">
        <f t="shared" si="34"/>
        <v>1590</v>
      </c>
      <c r="Q116" s="88">
        <f>+JAN!Q116+FEBRUARI!Q116+MARET!Q116</f>
        <v>764</v>
      </c>
      <c r="R116" s="88">
        <f>+JAN!R116+FEBRUARI!R116+MARET!R116</f>
        <v>35</v>
      </c>
      <c r="S116" s="88">
        <f>+JAN!S116+FEBRUARI!S116+MARET!S116</f>
        <v>2470</v>
      </c>
      <c r="T116" s="134">
        <f t="shared" si="35"/>
        <v>31</v>
      </c>
      <c r="U116" s="134">
        <f t="shared" si="36"/>
        <v>167</v>
      </c>
      <c r="V116" s="147">
        <f t="shared" si="37"/>
        <v>27.444444444444443</v>
      </c>
      <c r="W116" s="147">
        <f t="shared" si="38"/>
        <v>83.16498316498317</v>
      </c>
      <c r="X116" s="147">
        <f t="shared" si="39"/>
        <v>14.790419161676647</v>
      </c>
      <c r="Y116" s="75">
        <f t="shared" si="40"/>
        <v>2.9940119760479047</v>
      </c>
      <c r="Z116" s="75">
        <f t="shared" si="41"/>
        <v>5.0606060606060606</v>
      </c>
    </row>
    <row r="117" spans="1:26" ht="15.75" x14ac:dyDescent="0.25">
      <c r="A117" s="293" t="s">
        <v>85</v>
      </c>
      <c r="B117" s="294"/>
      <c r="C117" s="294"/>
      <c r="D117" s="295"/>
      <c r="E117" s="93">
        <f>+JAN!E117+FEBRUARI!E117+MARET!E117</f>
        <v>90</v>
      </c>
      <c r="F117" s="92">
        <v>388</v>
      </c>
      <c r="G117" s="93">
        <f>JAN!G117</f>
        <v>292</v>
      </c>
      <c r="H117" s="93">
        <f>+JAN!H117+FEBRUARI!H117+MARET!H117</f>
        <v>7558</v>
      </c>
      <c r="I117" s="93">
        <f>+JAN!I117+FEBRUARI!I117+MARET!I117</f>
        <v>2771</v>
      </c>
      <c r="J117" s="93">
        <f>+G117+H117+I117</f>
        <v>10621</v>
      </c>
      <c r="K117" s="93">
        <f>+JAN!K117+FEBRUARI!K117+MARET!K117</f>
        <v>3074</v>
      </c>
      <c r="L117" s="93">
        <f>+JAN!L117+FEBRUARI!L117+MARET!L117</f>
        <v>6497</v>
      </c>
      <c r="M117" s="139">
        <f t="shared" si="33"/>
        <v>694</v>
      </c>
      <c r="N117" s="93">
        <f>+JAN!N117+FEBRUARI!N117+MARET!N117</f>
        <v>341</v>
      </c>
      <c r="O117" s="93">
        <f>+JAN!O117+FEBRUARI!O117+MARET!O117</f>
        <v>353</v>
      </c>
      <c r="P117" s="139">
        <f t="shared" si="34"/>
        <v>10265</v>
      </c>
      <c r="Q117" s="93">
        <f>+JAN!Q117+FEBRUARI!Q117+MARET!Q117</f>
        <v>24547</v>
      </c>
      <c r="R117" s="93">
        <f>+JAN!R117+FEBRUARI!R117+MARET!R117</f>
        <v>114</v>
      </c>
      <c r="S117" s="93">
        <f>+JAN!S117+FEBRUARI!S117+MARET!S117</f>
        <v>25876</v>
      </c>
      <c r="T117" s="139">
        <f t="shared" si="35"/>
        <v>356</v>
      </c>
      <c r="U117" s="139">
        <f t="shared" si="36"/>
        <v>7191</v>
      </c>
      <c r="V117" s="227">
        <f t="shared" si="37"/>
        <v>287.51111111111112</v>
      </c>
      <c r="W117" s="227">
        <f t="shared" si="38"/>
        <v>74.100801832760595</v>
      </c>
      <c r="X117" s="227">
        <f t="shared" si="39"/>
        <v>3.5983868724794883</v>
      </c>
      <c r="Y117" s="81">
        <f t="shared" si="40"/>
        <v>1.2576832151300237</v>
      </c>
      <c r="Z117" s="81">
        <f t="shared" si="41"/>
        <v>18.533505154639176</v>
      </c>
    </row>
    <row r="118" spans="1:26" ht="15.75" x14ac:dyDescent="0.25">
      <c r="E118" s="228">
        <v>90</v>
      </c>
      <c r="F118" s="89">
        <f>MARET!F118</f>
        <v>388</v>
      </c>
      <c r="G118" s="89">
        <v>292</v>
      </c>
      <c r="H118" s="89">
        <f>+JAN!H117+FEBRUARI!H117+MARET!H117</f>
        <v>7558</v>
      </c>
      <c r="I118" s="89">
        <f>+JAN!I117+FEBRUARI!I117+MARET!I117</f>
        <v>2771</v>
      </c>
      <c r="J118" s="89">
        <f>+G118+H118+I118</f>
        <v>10621</v>
      </c>
      <c r="K118" s="89">
        <f>+JAN!K117+FEBRUARI!K117+MARET!K117</f>
        <v>3074</v>
      </c>
      <c r="L118" s="89">
        <f>+JAN!L117+FEBRUARI!L117+MARET!L117</f>
        <v>6497</v>
      </c>
      <c r="M118" s="89">
        <f>+JAN!M117+FEBRUARI!M117+MARET!M117</f>
        <v>694</v>
      </c>
      <c r="N118" s="89">
        <f>+JAN!N117+FEBRUARI!N117+MARET!N117</f>
        <v>341</v>
      </c>
      <c r="O118" s="89">
        <f>+JAN!O117+FEBRUARI!O117+MARET!O117</f>
        <v>353</v>
      </c>
      <c r="P118" s="89">
        <f>+JAN!P117+FEBRUARI!P117+MARET!P117</f>
        <v>10265</v>
      </c>
      <c r="Q118" s="89">
        <f>+JAN!Q117+FEBRUARI!Q117+MARET!Q117</f>
        <v>24547</v>
      </c>
      <c r="R118" s="89">
        <f>+JAN!R117+FEBRUARI!R117+MARET!R117</f>
        <v>114</v>
      </c>
      <c r="S118" s="89">
        <f>+JAN!S117+FEBRUARI!S117+MARET!S117</f>
        <v>25876</v>
      </c>
      <c r="T118" s="127">
        <f t="shared" si="35"/>
        <v>356</v>
      </c>
      <c r="U118" s="89">
        <f>+JAN!U117+FEBRUARI!U117+MARET!U117</f>
        <v>7191</v>
      </c>
      <c r="V118" s="68">
        <f t="shared" si="37"/>
        <v>287.51111111111112</v>
      </c>
      <c r="W118" s="68">
        <f t="shared" si="38"/>
        <v>74.100801832760595</v>
      </c>
      <c r="X118" s="68">
        <f t="shared" si="39"/>
        <v>3.5983868724794883</v>
      </c>
      <c r="Y118" s="69">
        <f t="shared" si="40"/>
        <v>1.2576832151300237</v>
      </c>
      <c r="Z118" s="70">
        <f t="shared" si="41"/>
        <v>18.533505154639176</v>
      </c>
    </row>
  </sheetData>
  <sheetProtection algorithmName="SHA-512" hashValue="bTBO+PQ7uLFjWQykCnhXEyYoMNd3X3yhqyLC0Lk2XscEXnfwbQz4wjqUmSYcRqCx0cBKwhng9ietQtrC2d/Oig==" saltValue="HCeRZCgtLFehIzmZZ3dMWw==" spinCount="100000" sheet="1" objects="1" scenarios="1"/>
  <mergeCells count="143">
    <mergeCell ref="A116:D116"/>
    <mergeCell ref="A117:D117"/>
    <mergeCell ref="A104:A105"/>
    <mergeCell ref="A106:A107"/>
    <mergeCell ref="A108:A109"/>
    <mergeCell ref="A110:A111"/>
    <mergeCell ref="A112:A113"/>
    <mergeCell ref="A114:A115"/>
    <mergeCell ref="Y93:Y94"/>
    <mergeCell ref="B92:B95"/>
    <mergeCell ref="C92:C95"/>
    <mergeCell ref="D92:D95"/>
    <mergeCell ref="E92:E95"/>
    <mergeCell ref="F92:F95"/>
    <mergeCell ref="Z93:Z94"/>
    <mergeCell ref="A96:A97"/>
    <mergeCell ref="A98:A99"/>
    <mergeCell ref="A100:A101"/>
    <mergeCell ref="A102:A103"/>
    <mergeCell ref="S92:S94"/>
    <mergeCell ref="T92:T94"/>
    <mergeCell ref="U92:U95"/>
    <mergeCell ref="V93:V94"/>
    <mergeCell ref="W93:W94"/>
    <mergeCell ref="X93:X94"/>
    <mergeCell ref="M92:M94"/>
    <mergeCell ref="N92:N94"/>
    <mergeCell ref="O92:O94"/>
    <mergeCell ref="P92:P94"/>
    <mergeCell ref="Q92:Q94"/>
    <mergeCell ref="R92:R94"/>
    <mergeCell ref="G92:G94"/>
    <mergeCell ref="H92:H94"/>
    <mergeCell ref="I92:I94"/>
    <mergeCell ref="J92:J94"/>
    <mergeCell ref="K92:K94"/>
    <mergeCell ref="L92:L94"/>
    <mergeCell ref="A92:A95"/>
    <mergeCell ref="Z80:Z81"/>
    <mergeCell ref="A83:A84"/>
    <mergeCell ref="B83:B89"/>
    <mergeCell ref="A86:A89"/>
    <mergeCell ref="C86:C88"/>
    <mergeCell ref="S79:S81"/>
    <mergeCell ref="T79:T81"/>
    <mergeCell ref="U79:U82"/>
    <mergeCell ref="V80:V81"/>
    <mergeCell ref="W80:W81"/>
    <mergeCell ref="X80:X81"/>
    <mergeCell ref="M79:M81"/>
    <mergeCell ref="N79:N81"/>
    <mergeCell ref="O79:O81"/>
    <mergeCell ref="P79:P81"/>
    <mergeCell ref="Q79:Q81"/>
    <mergeCell ref="R79:R81"/>
    <mergeCell ref="G79:G81"/>
    <mergeCell ref="H79:H81"/>
    <mergeCell ref="I79:I81"/>
    <mergeCell ref="J79:J81"/>
    <mergeCell ref="K79:K81"/>
    <mergeCell ref="L79:L81"/>
    <mergeCell ref="A79:A82"/>
    <mergeCell ref="B79:B82"/>
    <mergeCell ref="C79:C82"/>
    <mergeCell ref="D79:D82"/>
    <mergeCell ref="E79:E82"/>
    <mergeCell ref="F79:F82"/>
    <mergeCell ref="W68:W69"/>
    <mergeCell ref="X68:X69"/>
    <mergeCell ref="Y68:Y69"/>
    <mergeCell ref="Y80:Y81"/>
    <mergeCell ref="Z68:Z69"/>
    <mergeCell ref="A71:A72"/>
    <mergeCell ref="B71:B76"/>
    <mergeCell ref="A73:A74"/>
    <mergeCell ref="A75:A76"/>
    <mergeCell ref="Q67:Q69"/>
    <mergeCell ref="R67:R69"/>
    <mergeCell ref="S67:S69"/>
    <mergeCell ref="T67:T69"/>
    <mergeCell ref="U67:U70"/>
    <mergeCell ref="V68:V69"/>
    <mergeCell ref="K67:K69"/>
    <mergeCell ref="L67:L69"/>
    <mergeCell ref="M67:M69"/>
    <mergeCell ref="N67:N69"/>
    <mergeCell ref="O67:O69"/>
    <mergeCell ref="P67:P69"/>
    <mergeCell ref="E67:E70"/>
    <mergeCell ref="F67:F70"/>
    <mergeCell ref="G67:G69"/>
    <mergeCell ref="H67:H69"/>
    <mergeCell ref="I67:I69"/>
    <mergeCell ref="J67:J69"/>
    <mergeCell ref="A63:A64"/>
    <mergeCell ref="A65:D65"/>
    <mergeCell ref="A67:A70"/>
    <mergeCell ref="B67:B70"/>
    <mergeCell ref="C67:C70"/>
    <mergeCell ref="D67:D70"/>
    <mergeCell ref="A38:A42"/>
    <mergeCell ref="A44:A46"/>
    <mergeCell ref="A47:A51"/>
    <mergeCell ref="A53:A54"/>
    <mergeCell ref="A56:A57"/>
    <mergeCell ref="C58:C61"/>
    <mergeCell ref="A59:A62"/>
    <mergeCell ref="A18:A21"/>
    <mergeCell ref="A22:A23"/>
    <mergeCell ref="A24:A26"/>
    <mergeCell ref="A27:A28"/>
    <mergeCell ref="A30:A32"/>
    <mergeCell ref="A33:A37"/>
    <mergeCell ref="Y4:Y5"/>
    <mergeCell ref="Z4:Z5"/>
    <mergeCell ref="A7:A8"/>
    <mergeCell ref="A9:A10"/>
    <mergeCell ref="A11:A13"/>
    <mergeCell ref="A14:A17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2A3A-EB71-4DAF-A3D7-F3FBFA4E4993}">
  <dimension ref="A1:AD119"/>
  <sheetViews>
    <sheetView zoomScale="70" zoomScaleNormal="70" workbookViewId="0">
      <pane xSplit="5" ySplit="6" topLeftCell="F111" activePane="bottomRight" state="frozen"/>
      <selection pane="topRight" activeCell="F1" sqref="F1"/>
      <selection pane="bottomLeft" activeCell="A7" sqref="A7"/>
      <selection pane="bottomRight" activeCell="D1" sqref="D1:M1048576"/>
    </sheetView>
  </sheetViews>
  <sheetFormatPr defaultRowHeight="15" x14ac:dyDescent="0.25"/>
  <cols>
    <col min="3" max="3" width="16" bestFit="1" customWidth="1"/>
    <col min="4" max="4" width="23" bestFit="1" customWidth="1"/>
    <col min="5" max="24" width="9.140625" customWidth="1"/>
  </cols>
  <sheetData>
    <row r="1" spans="1:30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30" ht="15.75" x14ac:dyDescent="0.25">
      <c r="A2" s="1" t="s">
        <v>132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30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30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30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30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  <c r="AA6" t="s">
        <v>55</v>
      </c>
      <c r="AB6" t="s">
        <v>48</v>
      </c>
      <c r="AC6" t="s">
        <v>38</v>
      </c>
      <c r="AD6" t="s">
        <v>34</v>
      </c>
    </row>
    <row r="7" spans="1:30" ht="15.75" x14ac:dyDescent="0.25">
      <c r="A7" s="254">
        <v>1</v>
      </c>
      <c r="B7" s="265" t="s">
        <v>32</v>
      </c>
      <c r="C7" s="97" t="s">
        <v>35</v>
      </c>
      <c r="D7" s="21" t="s">
        <v>34</v>
      </c>
      <c r="E7" s="10">
        <v>30</v>
      </c>
      <c r="F7" s="10">
        <v>20</v>
      </c>
      <c r="G7" s="11">
        <v>23</v>
      </c>
      <c r="H7" s="11">
        <v>191</v>
      </c>
      <c r="I7" s="11">
        <v>18</v>
      </c>
      <c r="J7" s="11">
        <v>232</v>
      </c>
      <c r="K7" s="11">
        <v>7</v>
      </c>
      <c r="L7" s="11">
        <v>181</v>
      </c>
      <c r="M7" s="12">
        <v>22</v>
      </c>
      <c r="N7" s="11">
        <v>12</v>
      </c>
      <c r="O7" s="11">
        <v>10</v>
      </c>
      <c r="P7" s="12">
        <v>210</v>
      </c>
      <c r="Q7" s="11">
        <v>675</v>
      </c>
      <c r="R7" s="11">
        <v>5</v>
      </c>
      <c r="S7" s="11">
        <v>623</v>
      </c>
      <c r="T7" s="12">
        <v>22</v>
      </c>
      <c r="U7" s="12">
        <v>203</v>
      </c>
      <c r="V7" s="13">
        <v>20.766666666666666</v>
      </c>
      <c r="W7" s="13">
        <v>103.83333333333333</v>
      </c>
      <c r="X7" s="13">
        <v>3.0689655172413794</v>
      </c>
      <c r="Y7" s="14">
        <v>-0.1133004926108373</v>
      </c>
      <c r="Z7" s="15">
        <v>10.15</v>
      </c>
      <c r="AA7">
        <f>+S31+S45+S53</f>
        <v>280</v>
      </c>
      <c r="AB7">
        <f>+S30+S34+S40+S44</f>
        <v>924</v>
      </c>
      <c r="AC7">
        <f>S35+S39+S47+S49</f>
        <v>460</v>
      </c>
      <c r="AD7">
        <f>+S8+S10+S12+S21+S23+S26+S28+S36+S48+S50+S56</f>
        <v>5206</v>
      </c>
    </row>
    <row r="8" spans="1:30" ht="15.75" x14ac:dyDescent="0.25">
      <c r="A8" s="254"/>
      <c r="B8" s="266"/>
      <c r="C8" s="17" t="s">
        <v>35</v>
      </c>
      <c r="D8" s="16"/>
      <c r="E8" s="10">
        <v>30</v>
      </c>
      <c r="F8" s="17">
        <v>20</v>
      </c>
      <c r="G8" s="103">
        <v>23</v>
      </c>
      <c r="H8" s="17">
        <v>191</v>
      </c>
      <c r="I8" s="17">
        <v>18</v>
      </c>
      <c r="J8" s="17">
        <v>232</v>
      </c>
      <c r="K8" s="17">
        <v>7</v>
      </c>
      <c r="L8" s="17">
        <v>181</v>
      </c>
      <c r="M8" s="18">
        <v>22</v>
      </c>
      <c r="N8" s="17">
        <v>12</v>
      </c>
      <c r="O8" s="17">
        <v>10</v>
      </c>
      <c r="P8" s="18">
        <v>210</v>
      </c>
      <c r="Q8" s="17">
        <v>675</v>
      </c>
      <c r="R8" s="17">
        <v>5</v>
      </c>
      <c r="S8" s="17">
        <v>623</v>
      </c>
      <c r="T8" s="18">
        <v>22</v>
      </c>
      <c r="U8" s="18">
        <v>203</v>
      </c>
      <c r="V8" s="19">
        <v>20.766666666666666</v>
      </c>
      <c r="W8" s="19">
        <v>103.83333333333333</v>
      </c>
      <c r="X8" s="19">
        <v>3.0689655172413794</v>
      </c>
      <c r="Y8" s="20">
        <v>-0.1133004926108373</v>
      </c>
      <c r="Z8" s="20">
        <v>10.15</v>
      </c>
    </row>
    <row r="9" spans="1:30" ht="15.75" x14ac:dyDescent="0.25">
      <c r="A9" s="256">
        <v>2</v>
      </c>
      <c r="B9" s="266"/>
      <c r="C9" s="11" t="s">
        <v>36</v>
      </c>
      <c r="D9" s="21" t="s">
        <v>34</v>
      </c>
      <c r="E9" s="10">
        <v>30</v>
      </c>
      <c r="F9" s="11">
        <v>16</v>
      </c>
      <c r="G9" s="11">
        <v>16</v>
      </c>
      <c r="H9" s="11">
        <v>103</v>
      </c>
      <c r="I9" s="11">
        <v>40</v>
      </c>
      <c r="J9" s="11">
        <v>159</v>
      </c>
      <c r="K9" s="11">
        <v>9</v>
      </c>
      <c r="L9" s="11">
        <v>121</v>
      </c>
      <c r="M9" s="12">
        <v>13</v>
      </c>
      <c r="N9" s="11">
        <v>3</v>
      </c>
      <c r="O9" s="11">
        <v>10</v>
      </c>
      <c r="P9" s="12">
        <v>143</v>
      </c>
      <c r="Q9" s="11">
        <v>535</v>
      </c>
      <c r="R9" s="11">
        <v>0</v>
      </c>
      <c r="S9" s="11">
        <v>462</v>
      </c>
      <c r="T9" s="12">
        <v>16</v>
      </c>
      <c r="U9" s="12">
        <v>134</v>
      </c>
      <c r="V9" s="13">
        <v>15.4</v>
      </c>
      <c r="W9" s="13">
        <v>96.25</v>
      </c>
      <c r="X9" s="13">
        <v>3.4477611940298507</v>
      </c>
      <c r="Y9" s="14">
        <v>0.13432835820895514</v>
      </c>
      <c r="Z9" s="15">
        <v>8.375</v>
      </c>
    </row>
    <row r="10" spans="1:30" ht="15.75" x14ac:dyDescent="0.25">
      <c r="A10" s="256"/>
      <c r="B10" s="266"/>
      <c r="C10" s="17" t="s">
        <v>36</v>
      </c>
      <c r="D10" s="16"/>
      <c r="E10" s="10">
        <v>30</v>
      </c>
      <c r="F10" s="17">
        <v>16</v>
      </c>
      <c r="G10" s="103">
        <v>16</v>
      </c>
      <c r="H10" s="17">
        <v>103</v>
      </c>
      <c r="I10" s="17">
        <v>40</v>
      </c>
      <c r="J10" s="17">
        <v>159</v>
      </c>
      <c r="K10" s="17">
        <v>9</v>
      </c>
      <c r="L10" s="17">
        <v>121</v>
      </c>
      <c r="M10" s="18">
        <v>13</v>
      </c>
      <c r="N10" s="17">
        <v>3</v>
      </c>
      <c r="O10" s="17">
        <v>10</v>
      </c>
      <c r="P10" s="18">
        <v>143</v>
      </c>
      <c r="Q10" s="17">
        <v>535</v>
      </c>
      <c r="R10" s="17">
        <v>0</v>
      </c>
      <c r="S10" s="17">
        <v>462</v>
      </c>
      <c r="T10" s="18">
        <v>16</v>
      </c>
      <c r="U10" s="18">
        <v>134</v>
      </c>
      <c r="V10" s="19">
        <v>15.4</v>
      </c>
      <c r="W10" s="19">
        <v>96.25</v>
      </c>
      <c r="X10" s="19">
        <v>3.4477611940298507</v>
      </c>
      <c r="Y10" s="20">
        <v>0.13432835820895514</v>
      </c>
      <c r="Z10" s="20">
        <v>8.375</v>
      </c>
    </row>
    <row r="11" spans="1:30" ht="15.75" x14ac:dyDescent="0.25">
      <c r="A11" s="256">
        <v>3</v>
      </c>
      <c r="B11" s="266"/>
      <c r="D11" s="21" t="s">
        <v>38</v>
      </c>
      <c r="E11" s="10">
        <v>30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30" ht="15.75" x14ac:dyDescent="0.25">
      <c r="A12" s="256"/>
      <c r="B12" s="266"/>
      <c r="C12" s="53" t="s">
        <v>37</v>
      </c>
      <c r="D12" s="21" t="s">
        <v>34</v>
      </c>
      <c r="E12" s="10">
        <v>30</v>
      </c>
      <c r="F12" s="11">
        <v>12</v>
      </c>
      <c r="G12" s="11">
        <v>12</v>
      </c>
      <c r="H12" s="11">
        <v>93</v>
      </c>
      <c r="I12" s="11">
        <v>0</v>
      </c>
      <c r="J12" s="11">
        <v>105</v>
      </c>
      <c r="K12" s="11">
        <v>2</v>
      </c>
      <c r="L12" s="11">
        <v>88</v>
      </c>
      <c r="M12" s="12">
        <v>3</v>
      </c>
      <c r="N12" s="11">
        <v>0</v>
      </c>
      <c r="O12" s="11">
        <v>3</v>
      </c>
      <c r="P12" s="12">
        <v>93</v>
      </c>
      <c r="Q12" s="11">
        <v>348</v>
      </c>
      <c r="R12" s="11">
        <v>0</v>
      </c>
      <c r="S12" s="11">
        <v>334</v>
      </c>
      <c r="T12" s="12">
        <v>12</v>
      </c>
      <c r="U12" s="12">
        <v>91</v>
      </c>
      <c r="V12" s="13">
        <v>11.133333333333333</v>
      </c>
      <c r="W12" s="13">
        <v>92.777777777777771</v>
      </c>
      <c r="X12" s="13">
        <v>3.6703296703296702</v>
      </c>
      <c r="Y12" s="14">
        <v>0.28571428571428586</v>
      </c>
      <c r="Z12" s="15">
        <v>7.583333333333333</v>
      </c>
    </row>
    <row r="13" spans="1:30" ht="15.75" x14ac:dyDescent="0.25">
      <c r="A13" s="256"/>
      <c r="B13" s="266"/>
      <c r="C13" s="17" t="s">
        <v>37</v>
      </c>
      <c r="D13" s="16"/>
      <c r="E13" s="10">
        <v>30</v>
      </c>
      <c r="F13" s="17">
        <v>12</v>
      </c>
      <c r="G13" s="103">
        <v>12</v>
      </c>
      <c r="H13" s="17">
        <v>93</v>
      </c>
      <c r="I13" s="17">
        <v>0</v>
      </c>
      <c r="J13" s="17">
        <v>105</v>
      </c>
      <c r="K13" s="17">
        <v>2</v>
      </c>
      <c r="L13" s="17">
        <v>88</v>
      </c>
      <c r="M13" s="18">
        <v>3</v>
      </c>
      <c r="N13" s="17">
        <v>0</v>
      </c>
      <c r="O13" s="17">
        <v>3</v>
      </c>
      <c r="P13" s="18">
        <v>93</v>
      </c>
      <c r="Q13" s="17">
        <v>348</v>
      </c>
      <c r="R13" s="17">
        <v>0</v>
      </c>
      <c r="S13" s="17">
        <v>334</v>
      </c>
      <c r="T13" s="18">
        <v>12</v>
      </c>
      <c r="U13" s="18">
        <v>91</v>
      </c>
      <c r="V13" s="19">
        <v>11.133333333333333</v>
      </c>
      <c r="W13" s="19">
        <v>92.777777777777771</v>
      </c>
      <c r="X13" s="19">
        <v>3.6703296703296702</v>
      </c>
      <c r="Y13" s="20">
        <v>0.28571428571428586</v>
      </c>
      <c r="Z13" s="20">
        <v>7.583333333333333</v>
      </c>
    </row>
    <row r="14" spans="1:30" ht="15.75" x14ac:dyDescent="0.25">
      <c r="A14" s="256">
        <v>4</v>
      </c>
      <c r="B14" s="266"/>
      <c r="C14" s="198" t="s">
        <v>39</v>
      </c>
      <c r="D14" s="21" t="s">
        <v>38</v>
      </c>
      <c r="E14" s="10">
        <v>30</v>
      </c>
      <c r="F14" s="10">
        <v>2</v>
      </c>
      <c r="G14" s="11">
        <v>1</v>
      </c>
      <c r="H14" s="11">
        <v>11</v>
      </c>
      <c r="I14" s="11">
        <v>6</v>
      </c>
      <c r="J14" s="11">
        <v>18</v>
      </c>
      <c r="K14" s="11">
        <v>2</v>
      </c>
      <c r="L14" s="11">
        <v>14</v>
      </c>
      <c r="M14" s="12">
        <v>0</v>
      </c>
      <c r="N14" s="11">
        <v>0</v>
      </c>
      <c r="O14" s="11">
        <v>0</v>
      </c>
      <c r="P14" s="12">
        <v>16</v>
      </c>
      <c r="Q14" s="11">
        <v>60</v>
      </c>
      <c r="R14" s="11">
        <v>0</v>
      </c>
      <c r="S14" s="11">
        <v>52</v>
      </c>
      <c r="T14" s="12">
        <v>2</v>
      </c>
      <c r="U14" s="12">
        <v>14</v>
      </c>
      <c r="V14" s="13">
        <v>1.7333333333333334</v>
      </c>
      <c r="W14" s="13">
        <v>86.666666666666671</v>
      </c>
      <c r="X14" s="13">
        <v>3.7142857142857144</v>
      </c>
      <c r="Y14" s="14">
        <v>0.57142857142857129</v>
      </c>
      <c r="Z14" s="15">
        <v>7</v>
      </c>
    </row>
    <row r="15" spans="1:30" ht="15.75" x14ac:dyDescent="0.25">
      <c r="A15" s="256"/>
      <c r="B15" s="266"/>
      <c r="C15" s="52" t="s">
        <v>39</v>
      </c>
      <c r="D15" s="21" t="s">
        <v>34</v>
      </c>
      <c r="E15" s="10">
        <v>30</v>
      </c>
      <c r="F15" s="10">
        <v>17</v>
      </c>
      <c r="G15" s="11">
        <v>13</v>
      </c>
      <c r="H15" s="11">
        <v>120</v>
      </c>
      <c r="I15" s="11">
        <v>17</v>
      </c>
      <c r="J15" s="11">
        <v>150</v>
      </c>
      <c r="K15" s="11">
        <v>11</v>
      </c>
      <c r="L15" s="11">
        <v>124</v>
      </c>
      <c r="M15" s="12">
        <v>2</v>
      </c>
      <c r="N15" s="11">
        <v>1</v>
      </c>
      <c r="O15" s="11">
        <v>1</v>
      </c>
      <c r="P15" s="12">
        <v>137</v>
      </c>
      <c r="Q15" s="11">
        <v>459</v>
      </c>
      <c r="R15" s="11">
        <v>1</v>
      </c>
      <c r="S15" s="11">
        <v>465</v>
      </c>
      <c r="T15" s="12">
        <v>13</v>
      </c>
      <c r="U15" s="12">
        <v>126</v>
      </c>
      <c r="V15" s="13">
        <v>15.5</v>
      </c>
      <c r="W15" s="13">
        <v>91.17647058823529</v>
      </c>
      <c r="X15" s="13">
        <v>3.6904761904761907</v>
      </c>
      <c r="Y15" s="14">
        <v>0.35714285714285715</v>
      </c>
      <c r="Z15" s="15">
        <v>7.4117647058823533</v>
      </c>
    </row>
    <row r="16" spans="1:30" ht="15.75" x14ac:dyDescent="0.25">
      <c r="A16" s="256"/>
      <c r="B16" s="266"/>
      <c r="C16" s="198" t="s">
        <v>39</v>
      </c>
      <c r="D16" s="21" t="s">
        <v>40</v>
      </c>
      <c r="E16" s="10">
        <v>30</v>
      </c>
      <c r="F16" s="10">
        <v>5</v>
      </c>
      <c r="G16" s="11">
        <v>5</v>
      </c>
      <c r="H16" s="11">
        <v>24</v>
      </c>
      <c r="I16" s="11">
        <v>6</v>
      </c>
      <c r="J16" s="11">
        <v>35</v>
      </c>
      <c r="K16" s="11">
        <v>2</v>
      </c>
      <c r="L16" s="11">
        <v>29</v>
      </c>
      <c r="M16" s="12">
        <v>0</v>
      </c>
      <c r="N16" s="11">
        <v>0</v>
      </c>
      <c r="O16" s="11">
        <v>0</v>
      </c>
      <c r="P16" s="12">
        <v>31</v>
      </c>
      <c r="Q16" s="11">
        <v>139</v>
      </c>
      <c r="R16" s="11">
        <v>0</v>
      </c>
      <c r="S16" s="11">
        <v>116</v>
      </c>
      <c r="T16" s="12">
        <v>4</v>
      </c>
      <c r="U16" s="12">
        <v>29</v>
      </c>
      <c r="V16" s="13">
        <v>3.8666666666666667</v>
      </c>
      <c r="W16" s="13">
        <v>77.333333333333329</v>
      </c>
      <c r="X16" s="13">
        <v>4</v>
      </c>
      <c r="Y16" s="14">
        <v>1.1724137931034482</v>
      </c>
      <c r="Z16" s="15">
        <v>5.8</v>
      </c>
    </row>
    <row r="17" spans="1:26" ht="15.75" x14ac:dyDescent="0.25">
      <c r="A17" s="256"/>
      <c r="B17" s="266"/>
      <c r="C17" s="17" t="s">
        <v>39</v>
      </c>
      <c r="D17" s="16"/>
      <c r="E17" s="10">
        <v>30</v>
      </c>
      <c r="F17" s="17">
        <v>24</v>
      </c>
      <c r="G17" s="103">
        <v>19</v>
      </c>
      <c r="H17" s="17">
        <v>155</v>
      </c>
      <c r="I17" s="17">
        <v>29</v>
      </c>
      <c r="J17" s="17">
        <v>203</v>
      </c>
      <c r="K17" s="17">
        <v>15</v>
      </c>
      <c r="L17" s="17">
        <v>167</v>
      </c>
      <c r="M17" s="18">
        <v>2</v>
      </c>
      <c r="N17" s="17">
        <v>1</v>
      </c>
      <c r="O17" s="17">
        <v>1</v>
      </c>
      <c r="P17" s="18">
        <v>184</v>
      </c>
      <c r="Q17" s="17">
        <v>658</v>
      </c>
      <c r="R17" s="17">
        <v>1</v>
      </c>
      <c r="S17" s="17">
        <v>633</v>
      </c>
      <c r="T17" s="18">
        <v>19</v>
      </c>
      <c r="U17" s="18">
        <v>169</v>
      </c>
      <c r="V17" s="19">
        <v>21.1</v>
      </c>
      <c r="W17" s="19">
        <v>87.916666666666671</v>
      </c>
      <c r="X17" s="19">
        <v>3.7455621301775146</v>
      </c>
      <c r="Y17" s="20">
        <v>0.51479289940828377</v>
      </c>
      <c r="Z17" s="20">
        <v>7.041666666666667</v>
      </c>
    </row>
    <row r="18" spans="1:26" ht="15.75" x14ac:dyDescent="0.25">
      <c r="A18" s="248">
        <v>5</v>
      </c>
      <c r="B18" s="266"/>
      <c r="C18" s="199" t="s">
        <v>41</v>
      </c>
      <c r="D18" s="22" t="s">
        <v>115</v>
      </c>
      <c r="E18" s="10">
        <v>30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4" t="e">
        <v>#DIV/0!</v>
      </c>
      <c r="Z18" s="15">
        <v>0</v>
      </c>
    </row>
    <row r="19" spans="1:26" ht="15.75" x14ac:dyDescent="0.25">
      <c r="A19" s="249"/>
      <c r="B19" s="266"/>
      <c r="C19" s="194" t="s">
        <v>41</v>
      </c>
      <c r="D19" s="98" t="s">
        <v>42</v>
      </c>
      <c r="E19" s="10">
        <v>30</v>
      </c>
      <c r="F19" s="10">
        <v>15</v>
      </c>
      <c r="G19" s="11">
        <v>17</v>
      </c>
      <c r="H19" s="11">
        <v>138</v>
      </c>
      <c r="I19" s="11">
        <v>17</v>
      </c>
      <c r="J19" s="11">
        <v>172</v>
      </c>
      <c r="K19" s="11">
        <v>16</v>
      </c>
      <c r="L19" s="11">
        <v>108</v>
      </c>
      <c r="M19" s="12">
        <v>29</v>
      </c>
      <c r="N19" s="11">
        <v>15</v>
      </c>
      <c r="O19" s="11">
        <v>14</v>
      </c>
      <c r="P19" s="12">
        <v>153</v>
      </c>
      <c r="Q19" s="11">
        <v>596</v>
      </c>
      <c r="R19" s="11">
        <v>1</v>
      </c>
      <c r="S19" s="11">
        <v>560</v>
      </c>
      <c r="T19" s="12">
        <v>19</v>
      </c>
      <c r="U19" s="12">
        <v>137</v>
      </c>
      <c r="V19" s="13">
        <v>18.666666666666668</v>
      </c>
      <c r="W19" s="13">
        <v>124.44444444444444</v>
      </c>
      <c r="X19" s="13">
        <v>4.0875912408759127</v>
      </c>
      <c r="Y19" s="14">
        <v>-0.80291970802919732</v>
      </c>
      <c r="Z19" s="15">
        <v>9.1333333333333329</v>
      </c>
    </row>
    <row r="20" spans="1:26" ht="15.75" x14ac:dyDescent="0.25">
      <c r="A20" s="249"/>
      <c r="B20" s="266"/>
      <c r="C20" s="199" t="s">
        <v>41</v>
      </c>
      <c r="D20" s="98" t="s">
        <v>43</v>
      </c>
      <c r="E20" s="10">
        <v>30</v>
      </c>
      <c r="F20" s="10">
        <v>15</v>
      </c>
      <c r="G20" s="11">
        <v>14</v>
      </c>
      <c r="H20" s="11">
        <v>97</v>
      </c>
      <c r="I20" s="11">
        <v>26</v>
      </c>
      <c r="J20" s="11">
        <v>137</v>
      </c>
      <c r="K20" s="11">
        <v>21</v>
      </c>
      <c r="L20" s="11">
        <v>86</v>
      </c>
      <c r="M20" s="12">
        <v>16</v>
      </c>
      <c r="N20" s="11">
        <v>10</v>
      </c>
      <c r="O20" s="11">
        <v>6</v>
      </c>
      <c r="P20" s="12">
        <v>123</v>
      </c>
      <c r="Q20" s="11">
        <v>624</v>
      </c>
      <c r="R20" s="11">
        <v>1</v>
      </c>
      <c r="S20" s="11">
        <v>419</v>
      </c>
      <c r="T20" s="12">
        <v>14</v>
      </c>
      <c r="U20" s="12">
        <v>102</v>
      </c>
      <c r="V20" s="13">
        <v>13.966666666666667</v>
      </c>
      <c r="W20" s="13">
        <v>93.111111111111114</v>
      </c>
      <c r="X20" s="13">
        <v>4.1078431372549016</v>
      </c>
      <c r="Y20" s="14">
        <v>0.30392156862745096</v>
      </c>
      <c r="Z20" s="15">
        <v>6.8</v>
      </c>
    </row>
    <row r="21" spans="1:26" ht="15.75" x14ac:dyDescent="0.25">
      <c r="A21" s="250"/>
      <c r="B21" s="266"/>
      <c r="C21" s="17" t="s">
        <v>41</v>
      </c>
      <c r="D21" s="16"/>
      <c r="E21" s="10">
        <v>30</v>
      </c>
      <c r="F21" s="17">
        <v>34</v>
      </c>
      <c r="G21" s="103">
        <v>31</v>
      </c>
      <c r="H21" s="17">
        <v>235</v>
      </c>
      <c r="I21" s="17">
        <v>43</v>
      </c>
      <c r="J21" s="17">
        <v>309</v>
      </c>
      <c r="K21" s="17">
        <v>37</v>
      </c>
      <c r="L21" s="17">
        <v>194</v>
      </c>
      <c r="M21" s="18">
        <v>45</v>
      </c>
      <c r="N21" s="17">
        <v>25</v>
      </c>
      <c r="O21" s="17">
        <v>20</v>
      </c>
      <c r="P21" s="18">
        <v>276</v>
      </c>
      <c r="Q21" s="17">
        <v>1220</v>
      </c>
      <c r="R21" s="17">
        <v>2</v>
      </c>
      <c r="S21" s="17">
        <v>979</v>
      </c>
      <c r="T21" s="18">
        <v>33</v>
      </c>
      <c r="U21" s="18">
        <v>239</v>
      </c>
      <c r="V21" s="19">
        <v>32.633333333333333</v>
      </c>
      <c r="W21" s="19">
        <v>108.77777777777777</v>
      </c>
      <c r="X21" s="19">
        <v>4.0962343096234308</v>
      </c>
      <c r="Y21" s="20">
        <v>-0.33054393305439328</v>
      </c>
      <c r="Z21" s="20">
        <v>15.933333333333334</v>
      </c>
    </row>
    <row r="22" spans="1:26" ht="15.75" x14ac:dyDescent="0.25">
      <c r="A22" s="254">
        <v>6</v>
      </c>
      <c r="B22" s="266"/>
      <c r="C22" s="10" t="s">
        <v>44</v>
      </c>
      <c r="D22" s="21" t="s">
        <v>34</v>
      </c>
      <c r="E22" s="10">
        <v>30</v>
      </c>
      <c r="F22" s="10">
        <v>24</v>
      </c>
      <c r="G22" s="11">
        <v>24</v>
      </c>
      <c r="H22" s="11">
        <v>201</v>
      </c>
      <c r="I22" s="11">
        <v>9</v>
      </c>
      <c r="J22" s="11">
        <v>234</v>
      </c>
      <c r="K22" s="11">
        <v>19</v>
      </c>
      <c r="L22" s="11">
        <v>192</v>
      </c>
      <c r="M22" s="12">
        <v>5</v>
      </c>
      <c r="N22" s="11">
        <v>3</v>
      </c>
      <c r="O22" s="11">
        <v>2</v>
      </c>
      <c r="P22" s="12">
        <v>216</v>
      </c>
      <c r="Q22" s="11">
        <v>684</v>
      </c>
      <c r="R22" s="11">
        <v>0</v>
      </c>
      <c r="S22" s="11">
        <v>653</v>
      </c>
      <c r="T22" s="12">
        <v>18</v>
      </c>
      <c r="U22" s="12">
        <v>197</v>
      </c>
      <c r="V22" s="13">
        <v>21.766666666666666</v>
      </c>
      <c r="W22" s="13">
        <v>90.694444444444443</v>
      </c>
      <c r="X22" s="13">
        <v>3.3147208121827409</v>
      </c>
      <c r="Y22" s="14">
        <v>0.34010152284263973</v>
      </c>
      <c r="Z22" s="15">
        <v>8.2083333333333339</v>
      </c>
    </row>
    <row r="23" spans="1:26" ht="15.75" x14ac:dyDescent="0.25">
      <c r="A23" s="254"/>
      <c r="B23" s="266"/>
      <c r="C23" s="17" t="s">
        <v>44</v>
      </c>
      <c r="D23" s="16"/>
      <c r="E23" s="10">
        <v>30</v>
      </c>
      <c r="F23" s="17">
        <v>24</v>
      </c>
      <c r="G23" s="103">
        <v>24</v>
      </c>
      <c r="H23" s="17">
        <v>201</v>
      </c>
      <c r="I23" s="17">
        <v>9</v>
      </c>
      <c r="J23" s="17">
        <v>234</v>
      </c>
      <c r="K23" s="17">
        <v>19</v>
      </c>
      <c r="L23" s="17">
        <v>192</v>
      </c>
      <c r="M23" s="18">
        <v>5</v>
      </c>
      <c r="N23" s="17">
        <v>3</v>
      </c>
      <c r="O23" s="17">
        <v>2</v>
      </c>
      <c r="P23" s="18">
        <v>216</v>
      </c>
      <c r="Q23" s="17">
        <v>684</v>
      </c>
      <c r="R23" s="17">
        <v>0</v>
      </c>
      <c r="S23" s="17">
        <v>653</v>
      </c>
      <c r="T23" s="18">
        <v>18</v>
      </c>
      <c r="U23" s="18">
        <v>197</v>
      </c>
      <c r="V23" s="19">
        <v>21.766666666666666</v>
      </c>
      <c r="W23" s="19">
        <v>90.694444444444443</v>
      </c>
      <c r="X23" s="19">
        <v>3.3147208121827409</v>
      </c>
      <c r="Y23" s="20">
        <v>0.34010152284263973</v>
      </c>
      <c r="Z23" s="20">
        <v>8.2083333333333339</v>
      </c>
    </row>
    <row r="24" spans="1:26" ht="15.75" x14ac:dyDescent="0.25">
      <c r="A24" s="248">
        <v>7</v>
      </c>
      <c r="B24" s="266"/>
      <c r="C24" s="194" t="s">
        <v>45</v>
      </c>
      <c r="D24" s="22" t="s">
        <v>40</v>
      </c>
      <c r="E24" s="10">
        <v>30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4" t="e">
        <v>#DIV/0!</v>
      </c>
      <c r="Z24" s="15">
        <v>0</v>
      </c>
    </row>
    <row r="25" spans="1:26" ht="15.75" x14ac:dyDescent="0.25">
      <c r="A25" s="249"/>
      <c r="B25" s="266"/>
      <c r="C25" s="199" t="s">
        <v>45</v>
      </c>
      <c r="D25" s="21" t="s">
        <v>34</v>
      </c>
      <c r="E25" s="10">
        <v>30</v>
      </c>
      <c r="F25" s="10">
        <v>16</v>
      </c>
      <c r="G25" s="11">
        <v>18</v>
      </c>
      <c r="H25" s="11">
        <v>155</v>
      </c>
      <c r="I25" s="11">
        <v>8</v>
      </c>
      <c r="J25" s="11">
        <v>181</v>
      </c>
      <c r="K25" s="11">
        <v>9</v>
      </c>
      <c r="L25" s="11">
        <v>143</v>
      </c>
      <c r="M25" s="12">
        <v>13</v>
      </c>
      <c r="N25" s="11">
        <v>4</v>
      </c>
      <c r="O25" s="11">
        <v>9</v>
      </c>
      <c r="P25" s="12">
        <v>165</v>
      </c>
      <c r="Q25" s="11">
        <v>603</v>
      </c>
      <c r="R25" s="11">
        <v>1</v>
      </c>
      <c r="S25" s="11">
        <v>523</v>
      </c>
      <c r="T25" s="12">
        <v>16</v>
      </c>
      <c r="U25" s="12">
        <v>156</v>
      </c>
      <c r="V25" s="13">
        <v>17.433333333333334</v>
      </c>
      <c r="W25" s="13">
        <v>108.95833333333333</v>
      </c>
      <c r="X25" s="13">
        <v>3.3525641025641026</v>
      </c>
      <c r="Y25" s="14">
        <v>-0.27564102564102566</v>
      </c>
      <c r="Z25" s="15">
        <v>9.75</v>
      </c>
    </row>
    <row r="26" spans="1:26" ht="15.75" x14ac:dyDescent="0.25">
      <c r="A26" s="250"/>
      <c r="B26" s="266"/>
      <c r="C26" s="17" t="s">
        <v>45</v>
      </c>
      <c r="D26" s="16"/>
      <c r="E26" s="10">
        <v>30</v>
      </c>
      <c r="F26" s="17">
        <v>20</v>
      </c>
      <c r="G26" s="103">
        <v>18</v>
      </c>
      <c r="H26" s="17">
        <v>155</v>
      </c>
      <c r="I26" s="17">
        <v>8</v>
      </c>
      <c r="J26" s="17">
        <v>181</v>
      </c>
      <c r="K26" s="17">
        <v>9</v>
      </c>
      <c r="L26" s="17">
        <v>143</v>
      </c>
      <c r="M26" s="18">
        <v>13</v>
      </c>
      <c r="N26" s="17">
        <v>4</v>
      </c>
      <c r="O26" s="17">
        <v>9</v>
      </c>
      <c r="P26" s="18">
        <v>165</v>
      </c>
      <c r="Q26" s="17">
        <v>603</v>
      </c>
      <c r="R26" s="17">
        <v>1</v>
      </c>
      <c r="S26" s="17">
        <v>523</v>
      </c>
      <c r="T26" s="18">
        <v>16</v>
      </c>
      <c r="U26" s="18">
        <v>156</v>
      </c>
      <c r="V26" s="19">
        <v>17.433333333333334</v>
      </c>
      <c r="W26" s="19">
        <v>87.166666666666671</v>
      </c>
      <c r="X26" s="19">
        <v>3.3525641025641026</v>
      </c>
      <c r="Y26" s="20">
        <v>0.49358974358974361</v>
      </c>
      <c r="Z26" s="20">
        <v>7.8</v>
      </c>
    </row>
    <row r="27" spans="1:26" ht="15.75" x14ac:dyDescent="0.25">
      <c r="A27" s="256">
        <v>8</v>
      </c>
      <c r="B27" s="266"/>
      <c r="C27" s="11" t="s">
        <v>46</v>
      </c>
      <c r="D27" s="21" t="s">
        <v>34</v>
      </c>
      <c r="E27" s="10">
        <v>30</v>
      </c>
      <c r="F27" s="11">
        <v>20</v>
      </c>
      <c r="G27" s="11">
        <v>20</v>
      </c>
      <c r="H27" s="11">
        <v>177</v>
      </c>
      <c r="I27" s="11">
        <v>4</v>
      </c>
      <c r="J27" s="11">
        <v>201</v>
      </c>
      <c r="K27" s="11">
        <v>17</v>
      </c>
      <c r="L27" s="11">
        <v>161</v>
      </c>
      <c r="M27" s="12">
        <v>8</v>
      </c>
      <c r="N27" s="11">
        <v>5</v>
      </c>
      <c r="O27" s="11">
        <v>3</v>
      </c>
      <c r="P27" s="12">
        <v>186</v>
      </c>
      <c r="Q27" s="11">
        <v>560</v>
      </c>
      <c r="R27" s="11">
        <v>0</v>
      </c>
      <c r="S27" s="11">
        <v>546</v>
      </c>
      <c r="T27" s="12">
        <v>15</v>
      </c>
      <c r="U27" s="12">
        <v>169</v>
      </c>
      <c r="V27" s="13">
        <v>18.2</v>
      </c>
      <c r="W27" s="13">
        <v>90.999999999999986</v>
      </c>
      <c r="X27" s="13">
        <v>3.2307692307692308</v>
      </c>
      <c r="Y27" s="14">
        <v>0.31952662721893504</v>
      </c>
      <c r="Z27" s="15">
        <v>8.4499999999999993</v>
      </c>
    </row>
    <row r="28" spans="1:26" ht="15.75" x14ac:dyDescent="0.25">
      <c r="A28" s="256"/>
      <c r="B28" s="266"/>
      <c r="C28" s="17" t="s">
        <v>46</v>
      </c>
      <c r="D28" s="16"/>
      <c r="E28" s="10">
        <v>30</v>
      </c>
      <c r="F28" s="17">
        <v>20</v>
      </c>
      <c r="G28" s="103">
        <v>20</v>
      </c>
      <c r="H28" s="17">
        <v>177</v>
      </c>
      <c r="I28" s="17">
        <v>4</v>
      </c>
      <c r="J28" s="17">
        <v>201</v>
      </c>
      <c r="K28" s="17">
        <v>17</v>
      </c>
      <c r="L28" s="17">
        <v>161</v>
      </c>
      <c r="M28" s="18">
        <v>8</v>
      </c>
      <c r="N28" s="17">
        <v>5</v>
      </c>
      <c r="O28" s="17">
        <v>3</v>
      </c>
      <c r="P28" s="18">
        <v>186</v>
      </c>
      <c r="Q28" s="17">
        <v>560</v>
      </c>
      <c r="R28" s="17">
        <v>0</v>
      </c>
      <c r="S28" s="17">
        <v>546</v>
      </c>
      <c r="T28" s="18">
        <v>15</v>
      </c>
      <c r="U28" s="18">
        <v>169</v>
      </c>
      <c r="V28" s="19">
        <v>18.2</v>
      </c>
      <c r="W28" s="19">
        <v>90.999999999999986</v>
      </c>
      <c r="X28" s="19">
        <v>3.2307692307692308</v>
      </c>
      <c r="Y28" s="20">
        <v>0.31952662721893504</v>
      </c>
      <c r="Z28" s="20">
        <v>8.4499999999999993</v>
      </c>
    </row>
    <row r="29" spans="1:26" ht="15.75" x14ac:dyDescent="0.25">
      <c r="A29" s="53"/>
      <c r="B29" s="266"/>
      <c r="C29" s="200" t="s">
        <v>47</v>
      </c>
      <c r="D29" s="22" t="s">
        <v>40</v>
      </c>
      <c r="E29" s="10">
        <v>30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/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1">
        <v>0</v>
      </c>
      <c r="T29" s="12">
        <v>0</v>
      </c>
      <c r="U29" s="12">
        <v>0</v>
      </c>
      <c r="V29" s="13">
        <v>0</v>
      </c>
      <c r="W29" s="13">
        <v>0</v>
      </c>
      <c r="X29" s="13" t="e">
        <v>#DIV/0!</v>
      </c>
      <c r="Y29" s="14" t="e">
        <v>#DIV/0!</v>
      </c>
      <c r="Z29" s="15">
        <v>0</v>
      </c>
    </row>
    <row r="30" spans="1:26" ht="15.75" x14ac:dyDescent="0.25">
      <c r="A30" s="256">
        <v>9</v>
      </c>
      <c r="B30" s="266"/>
      <c r="C30" s="11" t="s">
        <v>47</v>
      </c>
      <c r="D30" s="22" t="s">
        <v>48</v>
      </c>
      <c r="E30" s="10">
        <v>30</v>
      </c>
      <c r="F30" s="11">
        <v>3</v>
      </c>
      <c r="G30" s="11">
        <v>2</v>
      </c>
      <c r="H30" s="11">
        <v>28</v>
      </c>
      <c r="I30" s="11">
        <v>9</v>
      </c>
      <c r="J30" s="11">
        <v>39</v>
      </c>
      <c r="K30" s="11">
        <v>7</v>
      </c>
      <c r="L30" s="11">
        <v>26</v>
      </c>
      <c r="M30" s="12">
        <v>2</v>
      </c>
      <c r="N30" s="11">
        <v>1</v>
      </c>
      <c r="O30" s="11">
        <v>1</v>
      </c>
      <c r="P30" s="12">
        <v>35</v>
      </c>
      <c r="Q30" s="11">
        <v>116</v>
      </c>
      <c r="R30" s="11">
        <v>0</v>
      </c>
      <c r="S30" s="11">
        <v>112</v>
      </c>
      <c r="T30" s="12">
        <v>4</v>
      </c>
      <c r="U30" s="12">
        <v>28</v>
      </c>
      <c r="V30" s="13">
        <v>3.7333333333333334</v>
      </c>
      <c r="W30" s="13">
        <v>124.44444444444444</v>
      </c>
      <c r="X30" s="13">
        <v>4</v>
      </c>
      <c r="Y30" s="14">
        <v>-0.7857142857142857</v>
      </c>
      <c r="Z30" s="15">
        <v>9.3333333333333339</v>
      </c>
    </row>
    <row r="31" spans="1:26" ht="15.75" x14ac:dyDescent="0.25">
      <c r="A31" s="256"/>
      <c r="B31" s="266"/>
      <c r="C31" s="200" t="s">
        <v>47</v>
      </c>
      <c r="D31" s="22" t="s">
        <v>112</v>
      </c>
      <c r="E31" s="10">
        <v>30</v>
      </c>
      <c r="F31" s="11">
        <v>8</v>
      </c>
      <c r="G31" s="11">
        <v>4</v>
      </c>
      <c r="H31" s="11">
        <v>37</v>
      </c>
      <c r="I31" s="11">
        <v>8</v>
      </c>
      <c r="J31" s="11">
        <v>49</v>
      </c>
      <c r="K31" s="11">
        <v>9</v>
      </c>
      <c r="L31" s="11">
        <v>34</v>
      </c>
      <c r="M31" s="12">
        <v>0</v>
      </c>
      <c r="N31" s="11">
        <v>0</v>
      </c>
      <c r="O31" s="11">
        <v>0</v>
      </c>
      <c r="P31" s="12">
        <v>43</v>
      </c>
      <c r="Q31" s="11">
        <v>117</v>
      </c>
      <c r="R31" s="11">
        <v>0</v>
      </c>
      <c r="S31" s="11">
        <v>129</v>
      </c>
      <c r="T31" s="12">
        <v>6</v>
      </c>
      <c r="U31" s="12">
        <v>34</v>
      </c>
      <c r="V31" s="13">
        <v>4.3</v>
      </c>
      <c r="W31" s="13">
        <v>53.75</v>
      </c>
      <c r="X31" s="13">
        <v>3.7941176470588234</v>
      </c>
      <c r="Y31" s="14">
        <v>3.2647058823529411</v>
      </c>
      <c r="Z31" s="15">
        <v>4.25</v>
      </c>
    </row>
    <row r="32" spans="1:26" ht="15.75" x14ac:dyDescent="0.25">
      <c r="A32" s="256"/>
      <c r="B32" s="266"/>
      <c r="C32" s="17" t="s">
        <v>47</v>
      </c>
      <c r="D32" s="16"/>
      <c r="E32" s="10">
        <v>30</v>
      </c>
      <c r="F32" s="17">
        <v>12</v>
      </c>
      <c r="G32" s="103">
        <v>6</v>
      </c>
      <c r="H32" s="17">
        <v>65</v>
      </c>
      <c r="I32" s="17">
        <v>17</v>
      </c>
      <c r="J32" s="17">
        <v>88</v>
      </c>
      <c r="K32" s="17">
        <v>16</v>
      </c>
      <c r="L32" s="17">
        <v>60</v>
      </c>
      <c r="M32" s="18">
        <v>2</v>
      </c>
      <c r="N32" s="17">
        <v>1</v>
      </c>
      <c r="O32" s="17">
        <v>1</v>
      </c>
      <c r="P32" s="18">
        <v>78</v>
      </c>
      <c r="Q32" s="17">
        <v>233</v>
      </c>
      <c r="R32" s="17">
        <v>0</v>
      </c>
      <c r="S32" s="17">
        <v>241</v>
      </c>
      <c r="T32" s="18">
        <v>10</v>
      </c>
      <c r="U32" s="18">
        <v>62</v>
      </c>
      <c r="V32" s="19">
        <v>8.0333333333333332</v>
      </c>
      <c r="W32" s="19">
        <v>66.944444444444443</v>
      </c>
      <c r="X32" s="19">
        <v>3.8870967741935485</v>
      </c>
      <c r="Y32" s="20">
        <v>1.9193548387096775</v>
      </c>
      <c r="Z32" s="20">
        <v>5.166666666666667</v>
      </c>
    </row>
    <row r="33" spans="1:26" ht="15.75" x14ac:dyDescent="0.25">
      <c r="A33" s="262">
        <v>10</v>
      </c>
      <c r="B33" s="266"/>
      <c r="C33" s="200" t="s">
        <v>49</v>
      </c>
      <c r="D33" s="22" t="s">
        <v>40</v>
      </c>
      <c r="E33" s="10">
        <v>30</v>
      </c>
      <c r="F33" s="11">
        <v>1</v>
      </c>
      <c r="G33" s="11">
        <v>1</v>
      </c>
      <c r="H33" s="11">
        <v>0</v>
      </c>
      <c r="I33" s="11">
        <v>0</v>
      </c>
      <c r="J33" s="11">
        <v>1</v>
      </c>
      <c r="K33" s="11">
        <v>1</v>
      </c>
      <c r="L33" s="11">
        <v>0</v>
      </c>
      <c r="M33" s="12"/>
      <c r="N33" s="11">
        <v>0</v>
      </c>
      <c r="O33" s="11">
        <v>0</v>
      </c>
      <c r="P33" s="12">
        <v>1</v>
      </c>
      <c r="Q33" s="11">
        <v>0</v>
      </c>
      <c r="R33" s="11">
        <v>0</v>
      </c>
      <c r="S33" s="11">
        <v>0</v>
      </c>
      <c r="T33" s="12">
        <v>0</v>
      </c>
      <c r="U33" s="12">
        <v>0</v>
      </c>
      <c r="V33" s="13">
        <v>0</v>
      </c>
      <c r="W33" s="13">
        <v>0</v>
      </c>
      <c r="X33" s="13" t="e">
        <v>#DIV/0!</v>
      </c>
      <c r="Y33" s="14" t="e">
        <v>#DIV/0!</v>
      </c>
      <c r="Z33" s="15">
        <v>0</v>
      </c>
    </row>
    <row r="34" spans="1:26" ht="15.75" x14ac:dyDescent="0.25">
      <c r="A34" s="263"/>
      <c r="B34" s="266"/>
      <c r="C34" s="11" t="s">
        <v>49</v>
      </c>
      <c r="D34" s="22" t="s">
        <v>48</v>
      </c>
      <c r="E34" s="10">
        <v>30</v>
      </c>
      <c r="F34" s="11">
        <v>2</v>
      </c>
      <c r="G34" s="11">
        <v>2</v>
      </c>
      <c r="H34" s="11">
        <v>16</v>
      </c>
      <c r="I34" s="11">
        <v>12</v>
      </c>
      <c r="J34" s="11">
        <v>30</v>
      </c>
      <c r="K34" s="11">
        <v>4</v>
      </c>
      <c r="L34" s="11">
        <v>22</v>
      </c>
      <c r="M34" s="12">
        <v>2</v>
      </c>
      <c r="N34" s="11">
        <v>1</v>
      </c>
      <c r="O34" s="11">
        <v>1</v>
      </c>
      <c r="P34" s="12">
        <v>28</v>
      </c>
      <c r="Q34" s="11">
        <v>97</v>
      </c>
      <c r="R34" s="11">
        <v>0</v>
      </c>
      <c r="S34" s="11">
        <v>74</v>
      </c>
      <c r="T34" s="12">
        <v>2</v>
      </c>
      <c r="U34" s="12">
        <v>24</v>
      </c>
      <c r="V34" s="13">
        <v>2.4666666666666668</v>
      </c>
      <c r="W34" s="13">
        <v>123.33333333333334</v>
      </c>
      <c r="X34" s="13">
        <v>3.0833333333333335</v>
      </c>
      <c r="Y34" s="14">
        <v>-0.58333333333333348</v>
      </c>
      <c r="Z34" s="15">
        <v>12</v>
      </c>
    </row>
    <row r="35" spans="1:26" ht="15.75" x14ac:dyDescent="0.25">
      <c r="A35" s="263"/>
      <c r="B35" s="266"/>
      <c r="C35" s="200" t="s">
        <v>49</v>
      </c>
      <c r="D35" s="22" t="s">
        <v>38</v>
      </c>
      <c r="E35" s="10">
        <v>30</v>
      </c>
      <c r="F35" s="11">
        <v>4</v>
      </c>
      <c r="G35" s="11">
        <v>4</v>
      </c>
      <c r="H35" s="11">
        <v>26</v>
      </c>
      <c r="I35" s="11">
        <v>1</v>
      </c>
      <c r="J35" s="11">
        <v>31</v>
      </c>
      <c r="K35" s="11">
        <v>3</v>
      </c>
      <c r="L35" s="11">
        <v>22</v>
      </c>
      <c r="M35" s="12">
        <v>2</v>
      </c>
      <c r="N35" s="11">
        <v>2</v>
      </c>
      <c r="O35" s="11">
        <v>0</v>
      </c>
      <c r="P35" s="12">
        <v>27</v>
      </c>
      <c r="Q35" s="11">
        <v>96</v>
      </c>
      <c r="R35" s="11">
        <v>0</v>
      </c>
      <c r="S35" s="11">
        <v>101</v>
      </c>
      <c r="T35" s="12">
        <v>4</v>
      </c>
      <c r="U35" s="12">
        <v>24</v>
      </c>
      <c r="V35" s="13">
        <v>3.3666666666666667</v>
      </c>
      <c r="W35" s="13">
        <v>84.166666666666671</v>
      </c>
      <c r="X35" s="13">
        <v>4.208333333333333</v>
      </c>
      <c r="Y35" s="14">
        <v>0.79166666666666663</v>
      </c>
      <c r="Z35" s="15">
        <v>6</v>
      </c>
    </row>
    <row r="36" spans="1:26" ht="15.75" x14ac:dyDescent="0.25">
      <c r="A36" s="263"/>
      <c r="B36" s="266"/>
      <c r="C36" s="200" t="s">
        <v>49</v>
      </c>
      <c r="D36" s="22" t="s">
        <v>34</v>
      </c>
      <c r="E36" s="10">
        <v>30</v>
      </c>
      <c r="F36" s="11">
        <v>12</v>
      </c>
      <c r="G36" s="11">
        <v>12</v>
      </c>
      <c r="H36" s="11">
        <v>75</v>
      </c>
      <c r="I36" s="11">
        <v>9</v>
      </c>
      <c r="J36" s="11">
        <v>96</v>
      </c>
      <c r="K36" s="11">
        <v>5</v>
      </c>
      <c r="L36" s="11">
        <v>78</v>
      </c>
      <c r="M36" s="12">
        <v>2</v>
      </c>
      <c r="N36" s="11">
        <v>2</v>
      </c>
      <c r="O36" s="11">
        <v>0</v>
      </c>
      <c r="P36" s="12">
        <v>85</v>
      </c>
      <c r="Q36" s="11">
        <v>299</v>
      </c>
      <c r="R36" s="11">
        <v>0</v>
      </c>
      <c r="S36" s="11">
        <v>307</v>
      </c>
      <c r="T36" s="12">
        <v>11</v>
      </c>
      <c r="U36" s="12">
        <v>80</v>
      </c>
      <c r="V36" s="13">
        <v>10.233333333333333</v>
      </c>
      <c r="W36" s="13">
        <v>85.277777777777771</v>
      </c>
      <c r="X36" s="13">
        <v>3.8374999999999999</v>
      </c>
      <c r="Y36" s="14">
        <v>0.66250000000000031</v>
      </c>
      <c r="Z36" s="15">
        <v>6.666666666666667</v>
      </c>
    </row>
    <row r="37" spans="1:26" ht="15.75" x14ac:dyDescent="0.25">
      <c r="A37" s="264"/>
      <c r="B37" s="266"/>
      <c r="C37" s="17" t="s">
        <v>49</v>
      </c>
      <c r="D37" s="16"/>
      <c r="E37" s="10">
        <v>30</v>
      </c>
      <c r="F37" s="17">
        <v>19</v>
      </c>
      <c r="G37" s="17">
        <v>19</v>
      </c>
      <c r="H37" s="17">
        <v>117</v>
      </c>
      <c r="I37" s="17">
        <v>22</v>
      </c>
      <c r="J37" s="17">
        <v>158</v>
      </c>
      <c r="K37" s="17">
        <v>13</v>
      </c>
      <c r="L37" s="17">
        <v>122</v>
      </c>
      <c r="M37" s="18">
        <v>6</v>
      </c>
      <c r="N37" s="17">
        <v>5</v>
      </c>
      <c r="O37" s="17">
        <v>1</v>
      </c>
      <c r="P37" s="18">
        <v>141</v>
      </c>
      <c r="Q37" s="17">
        <v>492</v>
      </c>
      <c r="R37" s="17">
        <v>0</v>
      </c>
      <c r="S37" s="17">
        <v>482</v>
      </c>
      <c r="T37" s="18">
        <v>17</v>
      </c>
      <c r="U37" s="18">
        <v>128</v>
      </c>
      <c r="V37" s="19">
        <v>16.066666666666666</v>
      </c>
      <c r="W37" s="19">
        <v>84.561403508771932</v>
      </c>
      <c r="X37" s="19">
        <v>3.765625</v>
      </c>
      <c r="Y37" s="20">
        <v>0.6875</v>
      </c>
      <c r="Z37" s="20">
        <v>6.7368421052631575</v>
      </c>
    </row>
    <row r="38" spans="1:26" ht="15.75" x14ac:dyDescent="0.25">
      <c r="A38" s="231">
        <v>11</v>
      </c>
      <c r="B38" s="266"/>
      <c r="C38" s="198" t="s">
        <v>50</v>
      </c>
      <c r="D38" s="22" t="s">
        <v>51</v>
      </c>
      <c r="E38" s="10">
        <v>30</v>
      </c>
      <c r="F38" s="10">
        <v>6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2">
        <v>0</v>
      </c>
      <c r="N38" s="11">
        <v>0</v>
      </c>
      <c r="O38" s="11">
        <v>0</v>
      </c>
      <c r="P38" s="12">
        <v>0</v>
      </c>
      <c r="Q38" s="11">
        <v>0</v>
      </c>
      <c r="R38" s="11">
        <v>0</v>
      </c>
      <c r="S38" s="11">
        <v>0</v>
      </c>
      <c r="T38" s="12">
        <v>0</v>
      </c>
      <c r="U38" s="12">
        <v>0</v>
      </c>
      <c r="V38" s="13">
        <v>0</v>
      </c>
      <c r="W38" s="13">
        <v>0</v>
      </c>
      <c r="X38" s="13" t="e">
        <v>#DIV/0!</v>
      </c>
      <c r="Y38" s="14" t="e">
        <v>#DIV/0!</v>
      </c>
      <c r="Z38" s="15">
        <v>0</v>
      </c>
    </row>
    <row r="39" spans="1:26" ht="15.75" x14ac:dyDescent="0.25">
      <c r="A39" s="231"/>
      <c r="B39" s="266"/>
      <c r="C39" s="189" t="s">
        <v>50</v>
      </c>
      <c r="D39" s="22" t="s">
        <v>52</v>
      </c>
      <c r="E39" s="10">
        <v>30</v>
      </c>
      <c r="F39" s="10">
        <v>8</v>
      </c>
      <c r="G39" s="11">
        <v>13</v>
      </c>
      <c r="H39" s="11">
        <v>80</v>
      </c>
      <c r="I39" s="11">
        <v>18</v>
      </c>
      <c r="J39" s="11">
        <v>111</v>
      </c>
      <c r="K39" s="11">
        <v>5</v>
      </c>
      <c r="L39" s="11">
        <v>89</v>
      </c>
      <c r="M39" s="12">
        <v>6</v>
      </c>
      <c r="N39" s="11">
        <v>0</v>
      </c>
      <c r="O39" s="11">
        <v>6</v>
      </c>
      <c r="P39" s="12">
        <v>100</v>
      </c>
      <c r="Q39" s="11">
        <v>405</v>
      </c>
      <c r="R39" s="11">
        <v>0</v>
      </c>
      <c r="S39" s="11">
        <v>339</v>
      </c>
      <c r="T39" s="12">
        <v>11</v>
      </c>
      <c r="U39" s="12">
        <v>95</v>
      </c>
      <c r="V39" s="13">
        <v>11.3</v>
      </c>
      <c r="W39" s="13">
        <v>141.25</v>
      </c>
      <c r="X39" s="13">
        <v>3.5684210526315789</v>
      </c>
      <c r="Y39" s="14">
        <v>-1.0421052631578951</v>
      </c>
      <c r="Z39" s="15">
        <v>11.875</v>
      </c>
    </row>
    <row r="40" spans="1:26" ht="15.75" x14ac:dyDescent="0.25">
      <c r="A40" s="231"/>
      <c r="B40" s="266"/>
      <c r="C40" s="198" t="s">
        <v>50</v>
      </c>
      <c r="D40" s="22" t="s">
        <v>53</v>
      </c>
      <c r="E40" s="10">
        <v>30</v>
      </c>
      <c r="F40" s="10">
        <v>14</v>
      </c>
      <c r="G40" s="11">
        <v>14</v>
      </c>
      <c r="H40" s="11">
        <v>110</v>
      </c>
      <c r="I40" s="11">
        <v>6</v>
      </c>
      <c r="J40" s="11">
        <v>130</v>
      </c>
      <c r="K40" s="11">
        <v>13</v>
      </c>
      <c r="L40" s="11">
        <v>102</v>
      </c>
      <c r="M40" s="12">
        <v>6</v>
      </c>
      <c r="N40" s="11">
        <v>2</v>
      </c>
      <c r="O40" s="11">
        <v>4</v>
      </c>
      <c r="P40" s="12">
        <v>121</v>
      </c>
      <c r="Q40" s="11">
        <v>364</v>
      </c>
      <c r="R40" s="11">
        <v>0</v>
      </c>
      <c r="S40" s="11">
        <v>345</v>
      </c>
      <c r="T40" s="12">
        <v>9</v>
      </c>
      <c r="U40" s="12">
        <v>108</v>
      </c>
      <c r="V40" s="13">
        <v>11.5</v>
      </c>
      <c r="W40" s="13">
        <v>82.142857142857139</v>
      </c>
      <c r="X40" s="13">
        <v>3.1944444444444446</v>
      </c>
      <c r="Y40" s="23">
        <v>0.69444444444444442</v>
      </c>
      <c r="Z40" s="24">
        <v>7.7142857142857144</v>
      </c>
    </row>
    <row r="41" spans="1:26" ht="15.75" x14ac:dyDescent="0.25">
      <c r="A41" s="231"/>
      <c r="B41" s="266"/>
      <c r="C41" s="189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 t="e">
        <v>#DIV/0!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30</v>
      </c>
      <c r="F42" s="17">
        <v>28</v>
      </c>
      <c r="G42" s="103">
        <v>27</v>
      </c>
      <c r="H42" s="17">
        <v>190</v>
      </c>
      <c r="I42" s="17">
        <v>24</v>
      </c>
      <c r="J42" s="17">
        <v>241</v>
      </c>
      <c r="K42" s="17">
        <v>18</v>
      </c>
      <c r="L42" s="17">
        <v>191</v>
      </c>
      <c r="M42" s="18">
        <v>12</v>
      </c>
      <c r="N42" s="17">
        <v>2</v>
      </c>
      <c r="O42" s="17">
        <v>10</v>
      </c>
      <c r="P42" s="18">
        <v>221</v>
      </c>
      <c r="Q42" s="17">
        <v>769</v>
      </c>
      <c r="R42" s="17">
        <v>0</v>
      </c>
      <c r="S42" s="17">
        <v>684</v>
      </c>
      <c r="T42" s="18">
        <v>20</v>
      </c>
      <c r="U42" s="18">
        <v>203</v>
      </c>
      <c r="V42" s="19">
        <v>22.8</v>
      </c>
      <c r="W42" s="19">
        <v>81.428571428571431</v>
      </c>
      <c r="X42" s="19">
        <v>3.3694581280788176</v>
      </c>
      <c r="Y42" s="20">
        <v>0.76847290640394073</v>
      </c>
      <c r="Z42" s="20">
        <v>7.25</v>
      </c>
    </row>
    <row r="43" spans="1:26" ht="15.75" x14ac:dyDescent="0.25">
      <c r="A43" s="59"/>
      <c r="B43" s="266"/>
      <c r="C43" s="201" t="s">
        <v>54</v>
      </c>
      <c r="D43" s="22" t="s">
        <v>40</v>
      </c>
      <c r="E43" s="10">
        <v>30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4" t="e">
        <v>#DIV/0!</v>
      </c>
      <c r="Z43" s="15">
        <v>0</v>
      </c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30</v>
      </c>
      <c r="F44" s="10">
        <v>13</v>
      </c>
      <c r="G44" s="11">
        <v>14</v>
      </c>
      <c r="H44" s="11">
        <v>112</v>
      </c>
      <c r="I44" s="11">
        <v>10</v>
      </c>
      <c r="J44" s="11">
        <v>136</v>
      </c>
      <c r="K44" s="11">
        <v>5</v>
      </c>
      <c r="L44" s="11">
        <v>115</v>
      </c>
      <c r="M44" s="12">
        <v>6</v>
      </c>
      <c r="N44" s="11">
        <v>3</v>
      </c>
      <c r="O44" s="11">
        <v>3</v>
      </c>
      <c r="P44" s="12">
        <v>126</v>
      </c>
      <c r="Q44" s="11">
        <v>452</v>
      </c>
      <c r="R44" s="11">
        <v>1</v>
      </c>
      <c r="S44" s="11">
        <v>393</v>
      </c>
      <c r="T44" s="12">
        <v>10</v>
      </c>
      <c r="U44" s="12">
        <v>121</v>
      </c>
      <c r="V44" s="13">
        <v>13.1</v>
      </c>
      <c r="W44" s="13">
        <v>100.76923076923077</v>
      </c>
      <c r="X44" s="13">
        <v>3.2479338842975207</v>
      </c>
      <c r="Y44" s="14">
        <v>-2.4793388429751977E-2</v>
      </c>
      <c r="Z44" s="15">
        <v>9.3076923076923084</v>
      </c>
    </row>
    <row r="45" spans="1:26" ht="15.75" x14ac:dyDescent="0.25">
      <c r="A45" s="231"/>
      <c r="B45" s="266"/>
      <c r="C45" s="201" t="s">
        <v>54</v>
      </c>
      <c r="D45" s="21" t="s">
        <v>55</v>
      </c>
      <c r="E45" s="10">
        <v>30</v>
      </c>
      <c r="F45" s="10">
        <v>2</v>
      </c>
      <c r="G45" s="11">
        <v>0</v>
      </c>
      <c r="H45" s="11">
        <v>3</v>
      </c>
      <c r="I45" s="11">
        <v>1</v>
      </c>
      <c r="J45" s="11">
        <v>4</v>
      </c>
      <c r="K45" s="11">
        <v>1</v>
      </c>
      <c r="L45" s="11">
        <v>3</v>
      </c>
      <c r="M45" s="12">
        <v>0</v>
      </c>
      <c r="N45" s="11">
        <v>0</v>
      </c>
      <c r="O45" s="11">
        <v>0</v>
      </c>
      <c r="P45" s="12">
        <v>4</v>
      </c>
      <c r="Q45" s="11">
        <v>14</v>
      </c>
      <c r="R45" s="11">
        <v>0</v>
      </c>
      <c r="S45" s="11">
        <v>12</v>
      </c>
      <c r="T45" s="12">
        <v>0</v>
      </c>
      <c r="U45" s="12">
        <v>3</v>
      </c>
      <c r="V45" s="13">
        <v>0.4</v>
      </c>
      <c r="W45" s="13">
        <v>20</v>
      </c>
      <c r="X45" s="13">
        <v>4</v>
      </c>
      <c r="Y45" s="14">
        <v>16</v>
      </c>
      <c r="Z45" s="15">
        <v>1.5</v>
      </c>
    </row>
    <row r="46" spans="1:26" ht="15.75" x14ac:dyDescent="0.25">
      <c r="A46" s="231"/>
      <c r="B46" s="266"/>
      <c r="C46" s="17" t="s">
        <v>54</v>
      </c>
      <c r="D46" s="16"/>
      <c r="E46" s="10">
        <v>30</v>
      </c>
      <c r="F46" s="17">
        <v>17</v>
      </c>
      <c r="G46" s="103">
        <v>14</v>
      </c>
      <c r="H46" s="17">
        <v>115</v>
      </c>
      <c r="I46" s="17">
        <v>11</v>
      </c>
      <c r="J46" s="17">
        <v>140</v>
      </c>
      <c r="K46" s="17">
        <v>6</v>
      </c>
      <c r="L46" s="17">
        <v>118</v>
      </c>
      <c r="M46" s="18">
        <v>6</v>
      </c>
      <c r="N46" s="17">
        <v>3</v>
      </c>
      <c r="O46" s="17">
        <v>3</v>
      </c>
      <c r="P46" s="18">
        <v>130</v>
      </c>
      <c r="Q46" s="17">
        <v>466</v>
      </c>
      <c r="R46" s="17">
        <v>1</v>
      </c>
      <c r="S46" s="17">
        <v>405</v>
      </c>
      <c r="T46" s="18">
        <v>10</v>
      </c>
      <c r="U46" s="18">
        <v>124</v>
      </c>
      <c r="V46" s="25">
        <v>13.5</v>
      </c>
      <c r="W46" s="19">
        <v>79.411764705882348</v>
      </c>
      <c r="X46" s="19">
        <v>3.2661290322580645</v>
      </c>
      <c r="Y46" s="20">
        <v>0.84677419354838712</v>
      </c>
      <c r="Z46" s="20">
        <v>7.2941176470588234</v>
      </c>
    </row>
    <row r="47" spans="1:26" ht="15.75" x14ac:dyDescent="0.25">
      <c r="A47" s="245">
        <v>13</v>
      </c>
      <c r="B47" s="266"/>
      <c r="C47" s="202" t="s">
        <v>61</v>
      </c>
      <c r="D47" s="22" t="s">
        <v>57</v>
      </c>
      <c r="E47" s="10">
        <v>30</v>
      </c>
      <c r="F47" s="11">
        <v>2</v>
      </c>
      <c r="G47" s="11">
        <v>1</v>
      </c>
      <c r="H47" s="11">
        <v>0</v>
      </c>
      <c r="I47" s="11">
        <v>1</v>
      </c>
      <c r="J47" s="11">
        <v>2</v>
      </c>
      <c r="K47" s="11">
        <v>0</v>
      </c>
      <c r="L47" s="11">
        <v>2</v>
      </c>
      <c r="M47" s="12">
        <v>0</v>
      </c>
      <c r="N47" s="11">
        <v>0</v>
      </c>
      <c r="O47" s="11">
        <v>0</v>
      </c>
      <c r="P47" s="12">
        <v>2</v>
      </c>
      <c r="Q47" s="11">
        <v>9</v>
      </c>
      <c r="R47" s="11">
        <v>0</v>
      </c>
      <c r="S47" s="11">
        <v>1</v>
      </c>
      <c r="T47" s="12">
        <v>0</v>
      </c>
      <c r="U47" s="12">
        <v>2</v>
      </c>
      <c r="V47" s="13">
        <v>3.3333333333333333E-2</v>
      </c>
      <c r="W47" s="13">
        <v>1.6666666666666667</v>
      </c>
      <c r="X47" s="13">
        <v>0.5</v>
      </c>
      <c r="Y47" s="14">
        <v>29.5</v>
      </c>
      <c r="Z47" s="15">
        <v>1</v>
      </c>
    </row>
    <row r="48" spans="1:26" ht="15.75" x14ac:dyDescent="0.25">
      <c r="A48" s="246"/>
      <c r="B48" s="266"/>
      <c r="C48" s="202" t="s">
        <v>61</v>
      </c>
      <c r="D48" s="99" t="s">
        <v>58</v>
      </c>
      <c r="E48" s="10">
        <v>30</v>
      </c>
      <c r="F48" s="26">
        <v>3</v>
      </c>
      <c r="G48" s="26">
        <v>0</v>
      </c>
      <c r="H48" s="26">
        <v>13</v>
      </c>
      <c r="I48" s="26">
        <v>1</v>
      </c>
      <c r="J48" s="11">
        <v>14</v>
      </c>
      <c r="K48" s="26">
        <v>2</v>
      </c>
      <c r="L48" s="26">
        <v>6</v>
      </c>
      <c r="M48" s="12">
        <v>5</v>
      </c>
      <c r="N48" s="26">
        <v>3</v>
      </c>
      <c r="O48" s="26">
        <v>2</v>
      </c>
      <c r="P48" s="12">
        <v>13</v>
      </c>
      <c r="Q48" s="26">
        <v>34</v>
      </c>
      <c r="R48" s="26">
        <v>0</v>
      </c>
      <c r="S48" s="26">
        <v>35</v>
      </c>
      <c r="T48" s="12">
        <v>1</v>
      </c>
      <c r="U48" s="12">
        <v>11</v>
      </c>
      <c r="V48" s="13">
        <v>1.1666666666666667</v>
      </c>
      <c r="W48" s="13">
        <v>38.888888888888893</v>
      </c>
      <c r="X48" s="13">
        <v>3.1818181818181817</v>
      </c>
      <c r="Y48" s="14">
        <v>5</v>
      </c>
      <c r="Z48" s="15">
        <v>3.6666666666666665</v>
      </c>
    </row>
    <row r="49" spans="1:26" ht="15.75" x14ac:dyDescent="0.25">
      <c r="A49" s="246"/>
      <c r="B49" s="266"/>
      <c r="C49" s="203" t="s">
        <v>61</v>
      </c>
      <c r="D49" s="99" t="s">
        <v>59</v>
      </c>
      <c r="E49" s="10">
        <v>30</v>
      </c>
      <c r="F49" s="26">
        <v>2</v>
      </c>
      <c r="G49" s="26">
        <v>0</v>
      </c>
      <c r="H49" s="26">
        <v>5</v>
      </c>
      <c r="I49" s="26">
        <v>1</v>
      </c>
      <c r="J49" s="11">
        <v>6</v>
      </c>
      <c r="K49" s="26">
        <v>1</v>
      </c>
      <c r="L49" s="26">
        <v>1</v>
      </c>
      <c r="M49" s="12">
        <v>3</v>
      </c>
      <c r="N49" s="26">
        <v>1</v>
      </c>
      <c r="O49" s="26">
        <v>2</v>
      </c>
      <c r="P49" s="12">
        <v>5</v>
      </c>
      <c r="Q49" s="26">
        <v>18</v>
      </c>
      <c r="R49" s="26">
        <v>0</v>
      </c>
      <c r="S49" s="26">
        <v>19</v>
      </c>
      <c r="T49" s="12">
        <v>1</v>
      </c>
      <c r="U49" s="12">
        <v>4</v>
      </c>
      <c r="V49" s="13">
        <v>0.6333333333333333</v>
      </c>
      <c r="W49" s="13">
        <v>31.666666666666664</v>
      </c>
      <c r="X49" s="13">
        <v>4.75</v>
      </c>
      <c r="Y49" s="14">
        <v>10.25</v>
      </c>
      <c r="Z49" s="15">
        <v>2</v>
      </c>
    </row>
    <row r="50" spans="1:26" ht="15.75" x14ac:dyDescent="0.25">
      <c r="A50" s="246"/>
      <c r="B50" s="266"/>
      <c r="C50" s="202" t="s">
        <v>61</v>
      </c>
      <c r="D50" s="99" t="s">
        <v>60</v>
      </c>
      <c r="E50" s="10">
        <v>30</v>
      </c>
      <c r="F50" s="26">
        <v>10</v>
      </c>
      <c r="G50" s="26">
        <v>5</v>
      </c>
      <c r="H50" s="26">
        <v>56</v>
      </c>
      <c r="I50" s="26">
        <v>7</v>
      </c>
      <c r="J50" s="11">
        <v>68</v>
      </c>
      <c r="K50" s="26">
        <v>6</v>
      </c>
      <c r="L50" s="26">
        <v>45</v>
      </c>
      <c r="M50" s="12">
        <v>8</v>
      </c>
      <c r="N50" s="26">
        <v>3</v>
      </c>
      <c r="O50" s="26">
        <v>5</v>
      </c>
      <c r="P50" s="12">
        <v>59</v>
      </c>
      <c r="Q50" s="26">
        <v>249</v>
      </c>
      <c r="R50" s="26">
        <v>2</v>
      </c>
      <c r="S50" s="26">
        <v>250</v>
      </c>
      <c r="T50" s="12">
        <v>9</v>
      </c>
      <c r="U50" s="12">
        <v>53</v>
      </c>
      <c r="V50" s="13">
        <v>8.3333333333333339</v>
      </c>
      <c r="W50" s="13">
        <v>83.333333333333343</v>
      </c>
      <c r="X50" s="13">
        <v>4.716981132075472</v>
      </c>
      <c r="Y50" s="14">
        <v>0.94339622641509402</v>
      </c>
      <c r="Z50" s="15">
        <v>5.3</v>
      </c>
    </row>
    <row r="51" spans="1:26" ht="15.75" x14ac:dyDescent="0.25">
      <c r="A51" s="247"/>
      <c r="B51" s="266"/>
      <c r="C51" s="17" t="s">
        <v>61</v>
      </c>
      <c r="D51" s="16"/>
      <c r="E51" s="10">
        <v>30</v>
      </c>
      <c r="F51" s="17">
        <v>17</v>
      </c>
      <c r="G51" s="103">
        <v>6</v>
      </c>
      <c r="H51" s="17">
        <v>74</v>
      </c>
      <c r="I51" s="17">
        <v>10</v>
      </c>
      <c r="J51" s="17">
        <v>90</v>
      </c>
      <c r="K51" s="17">
        <v>9</v>
      </c>
      <c r="L51" s="17">
        <v>54</v>
      </c>
      <c r="M51" s="18">
        <v>16</v>
      </c>
      <c r="N51" s="17">
        <v>7</v>
      </c>
      <c r="O51" s="17">
        <v>9</v>
      </c>
      <c r="P51" s="18">
        <v>79</v>
      </c>
      <c r="Q51" s="17">
        <v>310</v>
      </c>
      <c r="R51" s="17">
        <v>2</v>
      </c>
      <c r="S51" s="17">
        <v>305</v>
      </c>
      <c r="T51" s="18">
        <v>11</v>
      </c>
      <c r="U51" s="18">
        <v>70</v>
      </c>
      <c r="V51" s="19">
        <v>10.166666666666666</v>
      </c>
      <c r="W51" s="19">
        <v>59.803921568627452</v>
      </c>
      <c r="X51" s="19">
        <v>4.3571428571428568</v>
      </c>
      <c r="Y51" s="20">
        <v>2.9285714285714288</v>
      </c>
      <c r="Z51" s="20">
        <v>4.117647058823529</v>
      </c>
    </row>
    <row r="52" spans="1:26" ht="15.75" x14ac:dyDescent="0.25">
      <c r="A52" s="145"/>
      <c r="B52" s="266"/>
      <c r="C52" s="11"/>
      <c r="D52" s="22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30</v>
      </c>
      <c r="F53" s="11">
        <v>8</v>
      </c>
      <c r="G53" s="11">
        <v>6</v>
      </c>
      <c r="H53" s="11">
        <v>38</v>
      </c>
      <c r="I53" s="11">
        <v>2</v>
      </c>
      <c r="J53" s="11">
        <v>46</v>
      </c>
      <c r="K53" s="11">
        <v>2</v>
      </c>
      <c r="L53" s="11">
        <v>40</v>
      </c>
      <c r="M53" s="12">
        <v>0</v>
      </c>
      <c r="N53" s="11">
        <v>0</v>
      </c>
      <c r="O53" s="11">
        <v>0</v>
      </c>
      <c r="P53" s="12">
        <v>42</v>
      </c>
      <c r="Q53" s="11">
        <v>155</v>
      </c>
      <c r="R53" s="11">
        <v>0</v>
      </c>
      <c r="S53" s="11">
        <v>139</v>
      </c>
      <c r="T53" s="12">
        <v>4</v>
      </c>
      <c r="U53" s="12">
        <v>40</v>
      </c>
      <c r="V53" s="13">
        <v>4.6333333333333337</v>
      </c>
      <c r="W53" s="24">
        <v>57.916666666666671</v>
      </c>
      <c r="X53" s="24">
        <v>3.4750000000000001</v>
      </c>
      <c r="Y53" s="23">
        <v>2.5249999999999995</v>
      </c>
      <c r="Z53" s="24">
        <v>5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">
        <v>30</v>
      </c>
      <c r="F54" s="17">
        <v>8</v>
      </c>
      <c r="G54" s="103">
        <v>6</v>
      </c>
      <c r="H54" s="17">
        <v>38</v>
      </c>
      <c r="I54" s="17">
        <v>2</v>
      </c>
      <c r="J54" s="17">
        <v>46</v>
      </c>
      <c r="K54" s="17">
        <v>2</v>
      </c>
      <c r="L54" s="17">
        <v>40</v>
      </c>
      <c r="M54" s="18">
        <v>0</v>
      </c>
      <c r="N54" s="17">
        <v>0</v>
      </c>
      <c r="O54" s="17">
        <v>0</v>
      </c>
      <c r="P54" s="18">
        <v>42</v>
      </c>
      <c r="Q54" s="17">
        <v>155</v>
      </c>
      <c r="R54" s="17">
        <v>0</v>
      </c>
      <c r="S54" s="17">
        <v>139</v>
      </c>
      <c r="T54" s="18">
        <v>4</v>
      </c>
      <c r="U54" s="18">
        <v>40</v>
      </c>
      <c r="V54" s="19">
        <v>4.6333333333333337</v>
      </c>
      <c r="W54" s="27">
        <v>57.916666666666671</v>
      </c>
      <c r="X54" s="27">
        <v>3.4750000000000001</v>
      </c>
      <c r="Y54" s="27">
        <v>2.5249999999999995</v>
      </c>
      <c r="Z54" s="27">
        <v>5</v>
      </c>
    </row>
    <row r="55" spans="1:26" ht="15.75" x14ac:dyDescent="0.25">
      <c r="A55" s="59"/>
      <c r="B55" s="266"/>
      <c r="C55" s="181" t="s">
        <v>63</v>
      </c>
      <c r="D55" s="22" t="s">
        <v>40</v>
      </c>
      <c r="E55" s="10">
        <v>30</v>
      </c>
      <c r="F55" s="11">
        <v>4</v>
      </c>
      <c r="G55" s="11">
        <v>0</v>
      </c>
      <c r="H55" s="11">
        <v>0</v>
      </c>
      <c r="I55" s="11">
        <v>0</v>
      </c>
      <c r="J55" s="11"/>
      <c r="K55" s="11">
        <v>0</v>
      </c>
      <c r="L55" s="11">
        <v>0</v>
      </c>
      <c r="M55" s="12"/>
      <c r="N55" s="11">
        <v>0</v>
      </c>
      <c r="O55" s="11">
        <v>0</v>
      </c>
      <c r="P55" s="12"/>
      <c r="Q55" s="11">
        <v>0</v>
      </c>
      <c r="R55" s="11">
        <v>0</v>
      </c>
      <c r="S55" s="11">
        <v>0</v>
      </c>
      <c r="T55" s="12">
        <v>0</v>
      </c>
      <c r="U55" s="12">
        <v>0</v>
      </c>
      <c r="V55" s="13">
        <v>0</v>
      </c>
      <c r="W55" s="13">
        <v>0</v>
      </c>
      <c r="X55" s="13" t="e">
        <v>#DIV/0!</v>
      </c>
      <c r="Y55" s="14" t="e">
        <v>#DIV/0!</v>
      </c>
      <c r="Z55" s="15">
        <v>0</v>
      </c>
    </row>
    <row r="56" spans="1:26" ht="15.75" x14ac:dyDescent="0.25">
      <c r="A56" s="231">
        <v>15</v>
      </c>
      <c r="B56" s="266"/>
      <c r="C56" s="182" t="s">
        <v>63</v>
      </c>
      <c r="D56" s="22" t="s">
        <v>34</v>
      </c>
      <c r="E56" s="10">
        <v>30</v>
      </c>
      <c r="F56" s="11">
        <v>14</v>
      </c>
      <c r="G56" s="11">
        <v>16</v>
      </c>
      <c r="H56" s="11">
        <v>145</v>
      </c>
      <c r="I56" s="11">
        <v>12</v>
      </c>
      <c r="J56" s="11">
        <v>173</v>
      </c>
      <c r="K56" s="11">
        <v>9</v>
      </c>
      <c r="L56" s="11">
        <v>129</v>
      </c>
      <c r="M56" s="11">
        <v>17</v>
      </c>
      <c r="N56" s="11">
        <v>11</v>
      </c>
      <c r="O56" s="11">
        <v>6</v>
      </c>
      <c r="P56" s="11">
        <v>155</v>
      </c>
      <c r="Q56" s="11">
        <v>538</v>
      </c>
      <c r="R56" s="11">
        <v>2</v>
      </c>
      <c r="S56" s="11">
        <v>494</v>
      </c>
      <c r="T56" s="11">
        <v>18</v>
      </c>
      <c r="U56" s="11">
        <v>146</v>
      </c>
      <c r="V56" s="15">
        <v>16.466666666666665</v>
      </c>
      <c r="W56" s="15">
        <v>117.61904761904761</v>
      </c>
      <c r="X56" s="15">
        <v>3.3835616438356166</v>
      </c>
      <c r="Y56" s="14">
        <v>-0.50684931506849273</v>
      </c>
      <c r="Z56" s="15">
        <v>10.428571428571429</v>
      </c>
    </row>
    <row r="57" spans="1:26" ht="15.75" x14ac:dyDescent="0.25">
      <c r="A57" s="231"/>
      <c r="B57" s="266"/>
      <c r="C57" s="17" t="s">
        <v>63</v>
      </c>
      <c r="D57" s="16"/>
      <c r="E57" s="10">
        <v>30</v>
      </c>
      <c r="F57" s="17">
        <v>18</v>
      </c>
      <c r="G57" s="103">
        <v>16</v>
      </c>
      <c r="H57" s="17">
        <v>145</v>
      </c>
      <c r="I57" s="17">
        <v>12</v>
      </c>
      <c r="J57" s="17">
        <v>173</v>
      </c>
      <c r="K57" s="17">
        <v>9</v>
      </c>
      <c r="L57" s="17">
        <v>129</v>
      </c>
      <c r="M57" s="17">
        <v>17</v>
      </c>
      <c r="N57" s="17">
        <v>11</v>
      </c>
      <c r="O57" s="17">
        <v>6</v>
      </c>
      <c r="P57" s="17">
        <v>155</v>
      </c>
      <c r="Q57" s="17">
        <v>538</v>
      </c>
      <c r="R57" s="17">
        <v>2</v>
      </c>
      <c r="S57" s="17">
        <v>494</v>
      </c>
      <c r="T57" s="17">
        <v>18</v>
      </c>
      <c r="U57" s="17">
        <v>146</v>
      </c>
      <c r="V57" s="20">
        <v>16.466666666666665</v>
      </c>
      <c r="W57" s="20">
        <v>91.481481481481481</v>
      </c>
      <c r="X57" s="20">
        <v>3.3835616438356166</v>
      </c>
      <c r="Y57" s="20">
        <v>0.31506849315068525</v>
      </c>
      <c r="Z57" s="20">
        <v>8.1111111111111107</v>
      </c>
    </row>
    <row r="58" spans="1:26" ht="15.75" x14ac:dyDescent="0.25">
      <c r="A58" s="59"/>
      <c r="B58" s="266"/>
      <c r="C58" s="248" t="s">
        <v>64</v>
      </c>
      <c r="D58" s="22" t="s">
        <v>112</v>
      </c>
      <c r="E58" s="10">
        <v>30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>
        <v>0</v>
      </c>
      <c r="U58" s="12">
        <v>0</v>
      </c>
      <c r="V58" s="13">
        <v>0</v>
      </c>
      <c r="W58" s="13" t="e">
        <v>#DIV/0!</v>
      </c>
      <c r="X58" s="13" t="e">
        <v>#DIV/0!</v>
      </c>
      <c r="Y58" s="14" t="e">
        <v>#DIV/0!</v>
      </c>
      <c r="Z58" s="15" t="e">
        <v>#DIV/0!</v>
      </c>
    </row>
    <row r="59" spans="1:26" ht="15.75" x14ac:dyDescent="0.25">
      <c r="A59" s="253">
        <v>16</v>
      </c>
      <c r="B59" s="266"/>
      <c r="C59" s="249"/>
      <c r="D59" s="21" t="s">
        <v>48</v>
      </c>
      <c r="E59" s="10">
        <v>30</v>
      </c>
      <c r="F59" s="10">
        <v>3</v>
      </c>
      <c r="G59" s="11">
        <v>4</v>
      </c>
      <c r="H59" s="10">
        <v>30</v>
      </c>
      <c r="I59" s="10">
        <v>27</v>
      </c>
      <c r="J59" s="11">
        <v>61</v>
      </c>
      <c r="K59" s="10">
        <v>48</v>
      </c>
      <c r="L59" s="10">
        <v>12</v>
      </c>
      <c r="M59" s="11">
        <v>1</v>
      </c>
      <c r="N59" s="10">
        <v>0</v>
      </c>
      <c r="O59" s="10">
        <v>1</v>
      </c>
      <c r="P59" s="11">
        <v>61</v>
      </c>
      <c r="Q59" s="10">
        <v>41</v>
      </c>
      <c r="R59" s="10">
        <v>0</v>
      </c>
      <c r="S59" s="10">
        <v>41</v>
      </c>
      <c r="T59" s="12">
        <v>0</v>
      </c>
      <c r="U59" s="12">
        <v>13</v>
      </c>
      <c r="V59" s="13">
        <v>1.3666666666666667</v>
      </c>
      <c r="W59" s="24">
        <v>45.555555555555557</v>
      </c>
      <c r="X59" s="24">
        <v>3.1538461538461537</v>
      </c>
      <c r="Y59" s="23">
        <v>3.7692307692307692</v>
      </c>
      <c r="Z59" s="24">
        <v>4.333333333333333</v>
      </c>
    </row>
    <row r="60" spans="1:26" ht="15.75" x14ac:dyDescent="0.25">
      <c r="A60" s="253"/>
      <c r="B60" s="266"/>
      <c r="C60" s="249"/>
      <c r="D60" s="21" t="s">
        <v>38</v>
      </c>
      <c r="E60" s="10">
        <v>30</v>
      </c>
      <c r="F60" s="10">
        <v>8</v>
      </c>
      <c r="G60" s="11">
        <v>9</v>
      </c>
      <c r="H60" s="10">
        <v>80</v>
      </c>
      <c r="I60" s="10">
        <v>98</v>
      </c>
      <c r="J60" s="11">
        <v>187</v>
      </c>
      <c r="K60" s="10">
        <v>159</v>
      </c>
      <c r="L60" s="10">
        <v>21</v>
      </c>
      <c r="M60" s="11">
        <v>1</v>
      </c>
      <c r="N60" s="10">
        <v>1</v>
      </c>
      <c r="O60" s="10">
        <v>0</v>
      </c>
      <c r="P60" s="11">
        <v>181</v>
      </c>
      <c r="Q60" s="10">
        <v>47</v>
      </c>
      <c r="R60" s="10">
        <v>0</v>
      </c>
      <c r="S60" s="10">
        <v>185</v>
      </c>
      <c r="T60" s="12">
        <v>6</v>
      </c>
      <c r="U60" s="12">
        <v>22</v>
      </c>
      <c r="V60" s="13">
        <v>6.166666666666667</v>
      </c>
      <c r="W60" s="24">
        <v>77.083333333333343</v>
      </c>
      <c r="X60" s="24">
        <v>8.4090909090909083</v>
      </c>
      <c r="Y60" s="23">
        <v>2.4999999999999996</v>
      </c>
      <c r="Z60" s="24">
        <v>2.75</v>
      </c>
    </row>
    <row r="61" spans="1:26" ht="15.75" x14ac:dyDescent="0.25">
      <c r="A61" s="253"/>
      <c r="B61" s="266"/>
      <c r="C61" s="250"/>
      <c r="D61" s="21" t="s">
        <v>34</v>
      </c>
      <c r="E61" s="10">
        <v>30</v>
      </c>
      <c r="F61" s="10">
        <v>25</v>
      </c>
      <c r="G61" s="11">
        <v>27</v>
      </c>
      <c r="H61" s="10">
        <v>347</v>
      </c>
      <c r="I61" s="10">
        <v>275</v>
      </c>
      <c r="J61" s="11">
        <v>649</v>
      </c>
      <c r="K61" s="10">
        <v>85</v>
      </c>
      <c r="L61" s="10">
        <v>540</v>
      </c>
      <c r="M61" s="11">
        <v>1</v>
      </c>
      <c r="N61" s="10">
        <v>1</v>
      </c>
      <c r="O61" s="10">
        <v>0</v>
      </c>
      <c r="P61" s="11">
        <v>626</v>
      </c>
      <c r="Q61" s="10">
        <v>1220</v>
      </c>
      <c r="R61" s="10">
        <v>55</v>
      </c>
      <c r="S61" s="10">
        <v>747</v>
      </c>
      <c r="T61" s="12">
        <v>23</v>
      </c>
      <c r="U61" s="12">
        <v>541</v>
      </c>
      <c r="V61" s="13">
        <v>24.9</v>
      </c>
      <c r="W61" s="24">
        <v>99.6</v>
      </c>
      <c r="X61" s="24">
        <v>1.3807763401109057</v>
      </c>
      <c r="Y61" s="23">
        <v>5.5452865064695798E-3</v>
      </c>
      <c r="Z61" s="24">
        <v>21.64</v>
      </c>
    </row>
    <row r="62" spans="1:26" ht="15.75" x14ac:dyDescent="0.25">
      <c r="A62" s="253"/>
      <c r="B62" s="266"/>
      <c r="C62" s="17" t="s">
        <v>64</v>
      </c>
      <c r="D62" s="16"/>
      <c r="E62" s="10">
        <v>30</v>
      </c>
      <c r="F62" s="17">
        <v>36</v>
      </c>
      <c r="G62" s="103">
        <v>40</v>
      </c>
      <c r="H62" s="17">
        <v>457</v>
      </c>
      <c r="I62" s="17">
        <v>400</v>
      </c>
      <c r="J62" s="17">
        <v>897</v>
      </c>
      <c r="K62" s="17">
        <v>292</v>
      </c>
      <c r="L62" s="17">
        <v>573</v>
      </c>
      <c r="M62" s="17">
        <v>3</v>
      </c>
      <c r="N62" s="17">
        <v>2</v>
      </c>
      <c r="O62" s="17">
        <v>1</v>
      </c>
      <c r="P62" s="17">
        <v>868</v>
      </c>
      <c r="Q62" s="17">
        <v>1308</v>
      </c>
      <c r="R62" s="17">
        <v>55</v>
      </c>
      <c r="S62" s="17">
        <v>973</v>
      </c>
      <c r="T62" s="17">
        <v>29</v>
      </c>
      <c r="U62" s="17">
        <v>576</v>
      </c>
      <c r="V62" s="20">
        <v>32.43333333333333</v>
      </c>
      <c r="W62" s="20">
        <v>90.092592592592581</v>
      </c>
      <c r="X62" s="20">
        <v>1.6892361111111112</v>
      </c>
      <c r="Y62" s="20">
        <v>0.18576388888888906</v>
      </c>
      <c r="Z62" s="20">
        <v>16</v>
      </c>
    </row>
    <row r="63" spans="1:26" ht="15.75" x14ac:dyDescent="0.25">
      <c r="A63" s="253">
        <v>17</v>
      </c>
      <c r="B63" s="191"/>
      <c r="C63" s="11"/>
      <c r="D63" s="2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192"/>
      <c r="C64" s="17"/>
      <c r="D64" s="16"/>
      <c r="E64" s="103"/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 t="e">
        <v>#DIV/0!</v>
      </c>
      <c r="W64" s="20" t="e">
        <v>#DIV/0!</v>
      </c>
      <c r="X64" s="20" t="e">
        <v>#DIV/0!</v>
      </c>
      <c r="Y64" s="20" t="e">
        <v>#DIV/0!</v>
      </c>
      <c r="Z64" s="20" t="e">
        <v>#DIV/0!</v>
      </c>
    </row>
    <row r="65" spans="1:26" ht="15.75" x14ac:dyDescent="0.25">
      <c r="A65" s="255" t="s">
        <v>65</v>
      </c>
      <c r="B65" s="255"/>
      <c r="C65" s="255"/>
      <c r="D65" s="255"/>
      <c r="E65" s="28">
        <v>30</v>
      </c>
      <c r="F65" s="29">
        <v>325</v>
      </c>
      <c r="G65" s="29">
        <v>297</v>
      </c>
      <c r="H65" s="29">
        <v>2511</v>
      </c>
      <c r="I65" s="29">
        <v>649</v>
      </c>
      <c r="J65" s="28">
        <v>3457</v>
      </c>
      <c r="K65" s="29">
        <v>480</v>
      </c>
      <c r="L65" s="29">
        <v>2534</v>
      </c>
      <c r="M65" s="28">
        <v>173</v>
      </c>
      <c r="N65" s="29">
        <v>84</v>
      </c>
      <c r="O65" s="29">
        <v>89</v>
      </c>
      <c r="P65" s="28">
        <v>3187</v>
      </c>
      <c r="Q65" s="29">
        <v>9554</v>
      </c>
      <c r="R65" s="29">
        <v>69</v>
      </c>
      <c r="S65" s="29">
        <v>8476</v>
      </c>
      <c r="T65" s="28">
        <v>270</v>
      </c>
      <c r="U65" s="28">
        <v>2707</v>
      </c>
      <c r="V65" s="30">
        <v>282.53333333333336</v>
      </c>
      <c r="W65" s="30">
        <v>86.933333333333337</v>
      </c>
      <c r="X65" s="30">
        <v>3.1311414850387882</v>
      </c>
      <c r="Y65" s="30">
        <v>0.47063169560398932</v>
      </c>
      <c r="Z65" s="30">
        <v>8.3292307692307688</v>
      </c>
    </row>
    <row r="66" spans="1:26" ht="15.75" x14ac:dyDescent="0.25">
      <c r="A66" s="33" t="s">
        <v>66</v>
      </c>
      <c r="B66" s="34"/>
      <c r="C66" s="32"/>
      <c r="D66" s="32"/>
      <c r="E66" s="11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" customHeight="1" x14ac:dyDescent="0.25">
      <c r="A67" s="243" t="s">
        <v>1</v>
      </c>
      <c r="B67" s="243" t="s">
        <v>2</v>
      </c>
      <c r="C67" s="240" t="s">
        <v>3</v>
      </c>
      <c r="D67" s="240" t="s">
        <v>4</v>
      </c>
      <c r="E67" s="244" t="s">
        <v>5</v>
      </c>
      <c r="F67" s="240" t="s">
        <v>6</v>
      </c>
      <c r="G67" s="240" t="s">
        <v>7</v>
      </c>
      <c r="H67" s="240" t="s">
        <v>8</v>
      </c>
      <c r="I67" s="244" t="s">
        <v>9</v>
      </c>
      <c r="J67" s="240" t="s">
        <v>10</v>
      </c>
      <c r="K67" s="240" t="s">
        <v>11</v>
      </c>
      <c r="L67" s="240" t="s">
        <v>12</v>
      </c>
      <c r="M67" s="240" t="s">
        <v>13</v>
      </c>
      <c r="N67" s="240" t="s">
        <v>14</v>
      </c>
      <c r="O67" s="240" t="s">
        <v>15</v>
      </c>
      <c r="P67" s="240" t="s">
        <v>16</v>
      </c>
      <c r="Q67" s="240" t="s">
        <v>17</v>
      </c>
      <c r="R67" s="240" t="s">
        <v>18</v>
      </c>
      <c r="S67" s="240" t="s">
        <v>19</v>
      </c>
      <c r="T67" s="240" t="s">
        <v>20</v>
      </c>
      <c r="U67" s="241" t="s">
        <v>21</v>
      </c>
      <c r="V67" s="8" t="s">
        <v>22</v>
      </c>
      <c r="W67" s="8" t="s">
        <v>23</v>
      </c>
      <c r="X67" s="8" t="s">
        <v>24</v>
      </c>
      <c r="Y67" s="8" t="s">
        <v>25</v>
      </c>
      <c r="Z67" s="8" t="s">
        <v>26</v>
      </c>
    </row>
    <row r="68" spans="1:26" ht="15" customHeight="1" x14ac:dyDescent="0.25">
      <c r="A68" s="243"/>
      <c r="B68" s="243"/>
      <c r="C68" s="240"/>
      <c r="D68" s="240"/>
      <c r="E68" s="244"/>
      <c r="F68" s="240"/>
      <c r="G68" s="240"/>
      <c r="H68" s="240"/>
      <c r="I68" s="244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1"/>
      <c r="V68" s="238" t="s">
        <v>27</v>
      </c>
      <c r="W68" s="238" t="s">
        <v>28</v>
      </c>
      <c r="X68" s="238" t="s">
        <v>29</v>
      </c>
      <c r="Y68" s="238" t="s">
        <v>30</v>
      </c>
      <c r="Z68" s="238" t="s">
        <v>31</v>
      </c>
    </row>
    <row r="69" spans="1:26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42"/>
      <c r="W69" s="238"/>
      <c r="X69" s="238"/>
      <c r="Y69" s="238"/>
      <c r="Z69" s="238"/>
    </row>
    <row r="70" spans="1:26" x14ac:dyDescent="0.25">
      <c r="A70" s="243"/>
      <c r="B70" s="243"/>
      <c r="C70" s="240"/>
      <c r="D70" s="240"/>
      <c r="E70" s="244"/>
      <c r="F70" s="240"/>
      <c r="G70" s="9">
        <v>1</v>
      </c>
      <c r="H70" s="9">
        <v>2</v>
      </c>
      <c r="I70" s="9">
        <v>3</v>
      </c>
      <c r="J70" s="9">
        <v>4</v>
      </c>
      <c r="K70" s="9">
        <v>5</v>
      </c>
      <c r="L70" s="9">
        <v>6</v>
      </c>
      <c r="M70" s="9">
        <v>7</v>
      </c>
      <c r="N70" s="9">
        <v>8</v>
      </c>
      <c r="O70" s="9">
        <v>9</v>
      </c>
      <c r="P70" s="9">
        <v>10</v>
      </c>
      <c r="Q70" s="9">
        <v>11</v>
      </c>
      <c r="R70" s="9">
        <v>12</v>
      </c>
      <c r="S70" s="9">
        <v>13</v>
      </c>
      <c r="T70" s="9">
        <v>14</v>
      </c>
      <c r="U70" s="241"/>
      <c r="V70" s="58">
        <v>15</v>
      </c>
      <c r="W70" s="58">
        <v>16</v>
      </c>
      <c r="X70" s="58">
        <v>17</v>
      </c>
      <c r="Y70" s="58">
        <v>18</v>
      </c>
      <c r="Z70" s="58">
        <v>19</v>
      </c>
    </row>
    <row r="71" spans="1:26" ht="15.75" x14ac:dyDescent="0.25">
      <c r="A71" s="245">
        <v>1</v>
      </c>
      <c r="B71" s="245" t="s">
        <v>40</v>
      </c>
      <c r="C71" s="11" t="s">
        <v>69</v>
      </c>
      <c r="D71" s="11" t="s">
        <v>38</v>
      </c>
      <c r="E71" s="10">
        <v>30</v>
      </c>
      <c r="F71" s="11"/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5">
        <v>0</v>
      </c>
      <c r="W71" s="35" t="e">
        <v>#DIV/0!</v>
      </c>
      <c r="X71" s="35" t="e">
        <v>#DIV/0!</v>
      </c>
      <c r="Y71" s="36" t="e">
        <v>#DIV/0!</v>
      </c>
      <c r="Z71" s="35" t="e">
        <v>#DIV/0!</v>
      </c>
    </row>
    <row r="72" spans="1:26" ht="15.75" x14ac:dyDescent="0.25">
      <c r="A72" s="247"/>
      <c r="B72" s="246"/>
      <c r="C72" s="17" t="s">
        <v>69</v>
      </c>
      <c r="D72" s="17"/>
      <c r="E72" s="10">
        <v>30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20">
        <v>0</v>
      </c>
      <c r="W72" s="37">
        <v>0</v>
      </c>
      <c r="X72" s="37" t="e">
        <v>#DIV/0!</v>
      </c>
      <c r="Y72" s="37" t="e">
        <v>#DIV/0!</v>
      </c>
      <c r="Z72" s="37" t="e">
        <v>#DIV/0!</v>
      </c>
    </row>
    <row r="73" spans="1:26" ht="15.75" x14ac:dyDescent="0.25">
      <c r="A73" s="245">
        <v>2</v>
      </c>
      <c r="B73" s="246"/>
      <c r="C73" s="11" t="s">
        <v>70</v>
      </c>
      <c r="D73" s="11" t="s">
        <v>48</v>
      </c>
      <c r="E73" s="10">
        <v>30</v>
      </c>
      <c r="F73" s="11"/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5">
        <v>0</v>
      </c>
      <c r="W73" s="15" t="e">
        <v>#DIV/0!</v>
      </c>
      <c r="X73" s="15" t="e">
        <v>#DIV/0!</v>
      </c>
      <c r="Y73" s="14" t="e">
        <v>#DIV/0!</v>
      </c>
      <c r="Z73" s="15" t="e">
        <v>#DIV/0!</v>
      </c>
    </row>
    <row r="74" spans="1:26" ht="15.75" x14ac:dyDescent="0.25">
      <c r="A74" s="247"/>
      <c r="B74" s="246"/>
      <c r="C74" s="17" t="s">
        <v>70</v>
      </c>
      <c r="D74" s="17"/>
      <c r="E74" s="10">
        <v>30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20">
        <v>0</v>
      </c>
      <c r="W74" s="20" t="e">
        <v>#DIV/0!</v>
      </c>
      <c r="X74" s="20" t="e">
        <v>#DIV/0!</v>
      </c>
      <c r="Y74" s="20" t="e">
        <v>#DIV/0!</v>
      </c>
      <c r="Z74" s="20" t="e">
        <v>#DIV/0!</v>
      </c>
    </row>
    <row r="75" spans="1:26" ht="15.75" x14ac:dyDescent="0.25">
      <c r="A75" s="245">
        <v>3</v>
      </c>
      <c r="B75" s="246"/>
      <c r="C75" s="11" t="s">
        <v>63</v>
      </c>
      <c r="D75" s="11"/>
      <c r="E75" s="10">
        <v>30</v>
      </c>
      <c r="F75" s="11"/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5">
        <v>0</v>
      </c>
      <c r="W75" s="35" t="e">
        <v>#DIV/0!</v>
      </c>
      <c r="X75" s="35" t="e">
        <v>#DIV/0!</v>
      </c>
      <c r="Y75" s="36" t="e">
        <v>#DIV/0!</v>
      </c>
      <c r="Z75" s="35" t="e">
        <v>#DIV/0!</v>
      </c>
    </row>
    <row r="76" spans="1:26" ht="15.75" x14ac:dyDescent="0.25">
      <c r="A76" s="247"/>
      <c r="B76" s="247"/>
      <c r="C76" s="17" t="s">
        <v>63</v>
      </c>
      <c r="D76" s="17"/>
      <c r="E76" s="10">
        <v>30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20">
        <v>0</v>
      </c>
      <c r="W76" s="37" t="e">
        <v>#DIV/0!</v>
      </c>
      <c r="X76" s="37" t="e">
        <v>#DIV/0!</v>
      </c>
      <c r="Y76" s="37" t="e">
        <v>#DIV/0!</v>
      </c>
      <c r="Z76" s="37" t="e">
        <v>#DIV/0!</v>
      </c>
    </row>
    <row r="77" spans="1:26" ht="15.75" x14ac:dyDescent="0.25">
      <c r="A77" s="105" t="s">
        <v>71</v>
      </c>
      <c r="B77" s="105"/>
      <c r="C77" s="105"/>
      <c r="D77" s="105"/>
      <c r="E77" s="10">
        <v>30</v>
      </c>
      <c r="F77" s="29">
        <v>0</v>
      </c>
      <c r="G77" s="29">
        <v>0</v>
      </c>
      <c r="H77" s="29">
        <v>0</v>
      </c>
      <c r="I77" s="29">
        <v>0</v>
      </c>
      <c r="J77" s="28">
        <v>0</v>
      </c>
      <c r="K77" s="29">
        <v>0</v>
      </c>
      <c r="L77" s="29">
        <v>0</v>
      </c>
      <c r="M77" s="28">
        <v>0</v>
      </c>
      <c r="N77" s="29">
        <v>0</v>
      </c>
      <c r="O77" s="29">
        <v>0</v>
      </c>
      <c r="P77" s="28">
        <v>0</v>
      </c>
      <c r="Q77" s="29">
        <v>0</v>
      </c>
      <c r="R77" s="29">
        <v>0</v>
      </c>
      <c r="S77" s="29">
        <v>0</v>
      </c>
      <c r="T77" s="28">
        <v>0</v>
      </c>
      <c r="U77" s="28">
        <v>0</v>
      </c>
      <c r="V77" s="30">
        <v>0</v>
      </c>
      <c r="W77" s="30" t="e">
        <v>#DIV/0!</v>
      </c>
      <c r="X77" s="30" t="e">
        <v>#DIV/0!</v>
      </c>
      <c r="Y77" s="30" t="e">
        <v>#DIV/0!</v>
      </c>
      <c r="Z77" s="30" t="e">
        <v>#DIV/0!</v>
      </c>
    </row>
    <row r="79" spans="1:26" ht="15" customHeight="1" x14ac:dyDescent="0.25">
      <c r="A79" s="243" t="s">
        <v>1</v>
      </c>
      <c r="B79" s="243" t="s">
        <v>2</v>
      </c>
      <c r="C79" s="240" t="s">
        <v>3</v>
      </c>
      <c r="D79" s="240" t="s">
        <v>4</v>
      </c>
      <c r="E79" s="244" t="s">
        <v>5</v>
      </c>
      <c r="F79" s="240" t="s">
        <v>6</v>
      </c>
      <c r="G79" s="240" t="s">
        <v>7</v>
      </c>
      <c r="H79" s="240" t="s">
        <v>8</v>
      </c>
      <c r="I79" s="244" t="s">
        <v>9</v>
      </c>
      <c r="J79" s="240" t="s">
        <v>10</v>
      </c>
      <c r="K79" s="240" t="s">
        <v>11</v>
      </c>
      <c r="L79" s="240" t="s">
        <v>12</v>
      </c>
      <c r="M79" s="240" t="s">
        <v>13</v>
      </c>
      <c r="N79" s="240" t="s">
        <v>14</v>
      </c>
      <c r="O79" s="240" t="s">
        <v>15</v>
      </c>
      <c r="P79" s="240" t="s">
        <v>16</v>
      </c>
      <c r="Q79" s="240" t="s">
        <v>17</v>
      </c>
      <c r="R79" s="240" t="s">
        <v>18</v>
      </c>
      <c r="S79" s="240" t="s">
        <v>19</v>
      </c>
      <c r="T79" s="240" t="s">
        <v>20</v>
      </c>
      <c r="U79" s="241" t="s">
        <v>21</v>
      </c>
      <c r="V79" s="8" t="s">
        <v>22</v>
      </c>
      <c r="W79" s="8" t="s">
        <v>23</v>
      </c>
      <c r="X79" s="8" t="s">
        <v>24</v>
      </c>
      <c r="Y79" s="8" t="s">
        <v>25</v>
      </c>
      <c r="Z79" s="8" t="s">
        <v>26</v>
      </c>
    </row>
    <row r="80" spans="1:26" ht="15" customHeight="1" x14ac:dyDescent="0.25">
      <c r="A80" s="243"/>
      <c r="B80" s="243"/>
      <c r="C80" s="240"/>
      <c r="D80" s="240"/>
      <c r="E80" s="244"/>
      <c r="F80" s="240"/>
      <c r="G80" s="240"/>
      <c r="H80" s="240"/>
      <c r="I80" s="244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1"/>
      <c r="V80" s="238" t="s">
        <v>27</v>
      </c>
      <c r="W80" s="238" t="s">
        <v>28</v>
      </c>
      <c r="X80" s="238" t="s">
        <v>29</v>
      </c>
      <c r="Y80" s="238" t="s">
        <v>30</v>
      </c>
      <c r="Z80" s="238" t="s">
        <v>31</v>
      </c>
    </row>
    <row r="81" spans="1:28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42"/>
      <c r="W81" s="238"/>
      <c r="X81" s="238"/>
      <c r="Y81" s="238"/>
      <c r="Z81" s="238"/>
    </row>
    <row r="82" spans="1:28" x14ac:dyDescent="0.25">
      <c r="A82" s="243"/>
      <c r="B82" s="243"/>
      <c r="C82" s="240"/>
      <c r="D82" s="240"/>
      <c r="E82" s="244"/>
      <c r="F82" s="240"/>
      <c r="G82" s="9">
        <v>1</v>
      </c>
      <c r="H82" s="9">
        <v>2</v>
      </c>
      <c r="I82" s="9">
        <v>3</v>
      </c>
      <c r="J82" s="9">
        <v>4</v>
      </c>
      <c r="K82" s="9">
        <v>5</v>
      </c>
      <c r="L82" s="9">
        <v>6</v>
      </c>
      <c r="M82" s="9">
        <v>7</v>
      </c>
      <c r="N82" s="9">
        <v>8</v>
      </c>
      <c r="O82" s="9">
        <v>9</v>
      </c>
      <c r="P82" s="9">
        <v>10</v>
      </c>
      <c r="Q82" s="9">
        <v>11</v>
      </c>
      <c r="R82" s="9">
        <v>12</v>
      </c>
      <c r="S82" s="9">
        <v>13</v>
      </c>
      <c r="T82" s="9">
        <v>14</v>
      </c>
      <c r="U82" s="241"/>
      <c r="V82" s="58">
        <v>15</v>
      </c>
      <c r="W82" s="58">
        <v>16</v>
      </c>
      <c r="X82" s="58">
        <v>17</v>
      </c>
      <c r="Y82" s="58">
        <v>18</v>
      </c>
      <c r="Z82" s="58">
        <v>19</v>
      </c>
    </row>
    <row r="83" spans="1:28" ht="15.75" x14ac:dyDescent="0.25">
      <c r="A83" s="245">
        <v>1</v>
      </c>
      <c r="B83" s="245" t="s">
        <v>72</v>
      </c>
      <c r="C83" s="10" t="s">
        <v>69</v>
      </c>
      <c r="D83" s="10" t="s">
        <v>38</v>
      </c>
      <c r="E83" s="10">
        <v>30</v>
      </c>
      <c r="F83" s="10">
        <v>30</v>
      </c>
      <c r="G83" s="10">
        <v>28</v>
      </c>
      <c r="H83" s="10">
        <v>194</v>
      </c>
      <c r="I83" s="10">
        <v>20</v>
      </c>
      <c r="J83" s="11">
        <v>242</v>
      </c>
      <c r="K83" s="10">
        <v>95</v>
      </c>
      <c r="L83" s="10">
        <v>118</v>
      </c>
      <c r="M83" s="11">
        <v>7</v>
      </c>
      <c r="N83" s="10">
        <v>5</v>
      </c>
      <c r="O83" s="10">
        <v>2</v>
      </c>
      <c r="P83" s="11">
        <v>220</v>
      </c>
      <c r="Q83" s="10">
        <v>701</v>
      </c>
      <c r="R83" s="10">
        <v>0</v>
      </c>
      <c r="S83" s="10">
        <v>719</v>
      </c>
      <c r="T83" s="11">
        <v>22</v>
      </c>
      <c r="U83" s="11">
        <v>125</v>
      </c>
      <c r="V83" s="15">
        <v>23.966666666666665</v>
      </c>
      <c r="W83" s="15">
        <v>79.888888888888886</v>
      </c>
      <c r="X83" s="15">
        <v>5.7519999999999998</v>
      </c>
      <c r="Y83" s="14">
        <v>1.4480000000000004</v>
      </c>
      <c r="Z83" s="15">
        <v>4.166666666666667</v>
      </c>
    </row>
    <row r="84" spans="1:28" ht="15.75" x14ac:dyDescent="0.25">
      <c r="A84" s="247"/>
      <c r="B84" s="246"/>
      <c r="C84" s="17" t="s">
        <v>69</v>
      </c>
      <c r="D84" s="17"/>
      <c r="E84" s="10">
        <v>30</v>
      </c>
      <c r="F84" s="41">
        <v>30</v>
      </c>
      <c r="G84" s="17">
        <v>28</v>
      </c>
      <c r="H84" s="17">
        <v>194</v>
      </c>
      <c r="I84" s="17">
        <v>20</v>
      </c>
      <c r="J84" s="17">
        <v>242</v>
      </c>
      <c r="K84" s="17">
        <v>95</v>
      </c>
      <c r="L84" s="17">
        <v>118</v>
      </c>
      <c r="M84" s="17">
        <v>7</v>
      </c>
      <c r="N84" s="17">
        <v>5</v>
      </c>
      <c r="O84" s="17">
        <v>2</v>
      </c>
      <c r="P84" s="17">
        <v>220</v>
      </c>
      <c r="Q84" s="17">
        <v>701</v>
      </c>
      <c r="R84" s="17">
        <v>0</v>
      </c>
      <c r="S84" s="17">
        <v>719</v>
      </c>
      <c r="T84" s="17">
        <v>22</v>
      </c>
      <c r="U84" s="17">
        <v>125</v>
      </c>
      <c r="V84" s="20">
        <v>23.966666666666665</v>
      </c>
      <c r="W84" s="20">
        <v>79.888888888888886</v>
      </c>
      <c r="X84" s="20">
        <v>5.7519999999999998</v>
      </c>
      <c r="Y84" s="20">
        <v>1.4480000000000004</v>
      </c>
      <c r="Z84" s="20">
        <v>4.166666666666667</v>
      </c>
    </row>
    <row r="85" spans="1:28" ht="15.75" x14ac:dyDescent="0.25">
      <c r="A85" s="141"/>
      <c r="B85" s="246"/>
      <c r="C85" s="144"/>
      <c r="D85" s="11" t="s">
        <v>55</v>
      </c>
      <c r="E85" s="10">
        <v>30</v>
      </c>
      <c r="F85" s="11"/>
      <c r="G85" s="11">
        <v>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5"/>
      <c r="X85" s="15"/>
      <c r="Y85" s="15"/>
      <c r="Z85" s="15"/>
    </row>
    <row r="86" spans="1:28" ht="15.75" x14ac:dyDescent="0.25">
      <c r="A86" s="245">
        <v>2</v>
      </c>
      <c r="B86" s="246"/>
      <c r="C86" s="248" t="s">
        <v>73</v>
      </c>
      <c r="D86" s="10" t="s">
        <v>48</v>
      </c>
      <c r="E86" s="10">
        <v>30</v>
      </c>
      <c r="F86" s="10"/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5">
        <v>0</v>
      </c>
      <c r="W86" s="15" t="e">
        <v>#DIV/0!</v>
      </c>
      <c r="X86" s="15" t="e">
        <v>#DIV/0!</v>
      </c>
      <c r="Y86" s="14" t="e">
        <v>#DIV/0!</v>
      </c>
      <c r="Z86" s="15" t="e">
        <v>#DIV/0!</v>
      </c>
    </row>
    <row r="87" spans="1:28" ht="15.75" x14ac:dyDescent="0.25">
      <c r="A87" s="246"/>
      <c r="B87" s="246"/>
      <c r="C87" s="249"/>
      <c r="D87" s="10" t="s">
        <v>38</v>
      </c>
      <c r="E87" s="10">
        <v>30</v>
      </c>
      <c r="F87" s="10"/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5">
        <v>0</v>
      </c>
      <c r="W87" s="15" t="e">
        <v>#DIV/0!</v>
      </c>
      <c r="X87" s="15" t="e">
        <v>#DIV/0!</v>
      </c>
      <c r="Y87" s="14" t="e">
        <v>#DIV/0!</v>
      </c>
      <c r="Z87" s="15" t="e">
        <v>#DIV/0!</v>
      </c>
    </row>
    <row r="88" spans="1:28" ht="15.75" x14ac:dyDescent="0.25">
      <c r="A88" s="246"/>
      <c r="B88" s="246"/>
      <c r="C88" s="250"/>
      <c r="D88" s="10" t="s">
        <v>34</v>
      </c>
      <c r="E88" s="10">
        <v>30</v>
      </c>
      <c r="F88" s="10"/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5">
        <v>0</v>
      </c>
      <c r="W88" s="15" t="e">
        <v>#DIV/0!</v>
      </c>
      <c r="X88" s="15" t="e">
        <v>#DIV/0!</v>
      </c>
      <c r="Y88" s="14" t="e">
        <v>#DIV/0!</v>
      </c>
      <c r="Z88" s="15" t="e">
        <v>#DIV/0!</v>
      </c>
    </row>
    <row r="89" spans="1:28" ht="15.75" x14ac:dyDescent="0.25">
      <c r="A89" s="247"/>
      <c r="B89" s="247"/>
      <c r="C89" s="17" t="s">
        <v>73</v>
      </c>
      <c r="D89" s="17"/>
      <c r="E89" s="10">
        <v>30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20">
        <v>0</v>
      </c>
      <c r="W89" s="20" t="e">
        <v>#DIV/0!</v>
      </c>
      <c r="X89" s="20" t="e">
        <v>#DIV/0!</v>
      </c>
      <c r="Y89" s="20" t="e">
        <v>#DIV/0!</v>
      </c>
      <c r="Z89" s="20" t="e">
        <v>#DIV/0!</v>
      </c>
    </row>
    <row r="90" spans="1:28" ht="15.75" x14ac:dyDescent="0.25">
      <c r="A90" s="204" t="s">
        <v>74</v>
      </c>
      <c r="B90" s="105"/>
      <c r="C90" s="105"/>
      <c r="D90" s="105"/>
      <c r="E90" s="10">
        <v>30</v>
      </c>
      <c r="F90" s="29">
        <v>30</v>
      </c>
      <c r="G90" s="29">
        <v>28</v>
      </c>
      <c r="H90" s="29">
        <v>194</v>
      </c>
      <c r="I90" s="29">
        <v>20</v>
      </c>
      <c r="J90" s="28">
        <v>242</v>
      </c>
      <c r="K90" s="29">
        <v>95</v>
      </c>
      <c r="L90" s="29">
        <v>118</v>
      </c>
      <c r="M90" s="28">
        <v>7</v>
      </c>
      <c r="N90" s="29">
        <v>5</v>
      </c>
      <c r="O90" s="29">
        <v>2</v>
      </c>
      <c r="P90" s="28">
        <v>220</v>
      </c>
      <c r="Q90" s="29">
        <v>701</v>
      </c>
      <c r="R90" s="29">
        <v>0</v>
      </c>
      <c r="S90" s="29">
        <v>719</v>
      </c>
      <c r="T90" s="28">
        <v>22</v>
      </c>
      <c r="U90" s="28">
        <v>125</v>
      </c>
      <c r="V90" s="29">
        <v>23.966666666666665</v>
      </c>
      <c r="W90" s="30">
        <v>79.888888888888886</v>
      </c>
      <c r="X90" s="30">
        <v>5.7519999999999998</v>
      </c>
      <c r="Y90" s="30">
        <v>1.4480000000000004</v>
      </c>
      <c r="Z90" s="30">
        <v>4.166666666666667</v>
      </c>
    </row>
    <row r="91" spans="1:28" ht="15.75" x14ac:dyDescent="0.25">
      <c r="A91" s="31"/>
      <c r="D91" s="32"/>
      <c r="E91" s="10"/>
    </row>
    <row r="92" spans="1:28" ht="15" customHeight="1" x14ac:dyDescent="0.25">
      <c r="A92" s="243" t="s">
        <v>1</v>
      </c>
      <c r="B92" s="243" t="s">
        <v>2</v>
      </c>
      <c r="C92" s="240" t="s">
        <v>3</v>
      </c>
      <c r="D92" s="240" t="s">
        <v>4</v>
      </c>
      <c r="E92" s="244" t="s">
        <v>5</v>
      </c>
      <c r="F92" s="240" t="s">
        <v>6</v>
      </c>
      <c r="G92" s="240" t="s">
        <v>7</v>
      </c>
      <c r="H92" s="240" t="s">
        <v>8</v>
      </c>
      <c r="I92" s="244" t="s">
        <v>9</v>
      </c>
      <c r="J92" s="240" t="s">
        <v>10</v>
      </c>
      <c r="K92" s="240" t="s">
        <v>11</v>
      </c>
      <c r="L92" s="240" t="s">
        <v>12</v>
      </c>
      <c r="M92" s="240" t="s">
        <v>13</v>
      </c>
      <c r="N92" s="240" t="s">
        <v>14</v>
      </c>
      <c r="O92" s="240" t="s">
        <v>15</v>
      </c>
      <c r="P92" s="240" t="s">
        <v>16</v>
      </c>
      <c r="Q92" s="240" t="s">
        <v>17</v>
      </c>
      <c r="R92" s="240" t="s">
        <v>18</v>
      </c>
      <c r="S92" s="240" t="s">
        <v>19</v>
      </c>
      <c r="T92" s="240" t="s">
        <v>20</v>
      </c>
      <c r="U92" s="241" t="s">
        <v>21</v>
      </c>
      <c r="V92" s="8" t="s">
        <v>22</v>
      </c>
      <c r="W92" s="8" t="s">
        <v>23</v>
      </c>
      <c r="X92" s="8" t="s">
        <v>24</v>
      </c>
      <c r="Y92" s="8" t="s">
        <v>25</v>
      </c>
      <c r="Z92" s="8" t="s">
        <v>26</v>
      </c>
    </row>
    <row r="93" spans="1:28" ht="15" customHeight="1" x14ac:dyDescent="0.25">
      <c r="A93" s="243"/>
      <c r="B93" s="243"/>
      <c r="C93" s="240"/>
      <c r="D93" s="240"/>
      <c r="E93" s="244"/>
      <c r="F93" s="240"/>
      <c r="G93" s="240"/>
      <c r="H93" s="240"/>
      <c r="I93" s="244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1"/>
      <c r="V93" s="238" t="s">
        <v>27</v>
      </c>
      <c r="W93" s="238" t="s">
        <v>28</v>
      </c>
      <c r="X93" s="238" t="s">
        <v>29</v>
      </c>
      <c r="Y93" s="238" t="s">
        <v>30</v>
      </c>
      <c r="Z93" s="238" t="s">
        <v>31</v>
      </c>
    </row>
    <row r="94" spans="1:28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42"/>
      <c r="W94" s="238"/>
      <c r="X94" s="238"/>
      <c r="Y94" s="238"/>
      <c r="Z94" s="238"/>
    </row>
    <row r="95" spans="1:28" x14ac:dyDescent="0.25">
      <c r="A95" s="243"/>
      <c r="B95" s="243"/>
      <c r="C95" s="240"/>
      <c r="D95" s="240"/>
      <c r="E95" s="244"/>
      <c r="F95" s="240"/>
      <c r="G95" s="9">
        <v>1</v>
      </c>
      <c r="H95" s="9">
        <v>2</v>
      </c>
      <c r="I95" s="9">
        <v>3</v>
      </c>
      <c r="J95" s="9">
        <v>4</v>
      </c>
      <c r="K95" s="9">
        <v>5</v>
      </c>
      <c r="L95" s="9">
        <v>6</v>
      </c>
      <c r="M95" s="9">
        <v>7</v>
      </c>
      <c r="N95" s="9">
        <v>8</v>
      </c>
      <c r="O95" s="9">
        <v>9</v>
      </c>
      <c r="P95" s="9">
        <v>10</v>
      </c>
      <c r="Q95" s="9">
        <v>11</v>
      </c>
      <c r="R95" s="9">
        <v>12</v>
      </c>
      <c r="S95" s="9">
        <v>13</v>
      </c>
      <c r="T95" s="9">
        <v>14</v>
      </c>
      <c r="U95" s="241"/>
      <c r="V95" s="58">
        <v>15</v>
      </c>
      <c r="W95" s="58">
        <v>16</v>
      </c>
      <c r="X95" s="58">
        <v>17</v>
      </c>
      <c r="Y95" s="58">
        <v>18</v>
      </c>
      <c r="Z95" s="58">
        <v>19</v>
      </c>
    </row>
    <row r="96" spans="1:28" ht="15.75" x14ac:dyDescent="0.25">
      <c r="A96" s="245">
        <v>1</v>
      </c>
      <c r="B96" s="195" t="s">
        <v>75</v>
      </c>
      <c r="C96" s="10" t="s">
        <v>76</v>
      </c>
      <c r="D96" s="10" t="s">
        <v>48</v>
      </c>
      <c r="E96" s="10">
        <v>30</v>
      </c>
      <c r="F96" s="10">
        <v>14</v>
      </c>
      <c r="G96" s="11">
        <v>10</v>
      </c>
      <c r="H96" s="11">
        <v>11</v>
      </c>
      <c r="I96" s="11">
        <v>111</v>
      </c>
      <c r="J96" s="11">
        <v>132</v>
      </c>
      <c r="K96" s="11">
        <v>103</v>
      </c>
      <c r="L96" s="11">
        <v>0</v>
      </c>
      <c r="M96" s="11">
        <v>18</v>
      </c>
      <c r="N96" s="11">
        <v>5</v>
      </c>
      <c r="O96" s="11">
        <v>13</v>
      </c>
      <c r="P96" s="11">
        <v>121</v>
      </c>
      <c r="Q96" s="11">
        <v>114</v>
      </c>
      <c r="R96" s="11">
        <v>0</v>
      </c>
      <c r="S96" s="11">
        <v>305</v>
      </c>
      <c r="T96" s="11">
        <v>11</v>
      </c>
      <c r="U96" s="11">
        <v>18</v>
      </c>
      <c r="V96" s="15">
        <v>10.166666666666666</v>
      </c>
      <c r="W96" s="15">
        <v>72.61904761904762</v>
      </c>
      <c r="X96" s="15">
        <v>16.944444444444443</v>
      </c>
      <c r="Y96" s="14">
        <v>6.3888888888888893</v>
      </c>
      <c r="Z96" s="15">
        <v>1.2857142857142858</v>
      </c>
      <c r="AB96">
        <f>+S97+S99+S105</f>
        <v>481</v>
      </c>
    </row>
    <row r="97" spans="1:26" ht="15.75" x14ac:dyDescent="0.25">
      <c r="A97" s="247"/>
      <c r="B97" s="196"/>
      <c r="C97" s="17" t="s">
        <v>76</v>
      </c>
      <c r="D97" s="17" t="s">
        <v>48</v>
      </c>
      <c r="E97" s="10">
        <v>30</v>
      </c>
      <c r="F97" s="17">
        <v>14</v>
      </c>
      <c r="G97" s="17">
        <v>10</v>
      </c>
      <c r="H97" s="17">
        <v>11</v>
      </c>
      <c r="I97" s="17">
        <v>111</v>
      </c>
      <c r="J97" s="17">
        <v>132</v>
      </c>
      <c r="K97" s="17">
        <v>103</v>
      </c>
      <c r="L97" s="17">
        <v>0</v>
      </c>
      <c r="M97" s="17">
        <v>18</v>
      </c>
      <c r="N97" s="17">
        <v>5</v>
      </c>
      <c r="O97" s="17">
        <v>13</v>
      </c>
      <c r="P97" s="17">
        <v>121</v>
      </c>
      <c r="Q97" s="17">
        <v>114</v>
      </c>
      <c r="R97" s="17">
        <v>0</v>
      </c>
      <c r="S97" s="17">
        <v>305</v>
      </c>
      <c r="T97" s="17">
        <v>11</v>
      </c>
      <c r="U97" s="17">
        <v>18</v>
      </c>
      <c r="V97" s="20">
        <v>10.166666666666666</v>
      </c>
      <c r="W97" s="20">
        <v>72.61904761904762</v>
      </c>
      <c r="X97" s="20">
        <v>16.944444444444443</v>
      </c>
      <c r="Y97" s="20">
        <v>6.3888888888888893</v>
      </c>
      <c r="Z97" s="20">
        <v>1.2857142857142858</v>
      </c>
    </row>
    <row r="98" spans="1:26" ht="15.75" x14ac:dyDescent="0.25">
      <c r="A98" s="245">
        <v>2</v>
      </c>
      <c r="B98" s="196"/>
      <c r="C98" s="10" t="s">
        <v>77</v>
      </c>
      <c r="D98" s="10" t="s">
        <v>48</v>
      </c>
      <c r="E98" s="10">
        <v>30</v>
      </c>
      <c r="F98" s="10">
        <v>5</v>
      </c>
      <c r="G98" s="11">
        <v>5</v>
      </c>
      <c r="H98" s="11">
        <v>64</v>
      </c>
      <c r="I98" s="11">
        <v>8</v>
      </c>
      <c r="J98" s="11">
        <v>77</v>
      </c>
      <c r="K98" s="11">
        <v>65</v>
      </c>
      <c r="L98" s="11">
        <v>0</v>
      </c>
      <c r="M98" s="11">
        <v>9</v>
      </c>
      <c r="N98" s="11">
        <v>8</v>
      </c>
      <c r="O98" s="11">
        <v>1</v>
      </c>
      <c r="P98" s="11">
        <v>74</v>
      </c>
      <c r="Q98" s="11">
        <v>13</v>
      </c>
      <c r="R98" s="11">
        <v>3</v>
      </c>
      <c r="S98" s="11">
        <v>105</v>
      </c>
      <c r="T98" s="11">
        <v>3</v>
      </c>
      <c r="U98" s="11">
        <v>9</v>
      </c>
      <c r="V98" s="15">
        <v>3.5</v>
      </c>
      <c r="W98" s="15">
        <v>70</v>
      </c>
      <c r="X98" s="15">
        <v>11.666666666666666</v>
      </c>
      <c r="Y98" s="14">
        <v>5</v>
      </c>
      <c r="Z98" s="15">
        <v>1.8</v>
      </c>
    </row>
    <row r="99" spans="1:26" ht="15.75" x14ac:dyDescent="0.25">
      <c r="A99" s="247"/>
      <c r="B99" s="196"/>
      <c r="C99" s="17" t="s">
        <v>77</v>
      </c>
      <c r="D99" s="17" t="s">
        <v>48</v>
      </c>
      <c r="E99" s="10">
        <v>30</v>
      </c>
      <c r="F99" s="17">
        <v>5</v>
      </c>
      <c r="G99" s="17">
        <v>5</v>
      </c>
      <c r="H99" s="17">
        <v>64</v>
      </c>
      <c r="I99" s="17">
        <v>8</v>
      </c>
      <c r="J99" s="17">
        <v>77</v>
      </c>
      <c r="K99" s="17">
        <v>65</v>
      </c>
      <c r="L99" s="17">
        <v>0</v>
      </c>
      <c r="M99" s="17">
        <v>9</v>
      </c>
      <c r="N99" s="17">
        <v>8</v>
      </c>
      <c r="O99" s="17">
        <v>1</v>
      </c>
      <c r="P99" s="17">
        <v>74</v>
      </c>
      <c r="Q99" s="17">
        <v>13</v>
      </c>
      <c r="R99" s="17">
        <v>3</v>
      </c>
      <c r="S99" s="17">
        <v>105</v>
      </c>
      <c r="T99" s="17">
        <v>3</v>
      </c>
      <c r="U99" s="17">
        <v>9</v>
      </c>
      <c r="V99" s="20">
        <v>3.5</v>
      </c>
      <c r="W99" s="20">
        <v>70</v>
      </c>
      <c r="X99" s="20">
        <v>11.666666666666666</v>
      </c>
      <c r="Y99" s="20">
        <v>5</v>
      </c>
      <c r="Z99" s="20">
        <v>1.8</v>
      </c>
    </row>
    <row r="100" spans="1:26" ht="15.75" x14ac:dyDescent="0.25">
      <c r="A100" s="245">
        <v>3</v>
      </c>
      <c r="B100" s="196"/>
      <c r="C100" s="10" t="s">
        <v>78</v>
      </c>
      <c r="D100" s="10" t="s">
        <v>48</v>
      </c>
      <c r="E100" s="10">
        <v>30</v>
      </c>
      <c r="F100" s="10">
        <v>3</v>
      </c>
      <c r="G100" s="43">
        <v>3</v>
      </c>
      <c r="H100" s="43">
        <v>4</v>
      </c>
      <c r="I100" s="43">
        <v>18</v>
      </c>
      <c r="J100" s="11">
        <v>25</v>
      </c>
      <c r="K100" s="43">
        <v>20</v>
      </c>
      <c r="L100" s="43">
        <v>0</v>
      </c>
      <c r="M100" s="11">
        <v>4</v>
      </c>
      <c r="N100" s="43">
        <v>1</v>
      </c>
      <c r="O100" s="43">
        <v>3</v>
      </c>
      <c r="P100" s="11">
        <v>24</v>
      </c>
      <c r="Q100" s="43">
        <v>23</v>
      </c>
      <c r="R100" s="43">
        <v>0</v>
      </c>
      <c r="S100" s="43">
        <v>67</v>
      </c>
      <c r="T100" s="11">
        <v>1</v>
      </c>
      <c r="U100" s="11">
        <v>4</v>
      </c>
      <c r="V100" s="15">
        <v>2.2333333333333334</v>
      </c>
      <c r="W100" s="15">
        <v>74.444444444444443</v>
      </c>
      <c r="X100" s="15">
        <v>16.75</v>
      </c>
      <c r="Y100" s="14">
        <v>5.75</v>
      </c>
      <c r="Z100" s="15">
        <v>1.3333333333333333</v>
      </c>
    </row>
    <row r="101" spans="1:26" ht="15.75" x14ac:dyDescent="0.25">
      <c r="A101" s="247"/>
      <c r="B101" s="196"/>
      <c r="C101" s="17" t="s">
        <v>78</v>
      </c>
      <c r="D101" s="17" t="s">
        <v>48</v>
      </c>
      <c r="E101" s="10">
        <v>30</v>
      </c>
      <c r="F101" s="17">
        <v>3</v>
      </c>
      <c r="G101" s="17">
        <v>3</v>
      </c>
      <c r="H101" s="17">
        <v>4</v>
      </c>
      <c r="I101" s="17">
        <v>18</v>
      </c>
      <c r="J101" s="17">
        <v>25</v>
      </c>
      <c r="K101" s="17">
        <v>20</v>
      </c>
      <c r="L101" s="17">
        <v>0</v>
      </c>
      <c r="M101" s="17">
        <v>4</v>
      </c>
      <c r="N101" s="17">
        <v>1</v>
      </c>
      <c r="O101" s="17">
        <v>3</v>
      </c>
      <c r="P101" s="17">
        <v>24</v>
      </c>
      <c r="Q101" s="17">
        <v>23</v>
      </c>
      <c r="R101" s="17">
        <v>0</v>
      </c>
      <c r="S101" s="17">
        <v>67</v>
      </c>
      <c r="T101" s="17">
        <v>1</v>
      </c>
      <c r="U101" s="17">
        <v>4</v>
      </c>
      <c r="V101" s="20">
        <v>2.2333333333333334</v>
      </c>
      <c r="W101" s="20">
        <v>74.444444444444443</v>
      </c>
      <c r="X101" s="20">
        <v>16.75</v>
      </c>
      <c r="Y101" s="20">
        <v>5.75</v>
      </c>
      <c r="Z101" s="20">
        <v>1.3333333333333333</v>
      </c>
    </row>
    <row r="102" spans="1:26" ht="15.75" x14ac:dyDescent="0.25">
      <c r="A102" s="245">
        <v>4</v>
      </c>
      <c r="B102" s="196"/>
      <c r="C102" s="11" t="s">
        <v>79</v>
      </c>
      <c r="D102" s="11" t="s">
        <v>48</v>
      </c>
      <c r="E102" s="10">
        <v>30</v>
      </c>
      <c r="F102" s="11">
        <v>5</v>
      </c>
      <c r="G102" s="11">
        <v>5</v>
      </c>
      <c r="H102" s="11">
        <v>17</v>
      </c>
      <c r="I102" s="11">
        <v>18</v>
      </c>
      <c r="J102" s="11">
        <v>40</v>
      </c>
      <c r="K102" s="11">
        <v>21</v>
      </c>
      <c r="L102" s="11">
        <v>0</v>
      </c>
      <c r="M102" s="11">
        <v>15</v>
      </c>
      <c r="N102" s="11">
        <v>7</v>
      </c>
      <c r="O102" s="11">
        <v>8</v>
      </c>
      <c r="P102" s="11">
        <v>36</v>
      </c>
      <c r="Q102" s="11">
        <v>93</v>
      </c>
      <c r="R102" s="11">
        <v>4</v>
      </c>
      <c r="S102" s="11">
        <v>126</v>
      </c>
      <c r="T102" s="11">
        <v>4</v>
      </c>
      <c r="U102" s="11">
        <v>15</v>
      </c>
      <c r="V102" s="15">
        <v>4.2</v>
      </c>
      <c r="W102" s="15">
        <v>84.000000000000014</v>
      </c>
      <c r="X102" s="15">
        <v>8.4</v>
      </c>
      <c r="Y102" s="14">
        <v>1.5999999999999994</v>
      </c>
      <c r="Z102" s="15">
        <v>3</v>
      </c>
    </row>
    <row r="103" spans="1:26" ht="15.75" x14ac:dyDescent="0.25">
      <c r="A103" s="247"/>
      <c r="B103" s="196"/>
      <c r="C103" s="17" t="s">
        <v>79</v>
      </c>
      <c r="D103" s="17" t="s">
        <v>48</v>
      </c>
      <c r="E103" s="10">
        <v>30</v>
      </c>
      <c r="F103" s="17">
        <v>5</v>
      </c>
      <c r="G103" s="17">
        <v>5</v>
      </c>
      <c r="H103" s="17">
        <v>17</v>
      </c>
      <c r="I103" s="17">
        <v>18</v>
      </c>
      <c r="J103" s="17">
        <v>40</v>
      </c>
      <c r="K103" s="17">
        <v>21</v>
      </c>
      <c r="L103" s="17">
        <v>0</v>
      </c>
      <c r="M103" s="17">
        <v>15</v>
      </c>
      <c r="N103" s="17">
        <v>7</v>
      </c>
      <c r="O103" s="17">
        <v>8</v>
      </c>
      <c r="P103" s="17">
        <v>36</v>
      </c>
      <c r="Q103" s="17">
        <v>93</v>
      </c>
      <c r="R103" s="17">
        <v>4</v>
      </c>
      <c r="S103" s="17">
        <v>126</v>
      </c>
      <c r="T103" s="17">
        <v>4</v>
      </c>
      <c r="U103" s="17">
        <v>15</v>
      </c>
      <c r="V103" s="20">
        <v>4.2</v>
      </c>
      <c r="W103" s="20">
        <v>84.000000000000014</v>
      </c>
      <c r="X103" s="20">
        <v>8.4</v>
      </c>
      <c r="Y103" s="20">
        <v>1.5999999999999994</v>
      </c>
      <c r="Z103" s="20">
        <v>3</v>
      </c>
    </row>
    <row r="104" spans="1:26" ht="15.75" x14ac:dyDescent="0.25">
      <c r="A104" s="245">
        <v>5</v>
      </c>
      <c r="B104" s="196"/>
      <c r="C104" s="11" t="s">
        <v>80</v>
      </c>
      <c r="D104" s="11" t="s">
        <v>48</v>
      </c>
      <c r="E104" s="10">
        <v>30</v>
      </c>
      <c r="F104" s="11">
        <v>4</v>
      </c>
      <c r="G104" s="11">
        <v>1</v>
      </c>
      <c r="H104" s="11">
        <v>21</v>
      </c>
      <c r="I104" s="11">
        <v>9</v>
      </c>
      <c r="J104" s="11">
        <v>31</v>
      </c>
      <c r="K104" s="11">
        <v>20</v>
      </c>
      <c r="L104" s="11">
        <v>0</v>
      </c>
      <c r="M104" s="11">
        <v>8</v>
      </c>
      <c r="N104" s="11">
        <v>5</v>
      </c>
      <c r="O104" s="11">
        <v>3</v>
      </c>
      <c r="P104" s="11">
        <v>28</v>
      </c>
      <c r="Q104" s="11">
        <v>39</v>
      </c>
      <c r="R104" s="11">
        <v>3</v>
      </c>
      <c r="S104" s="11">
        <v>71</v>
      </c>
      <c r="T104" s="11">
        <v>3</v>
      </c>
      <c r="U104" s="11">
        <v>8</v>
      </c>
      <c r="V104" s="15">
        <v>2.3666666666666667</v>
      </c>
      <c r="W104" s="15">
        <v>59.166666666666664</v>
      </c>
      <c r="X104" s="15">
        <v>8.875</v>
      </c>
      <c r="Y104" s="14">
        <v>6.125</v>
      </c>
      <c r="Z104" s="15">
        <v>2</v>
      </c>
    </row>
    <row r="105" spans="1:26" ht="15.75" x14ac:dyDescent="0.25">
      <c r="A105" s="247"/>
      <c r="B105" s="196"/>
      <c r="C105" s="17" t="s">
        <v>80</v>
      </c>
      <c r="D105" s="17" t="s">
        <v>48</v>
      </c>
      <c r="E105" s="10">
        <v>30</v>
      </c>
      <c r="F105" s="17">
        <v>4</v>
      </c>
      <c r="G105" s="17">
        <v>1</v>
      </c>
      <c r="H105" s="17">
        <v>21</v>
      </c>
      <c r="I105" s="17">
        <v>9</v>
      </c>
      <c r="J105" s="17">
        <v>31</v>
      </c>
      <c r="K105" s="17">
        <v>20</v>
      </c>
      <c r="L105" s="17">
        <v>0</v>
      </c>
      <c r="M105" s="17">
        <v>8</v>
      </c>
      <c r="N105" s="17">
        <v>5</v>
      </c>
      <c r="O105" s="17">
        <v>3</v>
      </c>
      <c r="P105" s="17">
        <v>28</v>
      </c>
      <c r="Q105" s="17">
        <v>39</v>
      </c>
      <c r="R105" s="17">
        <v>3</v>
      </c>
      <c r="S105" s="17">
        <v>71</v>
      </c>
      <c r="T105" s="17">
        <v>3</v>
      </c>
      <c r="U105" s="17">
        <v>8</v>
      </c>
      <c r="V105" s="20">
        <v>2.3666666666666667</v>
      </c>
      <c r="W105" s="20">
        <v>59.166666666666664</v>
      </c>
      <c r="X105" s="20">
        <v>8.875</v>
      </c>
      <c r="Y105" s="20">
        <v>6.125</v>
      </c>
      <c r="Z105" s="20">
        <v>2</v>
      </c>
    </row>
    <row r="106" spans="1:26" ht="15.75" x14ac:dyDescent="0.25">
      <c r="A106" s="245">
        <v>6</v>
      </c>
      <c r="B106" s="196"/>
      <c r="C106" s="11" t="s">
        <v>70</v>
      </c>
      <c r="D106" s="11" t="s">
        <v>48</v>
      </c>
      <c r="E106" s="10">
        <v>30</v>
      </c>
      <c r="F106" s="11">
        <v>2</v>
      </c>
      <c r="G106" s="11">
        <v>1</v>
      </c>
      <c r="H106" s="11">
        <v>10</v>
      </c>
      <c r="I106" s="11">
        <v>4</v>
      </c>
      <c r="J106" s="11">
        <v>15</v>
      </c>
      <c r="K106" s="11">
        <v>8</v>
      </c>
      <c r="L106" s="11">
        <v>0</v>
      </c>
      <c r="M106" s="11">
        <v>6</v>
      </c>
      <c r="N106" s="11">
        <v>2</v>
      </c>
      <c r="O106" s="11">
        <v>4</v>
      </c>
      <c r="P106" s="11">
        <v>14</v>
      </c>
      <c r="Q106" s="11">
        <v>20</v>
      </c>
      <c r="R106" s="11">
        <v>0</v>
      </c>
      <c r="S106" s="11">
        <v>36</v>
      </c>
      <c r="T106" s="11">
        <v>1</v>
      </c>
      <c r="U106" s="11">
        <v>6</v>
      </c>
      <c r="V106" s="44">
        <v>1.2</v>
      </c>
      <c r="W106" s="44">
        <v>60</v>
      </c>
      <c r="X106" s="44">
        <v>6</v>
      </c>
      <c r="Y106" s="45">
        <v>4</v>
      </c>
      <c r="Z106" s="44">
        <v>3</v>
      </c>
    </row>
    <row r="107" spans="1:26" ht="15.75" x14ac:dyDescent="0.25">
      <c r="A107" s="247"/>
      <c r="B107" s="196"/>
      <c r="C107" s="17" t="s">
        <v>70</v>
      </c>
      <c r="D107" s="17"/>
      <c r="E107" s="10">
        <v>30</v>
      </c>
      <c r="F107" s="17">
        <v>2</v>
      </c>
      <c r="G107" s="17">
        <v>1</v>
      </c>
      <c r="H107" s="17">
        <v>10</v>
      </c>
      <c r="I107" s="17">
        <v>4</v>
      </c>
      <c r="J107" s="17">
        <v>15</v>
      </c>
      <c r="K107" s="17">
        <v>8</v>
      </c>
      <c r="L107" s="17">
        <v>0</v>
      </c>
      <c r="M107" s="17">
        <v>6</v>
      </c>
      <c r="N107" s="17">
        <v>2</v>
      </c>
      <c r="O107" s="17">
        <v>4</v>
      </c>
      <c r="P107" s="17">
        <v>14</v>
      </c>
      <c r="Q107" s="17">
        <v>20</v>
      </c>
      <c r="R107" s="17">
        <v>0</v>
      </c>
      <c r="S107" s="17">
        <v>36</v>
      </c>
      <c r="T107" s="17">
        <v>1</v>
      </c>
      <c r="U107" s="17">
        <v>6</v>
      </c>
      <c r="V107" s="46">
        <v>1.2</v>
      </c>
      <c r="W107" s="46">
        <v>60</v>
      </c>
      <c r="X107" s="46">
        <v>6</v>
      </c>
      <c r="Y107" s="46">
        <v>4</v>
      </c>
      <c r="Z107" s="46">
        <v>3</v>
      </c>
    </row>
    <row r="108" spans="1:26" ht="15.75" x14ac:dyDescent="0.25">
      <c r="A108" s="245">
        <v>7</v>
      </c>
      <c r="B108" s="196"/>
      <c r="C108" s="11" t="s">
        <v>81</v>
      </c>
      <c r="D108" s="11" t="s">
        <v>48</v>
      </c>
      <c r="E108" s="10">
        <v>30</v>
      </c>
      <c r="F108" s="11"/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5">
        <v>0</v>
      </c>
      <c r="W108" s="15" t="e">
        <v>#DIV/0!</v>
      </c>
      <c r="X108" s="15" t="e">
        <v>#DIV/0!</v>
      </c>
      <c r="Y108" s="14" t="e">
        <v>#DIV/0!</v>
      </c>
      <c r="Z108" s="15" t="e">
        <v>#DIV/0!</v>
      </c>
    </row>
    <row r="109" spans="1:26" ht="15.75" x14ac:dyDescent="0.25">
      <c r="A109" s="247"/>
      <c r="B109" s="196"/>
      <c r="C109" s="17" t="s">
        <v>81</v>
      </c>
      <c r="D109" s="17" t="s">
        <v>48</v>
      </c>
      <c r="E109" s="10">
        <v>30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20">
        <v>0</v>
      </c>
      <c r="W109" s="20" t="e">
        <v>#DIV/0!</v>
      </c>
      <c r="X109" s="20" t="e">
        <v>#DIV/0!</v>
      </c>
      <c r="Y109" s="20" t="e">
        <v>#DIV/0!</v>
      </c>
      <c r="Z109" s="20" t="e">
        <v>#DIV/0!</v>
      </c>
    </row>
    <row r="110" spans="1:26" ht="15.75" x14ac:dyDescent="0.25">
      <c r="A110" s="245">
        <v>8</v>
      </c>
      <c r="B110" s="196"/>
      <c r="C110" s="11" t="s">
        <v>82</v>
      </c>
      <c r="D110" s="11" t="s">
        <v>38</v>
      </c>
      <c r="E110" s="10">
        <v>30</v>
      </c>
      <c r="F110" s="11"/>
      <c r="G110" s="11">
        <v>6</v>
      </c>
      <c r="H110" s="11">
        <v>312</v>
      </c>
      <c r="I110" s="11">
        <v>3</v>
      </c>
      <c r="J110" s="11">
        <v>321</v>
      </c>
      <c r="K110" s="11">
        <v>307</v>
      </c>
      <c r="L110" s="11">
        <v>0</v>
      </c>
      <c r="M110" s="11">
        <v>11</v>
      </c>
      <c r="N110" s="11">
        <v>11</v>
      </c>
      <c r="O110" s="11">
        <v>0</v>
      </c>
      <c r="P110" s="11">
        <v>318</v>
      </c>
      <c r="Q110" s="11">
        <v>11</v>
      </c>
      <c r="R110" s="11">
        <v>11</v>
      </c>
      <c r="S110" s="11">
        <v>151</v>
      </c>
      <c r="T110" s="11">
        <v>3</v>
      </c>
      <c r="U110" s="11">
        <v>11</v>
      </c>
      <c r="V110" s="15">
        <v>5.0333333333333332</v>
      </c>
      <c r="W110" s="15" t="e">
        <v>#DIV/0!</v>
      </c>
      <c r="X110" s="15">
        <v>13.727272727272727</v>
      </c>
      <c r="Y110" s="14">
        <v>-13.727272727272727</v>
      </c>
      <c r="Z110" s="15" t="e">
        <v>#DIV/0!</v>
      </c>
    </row>
    <row r="111" spans="1:26" ht="15.75" x14ac:dyDescent="0.25">
      <c r="A111" s="247"/>
      <c r="B111" s="196"/>
      <c r="C111" s="17" t="s">
        <v>82</v>
      </c>
      <c r="D111" s="17" t="s">
        <v>38</v>
      </c>
      <c r="E111" s="10">
        <v>30</v>
      </c>
      <c r="F111" s="17">
        <v>0</v>
      </c>
      <c r="G111" s="17">
        <v>6</v>
      </c>
      <c r="H111" s="17">
        <v>312</v>
      </c>
      <c r="I111" s="17">
        <v>3</v>
      </c>
      <c r="J111" s="17">
        <v>321</v>
      </c>
      <c r="K111" s="17">
        <v>307</v>
      </c>
      <c r="L111" s="17">
        <v>0</v>
      </c>
      <c r="M111" s="17">
        <v>11</v>
      </c>
      <c r="N111" s="17">
        <v>11</v>
      </c>
      <c r="O111" s="17">
        <v>0</v>
      </c>
      <c r="P111" s="17">
        <v>318</v>
      </c>
      <c r="Q111" s="17">
        <v>11</v>
      </c>
      <c r="R111" s="17">
        <v>11</v>
      </c>
      <c r="S111" s="17">
        <v>151</v>
      </c>
      <c r="T111" s="17">
        <v>3</v>
      </c>
      <c r="U111" s="17">
        <v>11</v>
      </c>
      <c r="V111" s="20">
        <v>5.0333333333333332</v>
      </c>
      <c r="W111" s="20" t="e">
        <v>#DIV/0!</v>
      </c>
      <c r="X111" s="20">
        <v>13.727272727272727</v>
      </c>
      <c r="Y111" s="20">
        <v>-13.727272727272727</v>
      </c>
      <c r="Z111" s="20" t="e">
        <v>#DIV/0!</v>
      </c>
    </row>
    <row r="112" spans="1:26" ht="15.75" x14ac:dyDescent="0.25">
      <c r="A112" s="245">
        <v>9</v>
      </c>
      <c r="B112" s="196"/>
      <c r="C112" s="11" t="s">
        <v>64</v>
      </c>
      <c r="D112" s="11" t="s">
        <v>83</v>
      </c>
      <c r="E112" s="10">
        <v>30</v>
      </c>
      <c r="F112" s="11"/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5">
        <v>0</v>
      </c>
      <c r="W112" s="35" t="e">
        <v>#DIV/0!</v>
      </c>
      <c r="X112" s="35" t="e">
        <v>#DIV/0!</v>
      </c>
      <c r="Y112" s="36" t="e">
        <v>#DIV/0!</v>
      </c>
      <c r="Z112" s="35" t="e">
        <v>#DIV/0!</v>
      </c>
    </row>
    <row r="113" spans="1:26" ht="15.75" x14ac:dyDescent="0.25">
      <c r="A113" s="247"/>
      <c r="B113" s="196"/>
      <c r="C113" s="17" t="s">
        <v>64</v>
      </c>
      <c r="D113" s="17" t="s">
        <v>83</v>
      </c>
      <c r="E113" s="10">
        <v>30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20">
        <v>0</v>
      </c>
      <c r="W113" s="20" t="e">
        <v>#DIV/0!</v>
      </c>
      <c r="X113" s="20" t="e">
        <v>#DIV/0!</v>
      </c>
      <c r="Y113" s="20" t="e">
        <v>#DIV/0!</v>
      </c>
      <c r="Z113" s="20" t="e">
        <v>#DIV/0!</v>
      </c>
    </row>
    <row r="114" spans="1:26" ht="15.75" x14ac:dyDescent="0.25">
      <c r="A114" s="245">
        <v>10</v>
      </c>
      <c r="B114" s="196"/>
      <c r="C114" s="10" t="s">
        <v>73</v>
      </c>
      <c r="D114" s="10" t="s">
        <v>83</v>
      </c>
      <c r="E114" s="10">
        <v>30</v>
      </c>
      <c r="F114" s="10"/>
      <c r="G114" s="10">
        <v>0</v>
      </c>
      <c r="H114" s="10">
        <v>0</v>
      </c>
      <c r="I114" s="10">
        <v>0</v>
      </c>
      <c r="J114" s="11">
        <v>0</v>
      </c>
      <c r="K114" s="10">
        <v>0</v>
      </c>
      <c r="L114" s="10">
        <v>0</v>
      </c>
      <c r="M114" s="11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1">
        <v>0</v>
      </c>
      <c r="V114" s="15">
        <v>0</v>
      </c>
      <c r="W114" s="35" t="e">
        <v>#DIV/0!</v>
      </c>
      <c r="X114" s="35" t="e">
        <v>#DIV/0!</v>
      </c>
      <c r="Y114" s="36" t="e">
        <v>#DIV/0!</v>
      </c>
      <c r="Z114" s="35" t="e">
        <v>#DIV/0!</v>
      </c>
    </row>
    <row r="115" spans="1:26" ht="15.75" x14ac:dyDescent="0.25">
      <c r="A115" s="247"/>
      <c r="B115" s="197"/>
      <c r="C115" s="17" t="s">
        <v>73</v>
      </c>
      <c r="D115" s="17" t="s">
        <v>83</v>
      </c>
      <c r="E115" s="10">
        <v>30</v>
      </c>
      <c r="F115" s="17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20">
        <v>0</v>
      </c>
      <c r="W115" s="20" t="e">
        <v>#DIV/0!</v>
      </c>
      <c r="X115" s="20" t="e">
        <v>#DIV/0!</v>
      </c>
      <c r="Y115" s="20" t="e">
        <v>#DIV/0!</v>
      </c>
      <c r="Z115" s="20" t="e">
        <v>#DIV/0!</v>
      </c>
    </row>
    <row r="116" spans="1:26" ht="15.75" x14ac:dyDescent="0.25">
      <c r="A116" s="232" t="s">
        <v>84</v>
      </c>
      <c r="B116" s="233"/>
      <c r="C116" s="233"/>
      <c r="D116" s="234"/>
      <c r="E116" s="10">
        <v>30</v>
      </c>
      <c r="F116" s="29">
        <v>33</v>
      </c>
      <c r="G116" s="29">
        <v>31</v>
      </c>
      <c r="H116" s="29">
        <v>439</v>
      </c>
      <c r="I116" s="29">
        <v>171</v>
      </c>
      <c r="J116" s="28">
        <v>641</v>
      </c>
      <c r="K116" s="29">
        <v>544</v>
      </c>
      <c r="L116" s="29">
        <v>0</v>
      </c>
      <c r="M116" s="28">
        <v>71</v>
      </c>
      <c r="N116" s="29">
        <v>39</v>
      </c>
      <c r="O116" s="29">
        <v>32</v>
      </c>
      <c r="P116" s="28">
        <v>615</v>
      </c>
      <c r="Q116" s="29">
        <v>313</v>
      </c>
      <c r="R116" s="29">
        <v>21</v>
      </c>
      <c r="S116" s="29">
        <v>861</v>
      </c>
      <c r="T116" s="28">
        <v>26</v>
      </c>
      <c r="U116" s="28">
        <v>71</v>
      </c>
      <c r="V116" s="47">
        <v>28.7</v>
      </c>
      <c r="W116" s="30">
        <v>86.969696969696969</v>
      </c>
      <c r="X116" s="30">
        <v>12.126760563380282</v>
      </c>
      <c r="Y116" s="30">
        <v>1.8169014084507047</v>
      </c>
      <c r="Z116" s="30">
        <v>2.1515151515151514</v>
      </c>
    </row>
    <row r="117" spans="1:26" ht="15.75" x14ac:dyDescent="0.25">
      <c r="A117" s="235" t="s">
        <v>85</v>
      </c>
      <c r="B117" s="236"/>
      <c r="C117" s="236"/>
      <c r="D117" s="237"/>
      <c r="E117" s="10">
        <v>30</v>
      </c>
      <c r="F117" s="49">
        <v>388</v>
      </c>
      <c r="G117" s="49">
        <v>356</v>
      </c>
      <c r="H117" s="49">
        <v>3144</v>
      </c>
      <c r="I117" s="49">
        <v>840</v>
      </c>
      <c r="J117" s="48">
        <v>4340</v>
      </c>
      <c r="K117" s="49">
        <v>1119</v>
      </c>
      <c r="L117" s="49">
        <v>2652</v>
      </c>
      <c r="M117" s="48">
        <v>251</v>
      </c>
      <c r="N117" s="49">
        <v>128</v>
      </c>
      <c r="O117" s="49">
        <v>123</v>
      </c>
      <c r="P117" s="48">
        <v>4022</v>
      </c>
      <c r="Q117" s="49">
        <v>10568</v>
      </c>
      <c r="R117" s="49">
        <v>90</v>
      </c>
      <c r="S117" s="49">
        <v>10056</v>
      </c>
      <c r="T117" s="49">
        <v>318</v>
      </c>
      <c r="U117" s="48">
        <v>2903</v>
      </c>
      <c r="V117" s="50">
        <v>335.2</v>
      </c>
      <c r="W117" s="51">
        <v>86.391752577319579</v>
      </c>
      <c r="X117" s="51">
        <v>3.4640027557698931</v>
      </c>
      <c r="Y117" s="51">
        <v>0.54564243885635566</v>
      </c>
      <c r="Z117" s="51">
        <v>7.481958762886598</v>
      </c>
    </row>
    <row r="118" spans="1:26" ht="15.75" x14ac:dyDescent="0.25">
      <c r="E118" s="11">
        <v>30</v>
      </c>
      <c r="F118" s="26">
        <v>388</v>
      </c>
      <c r="G118" s="26">
        <f t="shared" ref="G118:V118" si="0">+G65+G90+G116</f>
        <v>356</v>
      </c>
      <c r="H118" s="26">
        <f t="shared" si="0"/>
        <v>3144</v>
      </c>
      <c r="I118" s="26">
        <f t="shared" si="0"/>
        <v>840</v>
      </c>
      <c r="J118" s="26">
        <f t="shared" si="0"/>
        <v>4340</v>
      </c>
      <c r="K118" s="26">
        <f t="shared" si="0"/>
        <v>1119</v>
      </c>
      <c r="L118" s="26">
        <f t="shared" si="0"/>
        <v>2652</v>
      </c>
      <c r="M118" s="26">
        <f t="shared" si="0"/>
        <v>251</v>
      </c>
      <c r="N118" s="26">
        <f t="shared" si="0"/>
        <v>128</v>
      </c>
      <c r="O118" s="26">
        <f t="shared" si="0"/>
        <v>123</v>
      </c>
      <c r="P118" s="26">
        <f t="shared" si="0"/>
        <v>4022</v>
      </c>
      <c r="Q118" s="26">
        <f t="shared" si="0"/>
        <v>10568</v>
      </c>
      <c r="R118" s="26">
        <f t="shared" si="0"/>
        <v>90</v>
      </c>
      <c r="S118" s="26">
        <f t="shared" si="0"/>
        <v>10056</v>
      </c>
      <c r="T118" s="26">
        <f t="shared" si="0"/>
        <v>318</v>
      </c>
      <c r="U118" s="26">
        <f t="shared" si="0"/>
        <v>2903</v>
      </c>
      <c r="V118" s="26">
        <f t="shared" si="0"/>
        <v>335.2</v>
      </c>
      <c r="W118" s="205">
        <v>86.391752577319579</v>
      </c>
      <c r="X118" s="205">
        <v>3.4640027557698931</v>
      </c>
      <c r="Y118" s="205">
        <v>0.54564243885635566</v>
      </c>
      <c r="Z118" s="205">
        <v>7.481958762886598</v>
      </c>
    </row>
    <row r="119" spans="1:26" x14ac:dyDescent="0.25">
      <c r="M119">
        <f>+M97+M99+M105</f>
        <v>35</v>
      </c>
    </row>
  </sheetData>
  <sheetProtection algorithmName="SHA-512" hashValue="xjwQTwNx+hiX99udEPh3OefcJtPfEO+oll0pi95tWY+d4wOYL33BBz4Y7x1IxLwj7CLVyiCu7OJ5EMfBLddsYQ==" saltValue="7rUXYQxcFNvxIln0ZEE/EQ==" spinCount="100000" sheet="1" objects="1" scenarios="1"/>
  <mergeCells count="144">
    <mergeCell ref="A116:D116"/>
    <mergeCell ref="A117:D117"/>
    <mergeCell ref="A104:A105"/>
    <mergeCell ref="A106:A107"/>
    <mergeCell ref="A108:A109"/>
    <mergeCell ref="A110:A111"/>
    <mergeCell ref="A112:A113"/>
    <mergeCell ref="A114:A115"/>
    <mergeCell ref="Y93:Y94"/>
    <mergeCell ref="B92:B95"/>
    <mergeCell ref="C92:C95"/>
    <mergeCell ref="D92:D95"/>
    <mergeCell ref="E92:E95"/>
    <mergeCell ref="F92:F95"/>
    <mergeCell ref="Z93:Z94"/>
    <mergeCell ref="A96:A97"/>
    <mergeCell ref="A98:A99"/>
    <mergeCell ref="A100:A101"/>
    <mergeCell ref="A102:A103"/>
    <mergeCell ref="S92:S94"/>
    <mergeCell ref="T92:T94"/>
    <mergeCell ref="U92:U95"/>
    <mergeCell ref="V93:V94"/>
    <mergeCell ref="W93:W94"/>
    <mergeCell ref="X93:X94"/>
    <mergeCell ref="M92:M94"/>
    <mergeCell ref="N92:N94"/>
    <mergeCell ref="O92:O94"/>
    <mergeCell ref="P92:P94"/>
    <mergeCell ref="Q92:Q94"/>
    <mergeCell ref="R92:R94"/>
    <mergeCell ref="G92:G94"/>
    <mergeCell ref="H92:H94"/>
    <mergeCell ref="I92:I94"/>
    <mergeCell ref="J92:J94"/>
    <mergeCell ref="K92:K94"/>
    <mergeCell ref="L92:L94"/>
    <mergeCell ref="A92:A95"/>
    <mergeCell ref="Y80:Y81"/>
    <mergeCell ref="Z80:Z81"/>
    <mergeCell ref="A83:A84"/>
    <mergeCell ref="B83:B89"/>
    <mergeCell ref="A86:A89"/>
    <mergeCell ref="C86:C88"/>
    <mergeCell ref="S79:S81"/>
    <mergeCell ref="T79:T81"/>
    <mergeCell ref="U79:U82"/>
    <mergeCell ref="V80:V81"/>
    <mergeCell ref="W80:W81"/>
    <mergeCell ref="X80:X81"/>
    <mergeCell ref="M79:M81"/>
    <mergeCell ref="N79:N81"/>
    <mergeCell ref="O79:O81"/>
    <mergeCell ref="P79:P81"/>
    <mergeCell ref="Q79:Q81"/>
    <mergeCell ref="R79:R81"/>
    <mergeCell ref="G79:G81"/>
    <mergeCell ref="H79:H81"/>
    <mergeCell ref="I79:I81"/>
    <mergeCell ref="J79:J81"/>
    <mergeCell ref="K79:K81"/>
    <mergeCell ref="L79:L81"/>
    <mergeCell ref="A79:A82"/>
    <mergeCell ref="B79:B82"/>
    <mergeCell ref="C79:C82"/>
    <mergeCell ref="D79:D82"/>
    <mergeCell ref="E79:E82"/>
    <mergeCell ref="F79:F82"/>
    <mergeCell ref="Y68:Y69"/>
    <mergeCell ref="Z68:Z69"/>
    <mergeCell ref="A71:A72"/>
    <mergeCell ref="B71:B76"/>
    <mergeCell ref="A73:A74"/>
    <mergeCell ref="A75:A76"/>
    <mergeCell ref="S67:S69"/>
    <mergeCell ref="T67:T69"/>
    <mergeCell ref="U67:U70"/>
    <mergeCell ref="V68:V69"/>
    <mergeCell ref="W68:W69"/>
    <mergeCell ref="X68:X69"/>
    <mergeCell ref="M67:M69"/>
    <mergeCell ref="N67:N69"/>
    <mergeCell ref="O67:O69"/>
    <mergeCell ref="P67:P69"/>
    <mergeCell ref="Q67:Q69"/>
    <mergeCell ref="R67:R69"/>
    <mergeCell ref="G67:G69"/>
    <mergeCell ref="H67:H69"/>
    <mergeCell ref="I67:I69"/>
    <mergeCell ref="J67:J69"/>
    <mergeCell ref="K67:K69"/>
    <mergeCell ref="L67:L69"/>
    <mergeCell ref="A67:A70"/>
    <mergeCell ref="B67:B70"/>
    <mergeCell ref="C67:C70"/>
    <mergeCell ref="D67:D70"/>
    <mergeCell ref="E67:E70"/>
    <mergeCell ref="F67:F70"/>
    <mergeCell ref="A53:A54"/>
    <mergeCell ref="A56:A57"/>
    <mergeCell ref="C58:C61"/>
    <mergeCell ref="A59:A62"/>
    <mergeCell ref="A63:A64"/>
    <mergeCell ref="A65:D65"/>
    <mergeCell ref="A27:A28"/>
    <mergeCell ref="A30:A32"/>
    <mergeCell ref="A33:A37"/>
    <mergeCell ref="A38:A42"/>
    <mergeCell ref="A44:A46"/>
    <mergeCell ref="A47:A51"/>
    <mergeCell ref="Y4:Y5"/>
    <mergeCell ref="Z4:Z5"/>
    <mergeCell ref="A7:A8"/>
    <mergeCell ref="B7:B62"/>
    <mergeCell ref="A9:A10"/>
    <mergeCell ref="A11:A13"/>
    <mergeCell ref="A14:A17"/>
    <mergeCell ref="A18:A21"/>
    <mergeCell ref="A22:A23"/>
    <mergeCell ref="A24:A26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1"/>
  <sheetViews>
    <sheetView zoomScale="80" zoomScaleNormal="80" workbookViewId="0">
      <pane xSplit="4" ySplit="6" topLeftCell="E42" activePane="bottomRight" state="frozen"/>
      <selection activeCell="E41" sqref="E41"/>
      <selection pane="topRight" activeCell="E41" sqref="E41"/>
      <selection pane="bottomLeft" activeCell="E41" sqref="E41"/>
      <selection pane="bottomRight" activeCell="E41" sqref="E41"/>
    </sheetView>
  </sheetViews>
  <sheetFormatPr defaultRowHeight="15" x14ac:dyDescent="0.25"/>
  <cols>
    <col min="1" max="1" width="5.28515625" customWidth="1"/>
    <col min="2" max="2" width="0" hidden="1" customWidth="1"/>
    <col min="3" max="3" width="25.5703125" bestFit="1" customWidth="1"/>
    <col min="4" max="4" width="17.5703125" bestFit="1" customWidth="1"/>
    <col min="5" max="5" width="5.7109375" customWidth="1"/>
    <col min="6" max="6" width="6.140625" customWidth="1"/>
    <col min="7" max="7" width="6.7109375" customWidth="1"/>
    <col min="12" max="12" width="10.140625" customWidth="1"/>
    <col min="13" max="13" width="0" hidden="1" customWidth="1"/>
    <col min="20" max="20" width="6.28515625" customWidth="1"/>
    <col min="21" max="21" width="6" customWidth="1"/>
    <col min="30" max="30" width="0" hidden="1" customWidth="1"/>
  </cols>
  <sheetData>
    <row r="1" spans="1:32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32" ht="15.75" x14ac:dyDescent="0.25">
      <c r="A2" s="1" t="s">
        <v>96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32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32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32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32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32" ht="31.5" customHeight="1" x14ac:dyDescent="0.25">
      <c r="A7" s="254">
        <v>1</v>
      </c>
      <c r="B7" s="258" t="s">
        <v>32</v>
      </c>
      <c r="C7" s="97" t="s">
        <v>33</v>
      </c>
      <c r="D7" s="21" t="s">
        <v>34</v>
      </c>
      <c r="E7" s="10">
        <v>28</v>
      </c>
      <c r="F7" s="10">
        <v>20</v>
      </c>
      <c r="G7" s="28">
        <v>13</v>
      </c>
      <c r="H7" s="11">
        <v>76</v>
      </c>
      <c r="I7" s="11">
        <v>7</v>
      </c>
      <c r="J7" s="11">
        <v>96</v>
      </c>
      <c r="K7" s="11">
        <v>5</v>
      </c>
      <c r="L7" s="11">
        <v>75</v>
      </c>
      <c r="M7" s="12">
        <v>2</v>
      </c>
      <c r="N7" s="11">
        <v>1</v>
      </c>
      <c r="O7" s="11">
        <v>1</v>
      </c>
      <c r="P7" s="12">
        <v>82</v>
      </c>
      <c r="Q7" s="11">
        <v>297</v>
      </c>
      <c r="R7" s="11">
        <v>1</v>
      </c>
      <c r="S7" s="11">
        <v>306</v>
      </c>
      <c r="T7" s="12">
        <v>14</v>
      </c>
      <c r="U7" s="12">
        <v>77</v>
      </c>
      <c r="V7" s="13">
        <v>10.928571428571429</v>
      </c>
      <c r="W7" s="13">
        <v>54.642857142857146</v>
      </c>
      <c r="X7" s="13">
        <v>3.9740259740259742</v>
      </c>
      <c r="Y7" s="14">
        <v>3.2987012987012987</v>
      </c>
      <c r="Z7" s="15">
        <v>3.85</v>
      </c>
    </row>
    <row r="8" spans="1:32" ht="15.75" x14ac:dyDescent="0.25">
      <c r="A8" s="254"/>
      <c r="B8" s="258"/>
      <c r="C8" s="17" t="s">
        <v>35</v>
      </c>
      <c r="D8" s="16"/>
      <c r="E8" s="17">
        <v>28</v>
      </c>
      <c r="F8" s="17">
        <v>20</v>
      </c>
      <c r="G8" s="17">
        <v>13</v>
      </c>
      <c r="H8" s="17">
        <v>76</v>
      </c>
      <c r="I8" s="17">
        <v>7</v>
      </c>
      <c r="J8" s="17">
        <v>96</v>
      </c>
      <c r="K8" s="17">
        <v>5</v>
      </c>
      <c r="L8" s="17">
        <v>75</v>
      </c>
      <c r="M8" s="18">
        <v>2</v>
      </c>
      <c r="N8" s="17">
        <v>1</v>
      </c>
      <c r="O8" s="17">
        <v>1</v>
      </c>
      <c r="P8" s="18">
        <v>82</v>
      </c>
      <c r="Q8" s="17">
        <v>297</v>
      </c>
      <c r="R8" s="17">
        <v>1</v>
      </c>
      <c r="S8" s="17">
        <v>306</v>
      </c>
      <c r="T8" s="18">
        <v>14</v>
      </c>
      <c r="U8" s="18">
        <v>77</v>
      </c>
      <c r="V8" s="19">
        <v>10.928571428571429</v>
      </c>
      <c r="W8" s="19">
        <v>54.642857142857146</v>
      </c>
      <c r="X8" s="19">
        <v>3.9740259740259742</v>
      </c>
      <c r="Y8" s="20">
        <v>3.2987012987012987</v>
      </c>
      <c r="Z8" s="20">
        <v>3.85</v>
      </c>
    </row>
    <row r="9" spans="1:32" ht="15.75" x14ac:dyDescent="0.25">
      <c r="A9" s="256">
        <v>2</v>
      </c>
      <c r="B9" s="258"/>
      <c r="C9" s="11" t="s">
        <v>36</v>
      </c>
      <c r="D9" s="21" t="s">
        <v>34</v>
      </c>
      <c r="E9" s="10">
        <v>28</v>
      </c>
      <c r="F9" s="11">
        <v>16</v>
      </c>
      <c r="G9" s="28">
        <v>16</v>
      </c>
      <c r="H9" s="11">
        <v>81</v>
      </c>
      <c r="I9" s="11">
        <v>28</v>
      </c>
      <c r="J9" s="11">
        <v>125</v>
      </c>
      <c r="K9" s="11">
        <v>4</v>
      </c>
      <c r="L9" s="11">
        <v>95</v>
      </c>
      <c r="M9" s="12">
        <v>11</v>
      </c>
      <c r="N9" s="11">
        <v>6</v>
      </c>
      <c r="O9" s="11">
        <v>5</v>
      </c>
      <c r="P9" s="12">
        <v>110</v>
      </c>
      <c r="Q9" s="11">
        <v>427</v>
      </c>
      <c r="R9" s="11">
        <v>0</v>
      </c>
      <c r="S9" s="11">
        <v>416</v>
      </c>
      <c r="T9" s="12">
        <v>15</v>
      </c>
      <c r="U9" s="12">
        <v>106</v>
      </c>
      <c r="V9" s="13">
        <v>14.857142857142858</v>
      </c>
      <c r="W9" s="13">
        <v>92.857142857142861</v>
      </c>
      <c r="X9" s="13">
        <v>3.9245283018867925</v>
      </c>
      <c r="Y9" s="14">
        <v>0.30188679245283007</v>
      </c>
      <c r="Z9" s="15">
        <v>6.625</v>
      </c>
    </row>
    <row r="10" spans="1:32" ht="15.75" x14ac:dyDescent="0.25">
      <c r="A10" s="256"/>
      <c r="B10" s="258"/>
      <c r="C10" s="17" t="s">
        <v>36</v>
      </c>
      <c r="D10" s="16"/>
      <c r="E10" s="17">
        <v>28</v>
      </c>
      <c r="F10" s="17">
        <v>16</v>
      </c>
      <c r="G10" s="17">
        <v>16</v>
      </c>
      <c r="H10" s="17">
        <v>81</v>
      </c>
      <c r="I10" s="17">
        <v>28</v>
      </c>
      <c r="J10" s="17">
        <v>125</v>
      </c>
      <c r="K10" s="17">
        <v>4</v>
      </c>
      <c r="L10" s="17">
        <v>95</v>
      </c>
      <c r="M10" s="18">
        <v>11</v>
      </c>
      <c r="N10" s="17">
        <v>6</v>
      </c>
      <c r="O10" s="17">
        <v>5</v>
      </c>
      <c r="P10" s="18">
        <v>110</v>
      </c>
      <c r="Q10" s="17">
        <v>427</v>
      </c>
      <c r="R10" s="17">
        <v>0</v>
      </c>
      <c r="S10" s="17">
        <v>416</v>
      </c>
      <c r="T10" s="18">
        <v>15</v>
      </c>
      <c r="U10" s="18">
        <v>106</v>
      </c>
      <c r="V10" s="19">
        <v>14.857142857142858</v>
      </c>
      <c r="W10" s="19">
        <v>92.857142857142861</v>
      </c>
      <c r="X10" s="19">
        <v>3.9245283018867925</v>
      </c>
      <c r="Y10" s="20">
        <v>0.30188679245283007</v>
      </c>
      <c r="Z10" s="20">
        <v>6.625</v>
      </c>
    </row>
    <row r="11" spans="1:32" ht="15.75" x14ac:dyDescent="0.25">
      <c r="A11" s="256">
        <v>3</v>
      </c>
      <c r="B11" s="258"/>
      <c r="C11" s="256" t="s">
        <v>37</v>
      </c>
      <c r="D11" s="21" t="s">
        <v>38</v>
      </c>
      <c r="E11" s="10">
        <v>28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32" ht="15.75" x14ac:dyDescent="0.25">
      <c r="A12" s="256"/>
      <c r="B12" s="258"/>
      <c r="C12" s="256"/>
      <c r="D12" s="21" t="s">
        <v>34</v>
      </c>
      <c r="E12" s="10">
        <v>28</v>
      </c>
      <c r="F12" s="11">
        <v>12</v>
      </c>
      <c r="G12" s="28">
        <v>11</v>
      </c>
      <c r="H12" s="11">
        <v>56</v>
      </c>
      <c r="I12" s="11">
        <v>7</v>
      </c>
      <c r="J12" s="11">
        <v>74</v>
      </c>
      <c r="K12" s="11">
        <v>9</v>
      </c>
      <c r="L12" s="11">
        <v>50</v>
      </c>
      <c r="M12" s="12">
        <v>5</v>
      </c>
      <c r="N12" s="11">
        <v>3</v>
      </c>
      <c r="O12" s="11">
        <v>2</v>
      </c>
      <c r="P12" s="12">
        <v>64</v>
      </c>
      <c r="Q12" s="11">
        <v>225</v>
      </c>
      <c r="R12" s="11">
        <v>0</v>
      </c>
      <c r="S12" s="11">
        <v>254</v>
      </c>
      <c r="T12" s="12">
        <v>10</v>
      </c>
      <c r="U12" s="12">
        <v>55</v>
      </c>
      <c r="V12" s="13">
        <v>9.0714285714285712</v>
      </c>
      <c r="W12" s="13">
        <v>75.595238095238088</v>
      </c>
      <c r="X12" s="13">
        <v>4.6181818181818182</v>
      </c>
      <c r="Y12" s="14">
        <v>1.490909090909091</v>
      </c>
      <c r="Z12" s="15">
        <v>4.583333333333333</v>
      </c>
    </row>
    <row r="13" spans="1:32" ht="15.75" x14ac:dyDescent="0.25">
      <c r="A13" s="256"/>
      <c r="B13" s="258"/>
      <c r="C13" s="17" t="s">
        <v>37</v>
      </c>
      <c r="D13" s="16"/>
      <c r="E13" s="17">
        <v>28</v>
      </c>
      <c r="F13" s="17">
        <v>12</v>
      </c>
      <c r="G13" s="17">
        <v>11</v>
      </c>
      <c r="H13" s="17">
        <v>56</v>
      </c>
      <c r="I13" s="17">
        <v>7</v>
      </c>
      <c r="J13" s="17">
        <v>74</v>
      </c>
      <c r="K13" s="17">
        <v>9</v>
      </c>
      <c r="L13" s="17">
        <v>50</v>
      </c>
      <c r="M13" s="18">
        <v>5</v>
      </c>
      <c r="N13" s="17">
        <v>3</v>
      </c>
      <c r="O13" s="17">
        <v>2</v>
      </c>
      <c r="P13" s="18">
        <v>64</v>
      </c>
      <c r="Q13" s="17">
        <v>225</v>
      </c>
      <c r="R13" s="17">
        <v>0</v>
      </c>
      <c r="S13" s="17">
        <v>254</v>
      </c>
      <c r="T13" s="18">
        <v>10</v>
      </c>
      <c r="U13" s="18">
        <v>55</v>
      </c>
      <c r="V13" s="19">
        <v>9.0714285714285712</v>
      </c>
      <c r="W13" s="19">
        <v>75.595238095238088</v>
      </c>
      <c r="X13" s="19">
        <v>4.6181818181818182</v>
      </c>
      <c r="Y13" s="20">
        <v>1.490909090909091</v>
      </c>
      <c r="Z13" s="20">
        <v>4.583333333333333</v>
      </c>
    </row>
    <row r="14" spans="1:32" ht="15.75" x14ac:dyDescent="0.25">
      <c r="A14" s="256">
        <v>4</v>
      </c>
      <c r="B14" s="258"/>
      <c r="C14" s="254" t="s">
        <v>39</v>
      </c>
      <c r="D14" s="21" t="s">
        <v>38</v>
      </c>
      <c r="E14" s="10">
        <v>28</v>
      </c>
      <c r="F14" s="10">
        <v>2</v>
      </c>
      <c r="G14" s="28">
        <v>2</v>
      </c>
      <c r="H14" s="11">
        <v>3</v>
      </c>
      <c r="I14" s="11">
        <v>8</v>
      </c>
      <c r="J14" s="11">
        <v>13</v>
      </c>
      <c r="K14" s="11">
        <v>1</v>
      </c>
      <c r="L14" s="11">
        <v>10</v>
      </c>
      <c r="M14" s="12">
        <v>0</v>
      </c>
      <c r="N14" s="11">
        <v>0</v>
      </c>
      <c r="O14" s="11">
        <v>0</v>
      </c>
      <c r="P14" s="12">
        <v>11</v>
      </c>
      <c r="Q14" s="11">
        <v>41</v>
      </c>
      <c r="R14" s="11">
        <v>1</v>
      </c>
      <c r="S14" s="11">
        <v>40</v>
      </c>
      <c r="T14" s="12">
        <v>2</v>
      </c>
      <c r="U14" s="12">
        <v>10</v>
      </c>
      <c r="V14" s="13">
        <v>1.4285714285714286</v>
      </c>
      <c r="W14" s="13">
        <v>71.428571428571431</v>
      </c>
      <c r="X14" s="13">
        <v>4</v>
      </c>
      <c r="Y14" s="14">
        <v>1.6</v>
      </c>
      <c r="Z14" s="15">
        <v>5</v>
      </c>
    </row>
    <row r="15" spans="1:32" ht="15.75" x14ac:dyDescent="0.25">
      <c r="A15" s="256"/>
      <c r="B15" s="258"/>
      <c r="C15" s="254"/>
      <c r="D15" s="21" t="s">
        <v>34</v>
      </c>
      <c r="E15" s="10">
        <v>28</v>
      </c>
      <c r="F15" s="10">
        <v>17</v>
      </c>
      <c r="G15" s="28">
        <v>7</v>
      </c>
      <c r="H15" s="11">
        <v>84</v>
      </c>
      <c r="I15" s="11">
        <v>4</v>
      </c>
      <c r="J15" s="11">
        <v>95</v>
      </c>
      <c r="K15" s="11">
        <v>9</v>
      </c>
      <c r="L15" s="11">
        <v>68</v>
      </c>
      <c r="M15" s="12">
        <v>3</v>
      </c>
      <c r="N15" s="11">
        <v>2</v>
      </c>
      <c r="O15" s="11">
        <v>1</v>
      </c>
      <c r="P15" s="12">
        <v>80</v>
      </c>
      <c r="Q15" s="11">
        <v>299</v>
      </c>
      <c r="R15" s="11">
        <v>3</v>
      </c>
      <c r="S15" s="11">
        <v>327</v>
      </c>
      <c r="T15" s="12">
        <v>15</v>
      </c>
      <c r="U15" s="12">
        <v>71</v>
      </c>
      <c r="V15" s="13">
        <v>11.678571428571429</v>
      </c>
      <c r="W15" s="13">
        <v>68.69747899159664</v>
      </c>
      <c r="X15" s="13">
        <v>4.605633802816901</v>
      </c>
      <c r="Y15" s="14">
        <v>2.0985915492957745</v>
      </c>
      <c r="Z15" s="15">
        <v>4.1764705882352944</v>
      </c>
    </row>
    <row r="16" spans="1:32" ht="15.75" x14ac:dyDescent="0.25">
      <c r="A16" s="256"/>
      <c r="B16" s="258"/>
      <c r="C16" s="254"/>
      <c r="D16" s="21" t="s">
        <v>40</v>
      </c>
      <c r="E16" s="10">
        <v>28</v>
      </c>
      <c r="F16" s="10">
        <v>5</v>
      </c>
      <c r="G16" s="28">
        <v>0</v>
      </c>
      <c r="H16" s="11">
        <v>5</v>
      </c>
      <c r="I16" s="11">
        <v>0</v>
      </c>
      <c r="J16" s="11">
        <v>5</v>
      </c>
      <c r="K16" s="11">
        <v>0</v>
      </c>
      <c r="L16" s="11">
        <v>3</v>
      </c>
      <c r="M16" s="12">
        <v>1</v>
      </c>
      <c r="N16" s="11">
        <v>1</v>
      </c>
      <c r="O16" s="11">
        <v>0</v>
      </c>
      <c r="P16" s="12">
        <v>4</v>
      </c>
      <c r="Q16" s="11">
        <v>8</v>
      </c>
      <c r="R16" s="11">
        <v>0</v>
      </c>
      <c r="S16" s="11">
        <v>12</v>
      </c>
      <c r="T16" s="12">
        <v>1</v>
      </c>
      <c r="U16" s="12">
        <v>4</v>
      </c>
      <c r="V16" s="13">
        <v>0.42857142857142855</v>
      </c>
      <c r="W16" s="13">
        <v>8.5714285714285712</v>
      </c>
      <c r="X16" s="13">
        <v>3</v>
      </c>
      <c r="Y16" s="14">
        <v>32</v>
      </c>
      <c r="Z16" s="15">
        <v>0.8</v>
      </c>
      <c r="AA16" t="s">
        <v>98</v>
      </c>
      <c r="AB16" t="s">
        <v>99</v>
      </c>
      <c r="AC16" t="s">
        <v>100</v>
      </c>
      <c r="AE16" t="s">
        <v>101</v>
      </c>
      <c r="AF16" t="s">
        <v>102</v>
      </c>
    </row>
    <row r="17" spans="1:32" ht="15.75" x14ac:dyDescent="0.25">
      <c r="A17" s="256"/>
      <c r="B17" s="258"/>
      <c r="C17" s="17" t="s">
        <v>39</v>
      </c>
      <c r="D17" s="16"/>
      <c r="E17" s="17">
        <v>28</v>
      </c>
      <c r="F17" s="17">
        <v>24</v>
      </c>
      <c r="G17" s="17">
        <v>9</v>
      </c>
      <c r="H17" s="17">
        <v>92</v>
      </c>
      <c r="I17" s="17">
        <v>12</v>
      </c>
      <c r="J17" s="17">
        <v>113</v>
      </c>
      <c r="K17" s="17">
        <v>10</v>
      </c>
      <c r="L17" s="17">
        <v>81</v>
      </c>
      <c r="M17" s="18">
        <v>4</v>
      </c>
      <c r="N17" s="17">
        <v>3</v>
      </c>
      <c r="O17" s="17">
        <v>1</v>
      </c>
      <c r="P17" s="18">
        <v>95</v>
      </c>
      <c r="Q17" s="17">
        <v>348</v>
      </c>
      <c r="R17" s="17">
        <v>4</v>
      </c>
      <c r="S17" s="17">
        <v>379</v>
      </c>
      <c r="T17" s="18">
        <v>18</v>
      </c>
      <c r="U17" s="18">
        <v>85</v>
      </c>
      <c r="V17" s="19">
        <v>13.535714285714286</v>
      </c>
      <c r="W17" s="19">
        <v>56.398809523809526</v>
      </c>
      <c r="X17" s="19">
        <v>4.4588235294117649</v>
      </c>
      <c r="Y17" s="20">
        <v>3.447058823529412</v>
      </c>
      <c r="Z17" s="20">
        <v>3.5416666666666665</v>
      </c>
      <c r="AA17" s="104">
        <f>+G8+G17</f>
        <v>22</v>
      </c>
      <c r="AB17" s="104">
        <f>+H8+H17</f>
        <v>168</v>
      </c>
      <c r="AC17" s="104">
        <f t="shared" ref="AC17:AF17" si="0">+I8+I17</f>
        <v>19</v>
      </c>
      <c r="AD17" s="104">
        <f t="shared" si="0"/>
        <v>209</v>
      </c>
      <c r="AE17" s="104">
        <f t="shared" si="0"/>
        <v>15</v>
      </c>
      <c r="AF17" s="104">
        <f t="shared" si="0"/>
        <v>156</v>
      </c>
    </row>
    <row r="18" spans="1:32" ht="15.75" x14ac:dyDescent="0.25">
      <c r="A18" s="53"/>
      <c r="B18" s="258"/>
      <c r="C18" s="17"/>
      <c r="D18" s="16"/>
      <c r="E18" s="17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8"/>
      <c r="Q18" s="17"/>
      <c r="R18" s="17"/>
      <c r="S18" s="17"/>
      <c r="T18" s="18"/>
      <c r="U18" s="18"/>
      <c r="V18" s="19"/>
      <c r="W18" s="19"/>
      <c r="X18" s="19"/>
      <c r="Y18" s="20"/>
      <c r="Z18" s="20"/>
      <c r="AA18" s="104"/>
      <c r="AB18" s="104"/>
      <c r="AC18" s="104"/>
      <c r="AD18" s="104"/>
      <c r="AE18" s="104"/>
      <c r="AF18" s="104"/>
    </row>
    <row r="19" spans="1:32" ht="15.75" x14ac:dyDescent="0.25">
      <c r="A19" s="254">
        <v>5</v>
      </c>
      <c r="B19" s="258"/>
      <c r="C19" s="254" t="s">
        <v>41</v>
      </c>
      <c r="D19" s="98" t="s">
        <v>42</v>
      </c>
      <c r="E19" s="10">
        <v>28</v>
      </c>
      <c r="F19" s="10">
        <v>19</v>
      </c>
      <c r="G19" s="28">
        <v>14</v>
      </c>
      <c r="H19" s="11">
        <v>128</v>
      </c>
      <c r="I19" s="11">
        <v>11</v>
      </c>
      <c r="J19" s="11">
        <v>153</v>
      </c>
      <c r="K19" s="11">
        <v>19</v>
      </c>
      <c r="L19" s="11">
        <v>102</v>
      </c>
      <c r="M19" s="12">
        <v>18</v>
      </c>
      <c r="N19" s="11">
        <v>8</v>
      </c>
      <c r="O19" s="11">
        <v>10</v>
      </c>
      <c r="P19" s="12">
        <v>139</v>
      </c>
      <c r="Q19" s="11">
        <v>387</v>
      </c>
      <c r="R19" s="11">
        <v>8</v>
      </c>
      <c r="S19" s="11">
        <v>425</v>
      </c>
      <c r="T19" s="12">
        <v>14</v>
      </c>
      <c r="U19" s="12">
        <v>120</v>
      </c>
      <c r="V19" s="13">
        <v>15.178571428571429</v>
      </c>
      <c r="W19" s="13">
        <v>79.887218045112789</v>
      </c>
      <c r="X19" s="13">
        <v>3.5416666666666665</v>
      </c>
      <c r="Y19" s="14">
        <v>0.89166666666666672</v>
      </c>
      <c r="Z19" s="15">
        <v>6.3157894736842106</v>
      </c>
    </row>
    <row r="20" spans="1:32" ht="15.75" x14ac:dyDescent="0.25">
      <c r="A20" s="254"/>
      <c r="B20" s="258"/>
      <c r="C20" s="254"/>
      <c r="D20" s="98" t="s">
        <v>43</v>
      </c>
      <c r="E20" s="10">
        <v>28</v>
      </c>
      <c r="F20" s="10">
        <v>12</v>
      </c>
      <c r="G20" s="28">
        <v>4</v>
      </c>
      <c r="H20" s="11">
        <v>55</v>
      </c>
      <c r="I20" s="11">
        <v>22</v>
      </c>
      <c r="J20" s="11">
        <v>81</v>
      </c>
      <c r="K20" s="11">
        <v>23</v>
      </c>
      <c r="L20" s="11">
        <v>31</v>
      </c>
      <c r="M20" s="12">
        <v>20</v>
      </c>
      <c r="N20" s="11">
        <v>13</v>
      </c>
      <c r="O20" s="11">
        <v>7</v>
      </c>
      <c r="P20" s="12">
        <v>74</v>
      </c>
      <c r="Q20" s="11">
        <v>207</v>
      </c>
      <c r="R20" s="11">
        <v>5</v>
      </c>
      <c r="S20" s="11">
        <v>230</v>
      </c>
      <c r="T20" s="12">
        <v>7</v>
      </c>
      <c r="U20" s="12">
        <v>51</v>
      </c>
      <c r="V20" s="13">
        <v>8.2142857142857135</v>
      </c>
      <c r="W20" s="13">
        <v>68.452380952380949</v>
      </c>
      <c r="X20" s="13">
        <v>4.5098039215686274</v>
      </c>
      <c r="Y20" s="14">
        <v>2.0784313725490202</v>
      </c>
      <c r="Z20" s="15">
        <v>4.25</v>
      </c>
    </row>
    <row r="21" spans="1:32" ht="15.75" x14ac:dyDescent="0.25">
      <c r="A21" s="254"/>
      <c r="B21" s="258"/>
      <c r="C21" s="17" t="s">
        <v>41</v>
      </c>
      <c r="D21" s="16"/>
      <c r="E21" s="17">
        <v>28</v>
      </c>
      <c r="F21" s="17">
        <v>31</v>
      </c>
      <c r="G21" s="17">
        <v>18</v>
      </c>
      <c r="H21" s="17">
        <v>183</v>
      </c>
      <c r="I21" s="17">
        <v>33</v>
      </c>
      <c r="J21" s="17">
        <v>234</v>
      </c>
      <c r="K21" s="17">
        <v>42</v>
      </c>
      <c r="L21" s="17">
        <v>133</v>
      </c>
      <c r="M21" s="18">
        <v>38</v>
      </c>
      <c r="N21" s="17">
        <v>21</v>
      </c>
      <c r="O21" s="17">
        <v>17</v>
      </c>
      <c r="P21" s="18">
        <v>213</v>
      </c>
      <c r="Q21" s="17">
        <v>594</v>
      </c>
      <c r="R21" s="17">
        <v>13</v>
      </c>
      <c r="S21" s="17">
        <v>655</v>
      </c>
      <c r="T21" s="18">
        <v>21</v>
      </c>
      <c r="U21" s="18">
        <v>171</v>
      </c>
      <c r="V21" s="19">
        <v>23.392857142857142</v>
      </c>
      <c r="W21" s="19">
        <v>75.460829493087559</v>
      </c>
      <c r="X21" s="19">
        <v>3.8304093567251463</v>
      </c>
      <c r="Y21" s="20">
        <v>1.2456140350877194</v>
      </c>
      <c r="Z21" s="20">
        <v>10.565789473684211</v>
      </c>
    </row>
    <row r="22" spans="1:32" ht="15.75" x14ac:dyDescent="0.25">
      <c r="A22" s="254">
        <v>6</v>
      </c>
      <c r="B22" s="258"/>
      <c r="C22" s="10" t="s">
        <v>44</v>
      </c>
      <c r="D22" s="21" t="s">
        <v>34</v>
      </c>
      <c r="E22" s="10">
        <v>28</v>
      </c>
      <c r="F22" s="10">
        <v>18</v>
      </c>
      <c r="G22" s="28">
        <v>13</v>
      </c>
      <c r="H22" s="11">
        <v>106</v>
      </c>
      <c r="I22" s="11">
        <v>14</v>
      </c>
      <c r="J22" s="11">
        <v>133</v>
      </c>
      <c r="K22" s="11">
        <v>12</v>
      </c>
      <c r="L22" s="11">
        <v>104</v>
      </c>
      <c r="M22" s="12">
        <v>7</v>
      </c>
      <c r="N22" s="11">
        <v>4</v>
      </c>
      <c r="O22" s="11">
        <v>3</v>
      </c>
      <c r="P22" s="12">
        <v>123</v>
      </c>
      <c r="Q22" s="11">
        <v>388</v>
      </c>
      <c r="R22" s="11">
        <v>1</v>
      </c>
      <c r="S22" s="11">
        <v>405</v>
      </c>
      <c r="T22" s="12">
        <v>10</v>
      </c>
      <c r="U22" s="12">
        <v>111</v>
      </c>
      <c r="V22" s="13">
        <v>14.464285714285714</v>
      </c>
      <c r="W22" s="13">
        <v>80.357142857142847</v>
      </c>
      <c r="X22" s="13">
        <v>3.6486486486486487</v>
      </c>
      <c r="Y22" s="14">
        <v>0.89189189189189211</v>
      </c>
      <c r="Z22" s="15">
        <v>6.166666666666667</v>
      </c>
    </row>
    <row r="23" spans="1:32" ht="15.75" x14ac:dyDescent="0.25">
      <c r="A23" s="254"/>
      <c r="B23" s="258"/>
      <c r="C23" s="17" t="s">
        <v>44</v>
      </c>
      <c r="D23" s="16"/>
      <c r="E23" s="17">
        <v>28</v>
      </c>
      <c r="F23" s="17">
        <v>18</v>
      </c>
      <c r="G23" s="17">
        <v>13</v>
      </c>
      <c r="H23" s="17">
        <v>106</v>
      </c>
      <c r="I23" s="17">
        <v>14</v>
      </c>
      <c r="J23" s="17">
        <v>133</v>
      </c>
      <c r="K23" s="17">
        <v>12</v>
      </c>
      <c r="L23" s="17">
        <v>104</v>
      </c>
      <c r="M23" s="18">
        <v>7</v>
      </c>
      <c r="N23" s="17">
        <v>4</v>
      </c>
      <c r="O23" s="17">
        <v>3</v>
      </c>
      <c r="P23" s="18">
        <v>123</v>
      </c>
      <c r="Q23" s="17">
        <v>388</v>
      </c>
      <c r="R23" s="17">
        <v>1</v>
      </c>
      <c r="S23" s="17">
        <v>405</v>
      </c>
      <c r="T23" s="18">
        <v>10</v>
      </c>
      <c r="U23" s="18">
        <v>111</v>
      </c>
      <c r="V23" s="19">
        <v>14.464285714285714</v>
      </c>
      <c r="W23" s="19">
        <v>80.357142857142847</v>
      </c>
      <c r="X23" s="19">
        <v>3.6486486486486487</v>
      </c>
      <c r="Y23" s="20">
        <v>0.89189189189189211</v>
      </c>
      <c r="Z23" s="20">
        <v>6.166666666666667</v>
      </c>
    </row>
    <row r="24" spans="1:32" ht="15.75" x14ac:dyDescent="0.25">
      <c r="A24" s="52"/>
      <c r="B24" s="258"/>
      <c r="C24" s="17"/>
      <c r="D24" s="16"/>
      <c r="E24" s="17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8"/>
      <c r="Q24" s="17"/>
      <c r="R24" s="17"/>
      <c r="S24" s="17"/>
      <c r="T24" s="18"/>
      <c r="U24" s="18"/>
      <c r="V24" s="19"/>
      <c r="W24" s="19"/>
      <c r="X24" s="19"/>
      <c r="Y24" s="20"/>
      <c r="Z24" s="20"/>
    </row>
    <row r="25" spans="1:32" ht="15.75" x14ac:dyDescent="0.25">
      <c r="A25" s="254">
        <v>7</v>
      </c>
      <c r="B25" s="258"/>
      <c r="C25" s="10" t="s">
        <v>45</v>
      </c>
      <c r="D25" s="21" t="s">
        <v>34</v>
      </c>
      <c r="E25" s="10">
        <v>28</v>
      </c>
      <c r="F25" s="10">
        <v>20</v>
      </c>
      <c r="G25" s="28">
        <v>14</v>
      </c>
      <c r="H25" s="11">
        <v>107</v>
      </c>
      <c r="I25" s="11">
        <v>22</v>
      </c>
      <c r="J25" s="11">
        <v>143</v>
      </c>
      <c r="K25" s="11">
        <v>9</v>
      </c>
      <c r="L25" s="11">
        <v>115</v>
      </c>
      <c r="M25" s="12">
        <v>7</v>
      </c>
      <c r="N25" s="11">
        <v>2</v>
      </c>
      <c r="O25" s="11">
        <v>5</v>
      </c>
      <c r="P25" s="12">
        <v>131</v>
      </c>
      <c r="Q25" s="11">
        <v>474</v>
      </c>
      <c r="R25" s="11">
        <v>6</v>
      </c>
      <c r="S25" s="11">
        <v>452</v>
      </c>
      <c r="T25" s="12">
        <v>12</v>
      </c>
      <c r="U25" s="12">
        <v>122</v>
      </c>
      <c r="V25" s="13">
        <v>16.142857142857142</v>
      </c>
      <c r="W25" s="13">
        <v>80.714285714285722</v>
      </c>
      <c r="X25" s="13">
        <v>3.7049180327868854</v>
      </c>
      <c r="Y25" s="14">
        <v>0.88524590163934436</v>
      </c>
      <c r="Z25" s="15">
        <v>6.1</v>
      </c>
    </row>
    <row r="26" spans="1:32" ht="15.75" x14ac:dyDescent="0.25">
      <c r="A26" s="254"/>
      <c r="B26" s="258"/>
      <c r="C26" s="17" t="s">
        <v>45</v>
      </c>
      <c r="D26" s="16"/>
      <c r="E26" s="17">
        <v>28</v>
      </c>
      <c r="F26" s="17">
        <v>20</v>
      </c>
      <c r="G26" s="17">
        <v>14</v>
      </c>
      <c r="H26" s="17">
        <v>107</v>
      </c>
      <c r="I26" s="17">
        <v>22</v>
      </c>
      <c r="J26" s="17">
        <v>143</v>
      </c>
      <c r="K26" s="17">
        <v>9</v>
      </c>
      <c r="L26" s="17">
        <v>115</v>
      </c>
      <c r="M26" s="18">
        <v>7</v>
      </c>
      <c r="N26" s="17">
        <v>2</v>
      </c>
      <c r="O26" s="17">
        <v>5</v>
      </c>
      <c r="P26" s="18">
        <v>131</v>
      </c>
      <c r="Q26" s="17">
        <v>474</v>
      </c>
      <c r="R26" s="17">
        <v>6</v>
      </c>
      <c r="S26" s="17">
        <v>452</v>
      </c>
      <c r="T26" s="18">
        <v>12</v>
      </c>
      <c r="U26" s="18">
        <v>122</v>
      </c>
      <c r="V26" s="19">
        <v>16.142857142857142</v>
      </c>
      <c r="W26" s="19">
        <v>80.714285714285722</v>
      </c>
      <c r="X26" s="19">
        <v>3.7049180327868854</v>
      </c>
      <c r="Y26" s="20">
        <v>0.88524590163934436</v>
      </c>
      <c r="Z26" s="20">
        <v>6.1</v>
      </c>
    </row>
    <row r="27" spans="1:32" ht="15.75" x14ac:dyDescent="0.25">
      <c r="A27" s="256">
        <v>8</v>
      </c>
      <c r="B27" s="258"/>
      <c r="C27" s="11" t="s">
        <v>46</v>
      </c>
      <c r="D27" s="21" t="s">
        <v>34</v>
      </c>
      <c r="E27" s="10">
        <v>28</v>
      </c>
      <c r="F27" s="11">
        <v>20</v>
      </c>
      <c r="G27" s="28">
        <v>14</v>
      </c>
      <c r="H27" s="11">
        <v>115</v>
      </c>
      <c r="I27" s="11">
        <v>9</v>
      </c>
      <c r="J27" s="11">
        <v>138</v>
      </c>
      <c r="K27" s="11">
        <v>11</v>
      </c>
      <c r="L27" s="11">
        <v>110</v>
      </c>
      <c r="M27" s="12">
        <v>4</v>
      </c>
      <c r="N27" s="11">
        <v>1</v>
      </c>
      <c r="O27" s="11">
        <v>3</v>
      </c>
      <c r="P27" s="12">
        <v>125</v>
      </c>
      <c r="Q27" s="11">
        <v>412</v>
      </c>
      <c r="R27" s="11">
        <v>2</v>
      </c>
      <c r="S27" s="11">
        <v>445</v>
      </c>
      <c r="T27" s="12">
        <v>13</v>
      </c>
      <c r="U27" s="12">
        <v>114</v>
      </c>
      <c r="V27" s="13">
        <v>15.892857142857142</v>
      </c>
      <c r="W27" s="13">
        <v>79.464285714285708</v>
      </c>
      <c r="X27" s="13">
        <v>3.9035087719298245</v>
      </c>
      <c r="Y27" s="14">
        <v>1.0087719298245614</v>
      </c>
      <c r="Z27" s="15">
        <v>5.7</v>
      </c>
    </row>
    <row r="28" spans="1:32" ht="15.75" x14ac:dyDescent="0.25">
      <c r="A28" s="256"/>
      <c r="B28" s="258"/>
      <c r="C28" s="17" t="s">
        <v>46</v>
      </c>
      <c r="D28" s="16"/>
      <c r="E28" s="17">
        <v>28</v>
      </c>
      <c r="F28" s="17">
        <v>20</v>
      </c>
      <c r="G28" s="17">
        <v>14</v>
      </c>
      <c r="H28" s="17">
        <v>115</v>
      </c>
      <c r="I28" s="17">
        <v>9</v>
      </c>
      <c r="J28" s="17">
        <v>138</v>
      </c>
      <c r="K28" s="17">
        <v>11</v>
      </c>
      <c r="L28" s="17">
        <v>110</v>
      </c>
      <c r="M28" s="18">
        <v>4</v>
      </c>
      <c r="N28" s="17">
        <v>1</v>
      </c>
      <c r="O28" s="17">
        <v>3</v>
      </c>
      <c r="P28" s="18">
        <v>125</v>
      </c>
      <c r="Q28" s="17">
        <v>412</v>
      </c>
      <c r="R28" s="17">
        <v>2</v>
      </c>
      <c r="S28" s="17">
        <v>445</v>
      </c>
      <c r="T28" s="18">
        <v>13</v>
      </c>
      <c r="U28" s="18">
        <v>114</v>
      </c>
      <c r="V28" s="19">
        <v>15.892857142857142</v>
      </c>
      <c r="W28" s="19">
        <v>79.464285714285708</v>
      </c>
      <c r="X28" s="19">
        <v>3.9035087719298245</v>
      </c>
      <c r="Y28" s="20">
        <v>1.0087719298245614</v>
      </c>
      <c r="Z28" s="20">
        <v>5.7</v>
      </c>
    </row>
    <row r="29" spans="1:32" ht="15.75" x14ac:dyDescent="0.25">
      <c r="A29" s="53"/>
      <c r="B29" s="258"/>
      <c r="C29" s="17"/>
      <c r="D29" s="16"/>
      <c r="E29" s="17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8"/>
      <c r="Q29" s="17"/>
      <c r="R29" s="17"/>
      <c r="S29" s="17"/>
      <c r="T29" s="18"/>
      <c r="U29" s="18"/>
      <c r="V29" s="19"/>
      <c r="W29" s="19"/>
      <c r="X29" s="19"/>
      <c r="Y29" s="20"/>
      <c r="Z29" s="20"/>
    </row>
    <row r="30" spans="1:32" ht="15.75" x14ac:dyDescent="0.25">
      <c r="A30" s="256">
        <v>9</v>
      </c>
      <c r="B30" s="258"/>
      <c r="C30" s="11" t="s">
        <v>47</v>
      </c>
      <c r="D30" s="22" t="s">
        <v>48</v>
      </c>
      <c r="E30" s="10">
        <v>28</v>
      </c>
      <c r="F30" s="11">
        <v>12</v>
      </c>
      <c r="G30" s="28">
        <v>10</v>
      </c>
      <c r="H30" s="11">
        <v>53</v>
      </c>
      <c r="I30" s="11">
        <v>10</v>
      </c>
      <c r="J30" s="11">
        <v>73</v>
      </c>
      <c r="K30" s="11">
        <v>6</v>
      </c>
      <c r="L30" s="11">
        <v>60</v>
      </c>
      <c r="M30" s="12">
        <v>1</v>
      </c>
      <c r="N30" s="11">
        <v>1</v>
      </c>
      <c r="O30" s="11">
        <v>0</v>
      </c>
      <c r="P30" s="12">
        <v>67</v>
      </c>
      <c r="Q30" s="11">
        <v>244</v>
      </c>
      <c r="R30" s="11">
        <v>0</v>
      </c>
      <c r="S30" s="11">
        <v>252</v>
      </c>
      <c r="T30" s="12">
        <v>6</v>
      </c>
      <c r="U30" s="12">
        <v>61</v>
      </c>
      <c r="V30" s="13">
        <v>9</v>
      </c>
      <c r="W30" s="13">
        <v>75</v>
      </c>
      <c r="X30" s="13">
        <v>4.1311475409836067</v>
      </c>
      <c r="Y30" s="14">
        <v>1.3770491803278688</v>
      </c>
      <c r="Z30" s="15">
        <v>5.083333333333333</v>
      </c>
    </row>
    <row r="31" spans="1:32" ht="15.75" x14ac:dyDescent="0.25">
      <c r="A31" s="256"/>
      <c r="B31" s="258"/>
      <c r="C31" s="11"/>
      <c r="D31" s="22"/>
      <c r="E31" s="10"/>
      <c r="F31" s="11"/>
      <c r="G31" s="28"/>
      <c r="H31" s="11"/>
      <c r="I31" s="11"/>
      <c r="J31" s="11"/>
      <c r="K31" s="11"/>
      <c r="L31" s="11"/>
      <c r="M31" s="12"/>
      <c r="N31" s="11"/>
      <c r="O31" s="11"/>
      <c r="P31" s="12"/>
      <c r="Q31" s="11"/>
      <c r="R31" s="11"/>
      <c r="S31" s="11"/>
      <c r="T31" s="12"/>
      <c r="U31" s="12"/>
      <c r="V31" s="13"/>
      <c r="W31" s="13"/>
      <c r="X31" s="13"/>
      <c r="Y31" s="14"/>
      <c r="Z31" s="15"/>
    </row>
    <row r="32" spans="1:32" ht="15.75" x14ac:dyDescent="0.25">
      <c r="A32" s="256"/>
      <c r="B32" s="258"/>
      <c r="C32" s="17" t="s">
        <v>47</v>
      </c>
      <c r="D32" s="16"/>
      <c r="E32" s="17">
        <v>28</v>
      </c>
      <c r="F32" s="17">
        <v>12</v>
      </c>
      <c r="G32" s="17">
        <v>10</v>
      </c>
      <c r="H32" s="17">
        <v>53</v>
      </c>
      <c r="I32" s="17">
        <v>10</v>
      </c>
      <c r="J32" s="17">
        <v>73</v>
      </c>
      <c r="K32" s="17">
        <v>6</v>
      </c>
      <c r="L32" s="17">
        <v>60</v>
      </c>
      <c r="M32" s="18">
        <v>1</v>
      </c>
      <c r="N32" s="17">
        <v>1</v>
      </c>
      <c r="O32" s="17">
        <v>0</v>
      </c>
      <c r="P32" s="18">
        <v>67</v>
      </c>
      <c r="Q32" s="17">
        <v>244</v>
      </c>
      <c r="R32" s="17">
        <v>0</v>
      </c>
      <c r="S32" s="17">
        <v>252</v>
      </c>
      <c r="T32" s="18">
        <v>6</v>
      </c>
      <c r="U32" s="18">
        <v>61</v>
      </c>
      <c r="V32" s="19">
        <v>9</v>
      </c>
      <c r="W32" s="19">
        <v>75</v>
      </c>
      <c r="X32" s="19">
        <v>4.1311475409836067</v>
      </c>
      <c r="Y32" s="20">
        <v>1.3770491803278688</v>
      </c>
      <c r="Z32" s="20">
        <v>5.083333333333333</v>
      </c>
    </row>
    <row r="33" spans="1:27" ht="15.75" x14ac:dyDescent="0.25">
      <c r="A33" s="53"/>
      <c r="B33" s="258"/>
      <c r="C33" s="17"/>
      <c r="D33" s="16"/>
      <c r="E33" s="17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8"/>
      <c r="Q33" s="17"/>
      <c r="R33" s="17"/>
      <c r="S33" s="17"/>
      <c r="T33" s="18"/>
      <c r="U33" s="18"/>
      <c r="V33" s="19"/>
      <c r="W33" s="19"/>
      <c r="X33" s="19"/>
      <c r="Y33" s="20"/>
      <c r="Z33" s="20"/>
    </row>
    <row r="34" spans="1:27" ht="15.75" x14ac:dyDescent="0.25">
      <c r="A34" s="256">
        <v>10</v>
      </c>
      <c r="B34" s="258"/>
      <c r="C34" s="11" t="s">
        <v>49</v>
      </c>
      <c r="D34" s="22" t="s">
        <v>48</v>
      </c>
      <c r="E34" s="10">
        <v>28</v>
      </c>
      <c r="F34" s="11">
        <v>19</v>
      </c>
      <c r="G34" s="28">
        <v>6</v>
      </c>
      <c r="H34" s="11">
        <v>54</v>
      </c>
      <c r="I34" s="11">
        <v>7</v>
      </c>
      <c r="J34" s="11">
        <v>67</v>
      </c>
      <c r="K34" s="11">
        <v>9</v>
      </c>
      <c r="L34" s="11">
        <v>53</v>
      </c>
      <c r="M34" s="12">
        <v>0</v>
      </c>
      <c r="N34" s="11">
        <v>0</v>
      </c>
      <c r="O34" s="11">
        <v>0</v>
      </c>
      <c r="P34" s="12">
        <v>62</v>
      </c>
      <c r="Q34" s="11">
        <v>192</v>
      </c>
      <c r="R34" s="11">
        <v>1</v>
      </c>
      <c r="S34" s="11">
        <v>201</v>
      </c>
      <c r="T34" s="12">
        <v>5</v>
      </c>
      <c r="U34" s="12">
        <v>53</v>
      </c>
      <c r="V34" s="13">
        <v>7.1785714285714288</v>
      </c>
      <c r="W34" s="13">
        <v>37.781954887218042</v>
      </c>
      <c r="X34" s="13">
        <v>3.7924528301886791</v>
      </c>
      <c r="Y34" s="14">
        <v>6.2452830188679247</v>
      </c>
      <c r="Z34" s="15">
        <v>2.7894736842105261</v>
      </c>
    </row>
    <row r="35" spans="1:27" ht="15.75" x14ac:dyDescent="0.25">
      <c r="A35" s="256"/>
      <c r="B35" s="258"/>
      <c r="C35" s="17"/>
      <c r="D35" s="16"/>
      <c r="E35" s="17">
        <v>0</v>
      </c>
      <c r="F35" s="17"/>
      <c r="G35" s="17"/>
      <c r="H35" s="17"/>
      <c r="I35" s="17"/>
      <c r="J35" s="17"/>
      <c r="K35" s="17"/>
      <c r="L35" s="17"/>
      <c r="M35" s="18"/>
      <c r="N35" s="17"/>
      <c r="O35" s="17"/>
      <c r="P35" s="18"/>
      <c r="Q35" s="17"/>
      <c r="R35" s="17"/>
      <c r="S35" s="17"/>
      <c r="T35" s="18"/>
      <c r="U35" s="18"/>
      <c r="V35" s="19"/>
      <c r="W35" s="19"/>
      <c r="X35" s="19"/>
      <c r="Y35" s="20"/>
      <c r="Z35" s="20"/>
    </row>
    <row r="36" spans="1:27" ht="15.75" x14ac:dyDescent="0.25">
      <c r="A36" s="53"/>
      <c r="B36" s="258"/>
      <c r="C36" s="17"/>
      <c r="D36" s="16"/>
      <c r="E36" s="17">
        <v>0</v>
      </c>
      <c r="F36" s="17"/>
      <c r="G36" s="17"/>
      <c r="H36" s="17"/>
      <c r="I36" s="17"/>
      <c r="J36" s="17"/>
      <c r="K36" s="17"/>
      <c r="L36" s="17"/>
      <c r="M36" s="18"/>
      <c r="N36" s="17"/>
      <c r="O36" s="17"/>
      <c r="P36" s="18"/>
      <c r="Q36" s="17"/>
      <c r="R36" s="17"/>
      <c r="S36" s="17"/>
      <c r="T36" s="18"/>
      <c r="U36" s="18"/>
      <c r="V36" s="19"/>
      <c r="W36" s="19"/>
      <c r="X36" s="19"/>
      <c r="Y36" s="20"/>
      <c r="Z36" s="20"/>
    </row>
    <row r="37" spans="1:27" ht="15.75" x14ac:dyDescent="0.25">
      <c r="A37" s="53"/>
      <c r="B37" s="258"/>
      <c r="C37" s="17" t="s">
        <v>49</v>
      </c>
      <c r="D37" s="16"/>
      <c r="E37" s="17">
        <v>28</v>
      </c>
      <c r="F37" s="17">
        <v>19</v>
      </c>
      <c r="G37" s="17">
        <v>6</v>
      </c>
      <c r="H37" s="17">
        <v>54</v>
      </c>
      <c r="I37" s="17">
        <v>7</v>
      </c>
      <c r="J37" s="17">
        <v>67</v>
      </c>
      <c r="K37" s="17">
        <v>9</v>
      </c>
      <c r="L37" s="17">
        <v>53</v>
      </c>
      <c r="M37" s="18">
        <v>0</v>
      </c>
      <c r="N37" s="17">
        <v>0</v>
      </c>
      <c r="O37" s="17">
        <v>0</v>
      </c>
      <c r="P37" s="18">
        <v>62</v>
      </c>
      <c r="Q37" s="17">
        <v>192</v>
      </c>
      <c r="R37" s="17">
        <v>1</v>
      </c>
      <c r="S37" s="17">
        <v>201</v>
      </c>
      <c r="T37" s="18">
        <v>5</v>
      </c>
      <c r="U37" s="18">
        <v>53</v>
      </c>
      <c r="V37" s="19">
        <v>7.1785714285714288</v>
      </c>
      <c r="W37" s="19">
        <v>37.781954887218042</v>
      </c>
      <c r="X37" s="19">
        <v>3.7924528301886791</v>
      </c>
      <c r="Y37" s="20">
        <v>6.2452830188679247</v>
      </c>
      <c r="Z37" s="20">
        <v>2.7894736842105261</v>
      </c>
    </row>
    <row r="38" spans="1:27" ht="15.75" x14ac:dyDescent="0.25">
      <c r="A38" s="231">
        <v>11</v>
      </c>
      <c r="B38" s="258"/>
      <c r="C38" s="254" t="s">
        <v>50</v>
      </c>
      <c r="D38" s="22" t="s">
        <v>51</v>
      </c>
      <c r="E38" s="10">
        <v>28</v>
      </c>
      <c r="F38" s="10">
        <v>6</v>
      </c>
      <c r="G38" s="28">
        <v>3</v>
      </c>
      <c r="H38" s="11">
        <v>36</v>
      </c>
      <c r="I38" s="11">
        <v>2</v>
      </c>
      <c r="J38" s="11">
        <v>41</v>
      </c>
      <c r="K38" s="11">
        <v>5</v>
      </c>
      <c r="L38" s="11">
        <v>31</v>
      </c>
      <c r="M38" s="12">
        <v>1</v>
      </c>
      <c r="N38" s="11">
        <v>0</v>
      </c>
      <c r="O38" s="11">
        <v>1</v>
      </c>
      <c r="P38" s="12">
        <v>37</v>
      </c>
      <c r="Q38" s="11">
        <v>101</v>
      </c>
      <c r="R38" s="11">
        <v>0</v>
      </c>
      <c r="S38" s="11">
        <v>113</v>
      </c>
      <c r="T38" s="12">
        <v>4</v>
      </c>
      <c r="U38" s="12">
        <v>32</v>
      </c>
      <c r="V38" s="13">
        <v>4.0357142857142856</v>
      </c>
      <c r="W38" s="13">
        <v>67.261904761904759</v>
      </c>
      <c r="X38" s="13">
        <v>3.53125</v>
      </c>
      <c r="Y38" s="14">
        <v>1.71875</v>
      </c>
      <c r="Z38" s="15">
        <v>5.333333333333333</v>
      </c>
    </row>
    <row r="39" spans="1:27" ht="15.75" x14ac:dyDescent="0.25">
      <c r="A39" s="231"/>
      <c r="B39" s="258"/>
      <c r="C39" s="254"/>
      <c r="D39" s="22" t="s">
        <v>52</v>
      </c>
      <c r="E39" s="10">
        <v>28</v>
      </c>
      <c r="F39" s="10">
        <v>6</v>
      </c>
      <c r="G39" s="28">
        <v>2</v>
      </c>
      <c r="H39" s="11">
        <v>36</v>
      </c>
      <c r="I39" s="11">
        <v>6</v>
      </c>
      <c r="J39" s="11">
        <v>44</v>
      </c>
      <c r="K39" s="11">
        <v>4</v>
      </c>
      <c r="L39" s="11">
        <v>37</v>
      </c>
      <c r="M39" s="12">
        <v>0</v>
      </c>
      <c r="N39" s="11">
        <v>0</v>
      </c>
      <c r="O39" s="11">
        <v>0</v>
      </c>
      <c r="P39" s="12">
        <v>41</v>
      </c>
      <c r="Q39" s="11">
        <v>117</v>
      </c>
      <c r="R39" s="11">
        <v>1</v>
      </c>
      <c r="S39" s="11">
        <v>121</v>
      </c>
      <c r="T39" s="12">
        <v>3</v>
      </c>
      <c r="U39" s="12">
        <v>37</v>
      </c>
      <c r="V39" s="13">
        <v>4.3214285714285712</v>
      </c>
      <c r="W39" s="13">
        <v>72.023809523809518</v>
      </c>
      <c r="X39" s="13">
        <v>3.2702702702702702</v>
      </c>
      <c r="Y39" s="14">
        <v>1.2702702702702704</v>
      </c>
      <c r="Z39" s="15">
        <v>6.166666666666667</v>
      </c>
    </row>
    <row r="40" spans="1:27" ht="15.75" x14ac:dyDescent="0.25">
      <c r="A40" s="231"/>
      <c r="B40" s="258"/>
      <c r="C40" s="254"/>
      <c r="D40" s="22" t="s">
        <v>53</v>
      </c>
      <c r="E40" s="10">
        <v>28</v>
      </c>
      <c r="F40" s="10">
        <v>14</v>
      </c>
      <c r="G40" s="28">
        <v>5</v>
      </c>
      <c r="H40" s="11">
        <v>79</v>
      </c>
      <c r="I40" s="11">
        <v>12</v>
      </c>
      <c r="J40" s="11">
        <v>96</v>
      </c>
      <c r="K40" s="11">
        <v>14</v>
      </c>
      <c r="L40" s="11">
        <v>65</v>
      </c>
      <c r="M40" s="12">
        <v>7</v>
      </c>
      <c r="N40" s="11">
        <v>6</v>
      </c>
      <c r="O40" s="11">
        <v>1</v>
      </c>
      <c r="P40" s="12">
        <v>86</v>
      </c>
      <c r="Q40" s="11">
        <v>236</v>
      </c>
      <c r="R40" s="11">
        <v>6</v>
      </c>
      <c r="S40" s="11">
        <v>290</v>
      </c>
      <c r="T40" s="12">
        <v>10</v>
      </c>
      <c r="U40" s="12">
        <v>72</v>
      </c>
      <c r="V40" s="13">
        <v>10.357142857142858</v>
      </c>
      <c r="W40" s="13">
        <v>73.979591836734699</v>
      </c>
      <c r="X40" s="13">
        <v>4.0277777777777777</v>
      </c>
      <c r="Y40" s="23">
        <v>1.4166666666666665</v>
      </c>
      <c r="Z40" s="24">
        <v>5.1428571428571432</v>
      </c>
    </row>
    <row r="41" spans="1:27" ht="15.75" x14ac:dyDescent="0.25">
      <c r="A41" s="231"/>
      <c r="B41" s="258"/>
      <c r="C41" s="254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 t="e">
        <v>#DIV/0!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7" ht="15.75" x14ac:dyDescent="0.25">
      <c r="A42" s="231"/>
      <c r="B42" s="258"/>
      <c r="C42" s="17" t="s">
        <v>50</v>
      </c>
      <c r="D42" s="16"/>
      <c r="E42" s="17">
        <v>28</v>
      </c>
      <c r="F42" s="17">
        <v>26</v>
      </c>
      <c r="G42" s="17">
        <v>10</v>
      </c>
      <c r="H42" s="17">
        <v>151</v>
      </c>
      <c r="I42" s="17">
        <v>20</v>
      </c>
      <c r="J42" s="17">
        <v>181</v>
      </c>
      <c r="K42" s="17">
        <v>23</v>
      </c>
      <c r="L42" s="17">
        <v>133</v>
      </c>
      <c r="M42" s="18">
        <v>8</v>
      </c>
      <c r="N42" s="17">
        <v>6</v>
      </c>
      <c r="O42" s="17">
        <v>2</v>
      </c>
      <c r="P42" s="18">
        <v>164</v>
      </c>
      <c r="Q42" s="17">
        <v>454</v>
      </c>
      <c r="R42" s="17">
        <v>7</v>
      </c>
      <c r="S42" s="17">
        <v>524</v>
      </c>
      <c r="T42" s="18">
        <v>17</v>
      </c>
      <c r="U42" s="18">
        <v>141</v>
      </c>
      <c r="V42" s="19">
        <v>18.714285714285715</v>
      </c>
      <c r="W42" s="19">
        <v>71.978021978021971</v>
      </c>
      <c r="X42" s="19">
        <v>3.7163120567375887</v>
      </c>
      <c r="Y42" s="20">
        <v>1.4468085106382977</v>
      </c>
      <c r="Z42" s="20">
        <v>5.4230769230769234</v>
      </c>
    </row>
    <row r="43" spans="1:27" ht="15.75" x14ac:dyDescent="0.25">
      <c r="A43" s="59"/>
      <c r="B43" s="258"/>
      <c r="C43" s="17"/>
      <c r="D43" s="16"/>
      <c r="E43" s="17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8"/>
      <c r="Q43" s="17"/>
      <c r="R43" s="17"/>
      <c r="S43" s="17"/>
      <c r="T43" s="18"/>
      <c r="U43" s="18"/>
      <c r="V43" s="19"/>
      <c r="W43" s="19"/>
      <c r="X43" s="19"/>
      <c r="Y43" s="20"/>
      <c r="Z43" s="20"/>
    </row>
    <row r="44" spans="1:27" ht="15.75" x14ac:dyDescent="0.25">
      <c r="A44" s="231">
        <v>12</v>
      </c>
      <c r="B44" s="258"/>
      <c r="C44" s="10" t="s">
        <v>54</v>
      </c>
      <c r="D44" s="21" t="s">
        <v>48</v>
      </c>
      <c r="E44" s="10">
        <v>28</v>
      </c>
      <c r="F44" s="10">
        <v>15</v>
      </c>
      <c r="G44" s="28">
        <v>9</v>
      </c>
      <c r="H44" s="11">
        <v>61</v>
      </c>
      <c r="I44" s="11">
        <v>4</v>
      </c>
      <c r="J44" s="11">
        <v>74</v>
      </c>
      <c r="K44" s="11">
        <v>4</v>
      </c>
      <c r="L44" s="11">
        <v>55</v>
      </c>
      <c r="M44" s="12">
        <v>8</v>
      </c>
      <c r="N44" s="11">
        <v>5</v>
      </c>
      <c r="O44" s="11">
        <v>3</v>
      </c>
      <c r="P44" s="12">
        <v>67</v>
      </c>
      <c r="Q44" s="11">
        <v>242</v>
      </c>
      <c r="R44" s="11">
        <v>2</v>
      </c>
      <c r="S44" s="11">
        <v>227</v>
      </c>
      <c r="T44" s="12">
        <v>7</v>
      </c>
      <c r="U44" s="12">
        <v>63</v>
      </c>
      <c r="V44" s="13">
        <v>8.1071428571428577</v>
      </c>
      <c r="W44" s="13">
        <v>54.047619047619058</v>
      </c>
      <c r="X44" s="13">
        <v>3.6031746031746033</v>
      </c>
      <c r="Y44" s="14">
        <v>3.0634920634920637</v>
      </c>
      <c r="Z44" s="15">
        <v>4.2</v>
      </c>
    </row>
    <row r="45" spans="1:27" ht="15.75" x14ac:dyDescent="0.25">
      <c r="A45" s="231"/>
      <c r="B45" s="258"/>
      <c r="C45" s="10"/>
      <c r="D45" s="21" t="s">
        <v>55</v>
      </c>
      <c r="E45" s="10">
        <v>28</v>
      </c>
      <c r="F45" s="10">
        <v>2</v>
      </c>
      <c r="G45" s="28">
        <v>0</v>
      </c>
      <c r="H45" s="11">
        <v>2</v>
      </c>
      <c r="I45" s="11">
        <v>2</v>
      </c>
      <c r="J45" s="11">
        <v>4</v>
      </c>
      <c r="K45" s="11">
        <v>0</v>
      </c>
      <c r="L45" s="11">
        <v>2</v>
      </c>
      <c r="M45" s="12">
        <v>1</v>
      </c>
      <c r="N45" s="11">
        <v>0</v>
      </c>
      <c r="O45" s="11">
        <v>1</v>
      </c>
      <c r="P45" s="12">
        <v>3</v>
      </c>
      <c r="Q45" s="11">
        <v>12</v>
      </c>
      <c r="R45" s="11">
        <v>0</v>
      </c>
      <c r="S45" s="11">
        <v>13</v>
      </c>
      <c r="T45" s="12">
        <v>1</v>
      </c>
      <c r="U45" s="12">
        <v>3</v>
      </c>
      <c r="V45" s="13">
        <v>0.4642857142857143</v>
      </c>
      <c r="W45" s="13">
        <v>23.214285714285715</v>
      </c>
      <c r="X45" s="13">
        <v>4.333333333333333</v>
      </c>
      <c r="Y45" s="14">
        <v>14.333333333333334</v>
      </c>
      <c r="Z45" s="15">
        <v>1.5</v>
      </c>
      <c r="AA45">
        <f>13+87</f>
        <v>100</v>
      </c>
    </row>
    <row r="46" spans="1:27" ht="15.75" x14ac:dyDescent="0.25">
      <c r="A46" s="231"/>
      <c r="B46" s="258"/>
      <c r="C46" s="17" t="s">
        <v>54</v>
      </c>
      <c r="D46" s="16"/>
      <c r="E46" s="17">
        <v>28</v>
      </c>
      <c r="F46" s="17">
        <v>17</v>
      </c>
      <c r="G46" s="17">
        <v>9</v>
      </c>
      <c r="H46" s="17">
        <v>63</v>
      </c>
      <c r="I46" s="17">
        <v>6</v>
      </c>
      <c r="J46" s="17">
        <v>78</v>
      </c>
      <c r="K46" s="17">
        <v>4</v>
      </c>
      <c r="L46" s="17">
        <v>57</v>
      </c>
      <c r="M46" s="18">
        <v>9</v>
      </c>
      <c r="N46" s="17">
        <v>5</v>
      </c>
      <c r="O46" s="17">
        <v>4</v>
      </c>
      <c r="P46" s="18">
        <v>70</v>
      </c>
      <c r="Q46" s="17">
        <v>254</v>
      </c>
      <c r="R46" s="17">
        <v>2</v>
      </c>
      <c r="S46" s="17">
        <v>240</v>
      </c>
      <c r="T46" s="18">
        <v>8</v>
      </c>
      <c r="U46" s="18">
        <v>66</v>
      </c>
      <c r="V46" s="25">
        <v>8.5714285714285712</v>
      </c>
      <c r="W46" s="19">
        <v>50.420168067226889</v>
      </c>
      <c r="X46" s="19">
        <v>3.6363636363636362</v>
      </c>
      <c r="Y46" s="20">
        <v>3.5757575757575757</v>
      </c>
      <c r="Z46" s="20">
        <v>3.8823529411764706</v>
      </c>
    </row>
    <row r="47" spans="1:27" ht="15.75" customHeight="1" x14ac:dyDescent="0.25">
      <c r="A47" s="59"/>
      <c r="B47" s="258"/>
      <c r="C47" s="257" t="s">
        <v>56</v>
      </c>
      <c r="D47" s="22" t="s">
        <v>57</v>
      </c>
      <c r="E47" s="10">
        <v>28</v>
      </c>
      <c r="F47" s="11">
        <v>2</v>
      </c>
      <c r="G47" s="28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2">
        <v>0</v>
      </c>
      <c r="N47" s="11">
        <v>0</v>
      </c>
      <c r="O47" s="11">
        <v>0</v>
      </c>
      <c r="P47" s="12">
        <v>0</v>
      </c>
      <c r="Q47" s="11">
        <v>0</v>
      </c>
      <c r="R47" s="11">
        <v>0</v>
      </c>
      <c r="S47" s="11">
        <v>0</v>
      </c>
      <c r="T47" s="12">
        <v>0</v>
      </c>
      <c r="U47" s="12">
        <v>0</v>
      </c>
      <c r="V47" s="13">
        <v>0</v>
      </c>
      <c r="W47" s="13">
        <v>0</v>
      </c>
      <c r="X47" s="13" t="e">
        <v>#DIV/0!</v>
      </c>
      <c r="Y47" s="14" t="e">
        <v>#DIV/0!</v>
      </c>
      <c r="Z47" s="15">
        <v>0</v>
      </c>
    </row>
    <row r="48" spans="1:27" ht="15.75" x14ac:dyDescent="0.25">
      <c r="A48" s="231">
        <v>13</v>
      </c>
      <c r="B48" s="258"/>
      <c r="C48" s="257"/>
      <c r="D48" s="99" t="s">
        <v>58</v>
      </c>
      <c r="E48" s="10">
        <v>28</v>
      </c>
      <c r="F48" s="26">
        <v>3</v>
      </c>
      <c r="G48" s="56">
        <v>1</v>
      </c>
      <c r="H48" s="26">
        <v>5</v>
      </c>
      <c r="I48" s="26">
        <v>2</v>
      </c>
      <c r="J48" s="11">
        <v>8</v>
      </c>
      <c r="K48" s="26">
        <v>1</v>
      </c>
      <c r="L48" s="26">
        <v>7</v>
      </c>
      <c r="M48" s="12">
        <v>0</v>
      </c>
      <c r="N48" s="26">
        <v>0</v>
      </c>
      <c r="O48" s="26">
        <v>0</v>
      </c>
      <c r="P48" s="12">
        <v>8</v>
      </c>
      <c r="Q48" s="26">
        <v>38</v>
      </c>
      <c r="R48" s="26">
        <v>0</v>
      </c>
      <c r="S48" s="26">
        <v>34</v>
      </c>
      <c r="T48" s="12">
        <v>0</v>
      </c>
      <c r="U48" s="12">
        <v>7</v>
      </c>
      <c r="V48" s="13">
        <v>1.2142857142857142</v>
      </c>
      <c r="W48" s="13">
        <v>40.476190476190474</v>
      </c>
      <c r="X48" s="13">
        <v>4.8571428571428568</v>
      </c>
      <c r="Y48" s="14">
        <v>7.1428571428571432</v>
      </c>
      <c r="Z48" s="15">
        <v>2.3333333333333335</v>
      </c>
    </row>
    <row r="49" spans="1:32" ht="15.75" x14ac:dyDescent="0.25">
      <c r="A49" s="231"/>
      <c r="B49" s="258"/>
      <c r="C49" s="257"/>
      <c r="D49" s="99" t="s">
        <v>59</v>
      </c>
      <c r="E49" s="10">
        <v>28</v>
      </c>
      <c r="F49" s="26">
        <v>2</v>
      </c>
      <c r="G49" s="56">
        <v>1</v>
      </c>
      <c r="H49" s="26">
        <v>0</v>
      </c>
      <c r="I49" s="26">
        <v>2</v>
      </c>
      <c r="J49" s="11">
        <v>3</v>
      </c>
      <c r="K49" s="26">
        <v>1</v>
      </c>
      <c r="L49" s="26">
        <v>2</v>
      </c>
      <c r="M49" s="12">
        <v>0</v>
      </c>
      <c r="N49" s="26">
        <v>0</v>
      </c>
      <c r="O49" s="26">
        <v>0</v>
      </c>
      <c r="P49" s="12">
        <v>3</v>
      </c>
      <c r="Q49" s="26">
        <v>9</v>
      </c>
      <c r="R49" s="26">
        <v>0</v>
      </c>
      <c r="S49" s="26">
        <v>8</v>
      </c>
      <c r="T49" s="12">
        <v>0</v>
      </c>
      <c r="U49" s="12">
        <v>2</v>
      </c>
      <c r="V49" s="13">
        <v>0.2857142857142857</v>
      </c>
      <c r="W49" s="13">
        <v>14.285714285714285</v>
      </c>
      <c r="X49" s="13">
        <v>4</v>
      </c>
      <c r="Y49" s="14">
        <v>24</v>
      </c>
      <c r="Z49" s="15">
        <v>1</v>
      </c>
    </row>
    <row r="50" spans="1:32" ht="15.75" x14ac:dyDescent="0.25">
      <c r="A50" s="231"/>
      <c r="B50" s="258"/>
      <c r="C50" s="257"/>
      <c r="D50" s="99" t="s">
        <v>60</v>
      </c>
      <c r="E50" s="10">
        <v>28</v>
      </c>
      <c r="F50" s="26">
        <v>10</v>
      </c>
      <c r="G50" s="56">
        <v>3</v>
      </c>
      <c r="H50" s="26">
        <v>22</v>
      </c>
      <c r="I50" s="26">
        <v>5</v>
      </c>
      <c r="J50" s="11">
        <v>30</v>
      </c>
      <c r="K50" s="26">
        <v>5</v>
      </c>
      <c r="L50" s="26">
        <v>18</v>
      </c>
      <c r="M50" s="12">
        <v>6</v>
      </c>
      <c r="N50" s="26">
        <v>3</v>
      </c>
      <c r="O50" s="26">
        <v>3</v>
      </c>
      <c r="P50" s="12">
        <v>29</v>
      </c>
      <c r="Q50" s="26">
        <v>108</v>
      </c>
      <c r="R50" s="26">
        <v>0</v>
      </c>
      <c r="S50" s="26">
        <v>86</v>
      </c>
      <c r="T50" s="12">
        <v>1</v>
      </c>
      <c r="U50" s="12">
        <v>24</v>
      </c>
      <c r="V50" s="13">
        <v>3.0714285714285716</v>
      </c>
      <c r="W50" s="13">
        <v>30.714285714285715</v>
      </c>
      <c r="X50" s="13">
        <v>3.5833333333333335</v>
      </c>
      <c r="Y50" s="14">
        <v>8.0833333333333339</v>
      </c>
      <c r="Z50" s="15">
        <v>2.4</v>
      </c>
    </row>
    <row r="51" spans="1:32" ht="15.75" x14ac:dyDescent="0.25">
      <c r="A51" s="231"/>
      <c r="B51" s="258"/>
      <c r="C51" s="17" t="s">
        <v>61</v>
      </c>
      <c r="D51" s="16"/>
      <c r="E51" s="17">
        <v>28</v>
      </c>
      <c r="F51" s="17">
        <v>17</v>
      </c>
      <c r="G51" s="17">
        <v>5</v>
      </c>
      <c r="H51" s="17">
        <v>27</v>
      </c>
      <c r="I51" s="17">
        <v>9</v>
      </c>
      <c r="J51" s="17">
        <v>41</v>
      </c>
      <c r="K51" s="17">
        <v>7</v>
      </c>
      <c r="L51" s="17">
        <v>27</v>
      </c>
      <c r="M51" s="18">
        <v>6</v>
      </c>
      <c r="N51" s="17">
        <v>3</v>
      </c>
      <c r="O51" s="17">
        <v>3</v>
      </c>
      <c r="P51" s="18">
        <v>40</v>
      </c>
      <c r="Q51" s="17">
        <v>155</v>
      </c>
      <c r="R51" s="17">
        <v>0</v>
      </c>
      <c r="S51" s="17">
        <v>128</v>
      </c>
      <c r="T51" s="18">
        <v>1</v>
      </c>
      <c r="U51" s="18">
        <v>33</v>
      </c>
      <c r="V51" s="19">
        <v>4.5714285714285712</v>
      </c>
      <c r="W51" s="19">
        <v>26.890756302521009</v>
      </c>
      <c r="X51" s="19">
        <v>3.8787878787878789</v>
      </c>
      <c r="Y51" s="20">
        <v>10.545454545454545</v>
      </c>
      <c r="Z51" s="20">
        <v>1.9411764705882353</v>
      </c>
    </row>
    <row r="52" spans="1:32" ht="15.75" x14ac:dyDescent="0.25">
      <c r="A52" s="59"/>
      <c r="B52" s="258"/>
      <c r="C52" s="17"/>
      <c r="D52" s="16"/>
      <c r="E52" s="17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32" ht="15.75" x14ac:dyDescent="0.25">
      <c r="A53" s="231">
        <v>14</v>
      </c>
      <c r="B53" s="258"/>
      <c r="C53" s="11" t="s">
        <v>62</v>
      </c>
      <c r="D53" s="22" t="s">
        <v>55</v>
      </c>
      <c r="E53" s="10">
        <v>28</v>
      </c>
      <c r="F53" s="11">
        <v>8</v>
      </c>
      <c r="G53" s="28">
        <v>3</v>
      </c>
      <c r="H53" s="11">
        <v>23</v>
      </c>
      <c r="I53" s="11">
        <v>4</v>
      </c>
      <c r="J53" s="11">
        <v>30</v>
      </c>
      <c r="K53" s="11">
        <v>2</v>
      </c>
      <c r="L53" s="11">
        <v>25</v>
      </c>
      <c r="M53" s="12">
        <v>2</v>
      </c>
      <c r="N53" s="11">
        <v>2</v>
      </c>
      <c r="O53" s="11">
        <v>0</v>
      </c>
      <c r="P53" s="12">
        <v>29</v>
      </c>
      <c r="Q53" s="11">
        <v>78</v>
      </c>
      <c r="R53" s="11">
        <v>1</v>
      </c>
      <c r="S53" s="11">
        <v>87</v>
      </c>
      <c r="T53" s="12">
        <v>1</v>
      </c>
      <c r="U53" s="12">
        <v>27</v>
      </c>
      <c r="V53" s="13">
        <v>3.1071428571428572</v>
      </c>
      <c r="W53" s="24">
        <v>38.839285714285715</v>
      </c>
      <c r="X53" s="24">
        <v>3.2222222222222223</v>
      </c>
      <c r="Y53" s="23">
        <v>5.0740740740740744</v>
      </c>
      <c r="Z53" s="24">
        <v>3.375</v>
      </c>
    </row>
    <row r="54" spans="1:32" ht="15.75" x14ac:dyDescent="0.25">
      <c r="A54" s="231"/>
      <c r="B54" s="258"/>
      <c r="C54" s="17" t="s">
        <v>62</v>
      </c>
      <c r="D54" s="16" t="s">
        <v>55</v>
      </c>
      <c r="E54" s="17">
        <v>28</v>
      </c>
      <c r="F54" s="17">
        <v>8</v>
      </c>
      <c r="G54" s="17">
        <v>3</v>
      </c>
      <c r="H54" s="17">
        <v>23</v>
      </c>
      <c r="I54" s="17">
        <v>4</v>
      </c>
      <c r="J54" s="17">
        <v>30</v>
      </c>
      <c r="K54" s="17">
        <v>2</v>
      </c>
      <c r="L54" s="17">
        <v>25</v>
      </c>
      <c r="M54" s="18">
        <v>2</v>
      </c>
      <c r="N54" s="17">
        <v>2</v>
      </c>
      <c r="O54" s="17">
        <v>0</v>
      </c>
      <c r="P54" s="18">
        <v>29</v>
      </c>
      <c r="Q54" s="17">
        <v>78</v>
      </c>
      <c r="R54" s="17">
        <v>1</v>
      </c>
      <c r="S54" s="17">
        <v>87</v>
      </c>
      <c r="T54" s="18">
        <v>1</v>
      </c>
      <c r="U54" s="18">
        <v>27</v>
      </c>
      <c r="V54" s="19">
        <v>3.1071428571428572</v>
      </c>
      <c r="W54" s="27">
        <v>38.839285714285715</v>
      </c>
      <c r="X54" s="27">
        <v>3.2222222222222223</v>
      </c>
      <c r="Y54" s="27">
        <v>5.0740740740740744</v>
      </c>
      <c r="Z54" s="27">
        <v>3.375</v>
      </c>
    </row>
    <row r="55" spans="1:32" ht="15.75" x14ac:dyDescent="0.25">
      <c r="A55" s="59"/>
      <c r="B55" s="258"/>
      <c r="C55" s="17"/>
      <c r="D55" s="16"/>
      <c r="E55" s="17"/>
      <c r="F55" s="17"/>
      <c r="G55" s="17"/>
      <c r="H55" s="17"/>
      <c r="I55" s="17"/>
      <c r="J55" s="17"/>
      <c r="K55" s="17"/>
      <c r="L55" s="17"/>
      <c r="M55" s="18"/>
      <c r="N55" s="17"/>
      <c r="O55" s="17"/>
      <c r="P55" s="18"/>
      <c r="Q55" s="17"/>
      <c r="R55" s="17"/>
      <c r="S55" s="17"/>
      <c r="T55" s="18"/>
      <c r="U55" s="18"/>
      <c r="V55" s="19"/>
      <c r="W55" s="27"/>
      <c r="X55" s="27"/>
      <c r="Y55" s="27"/>
      <c r="Z55" s="27"/>
    </row>
    <row r="56" spans="1:32" ht="15.75" x14ac:dyDescent="0.25">
      <c r="A56" s="231">
        <v>15</v>
      </c>
      <c r="B56" s="258"/>
      <c r="C56" s="11" t="s">
        <v>63</v>
      </c>
      <c r="D56" s="22" t="s">
        <v>34</v>
      </c>
      <c r="E56" s="10">
        <v>28</v>
      </c>
      <c r="F56" s="11">
        <v>16</v>
      </c>
      <c r="G56" s="28">
        <v>15</v>
      </c>
      <c r="H56" s="11">
        <v>86</v>
      </c>
      <c r="I56" s="11">
        <v>21</v>
      </c>
      <c r="J56" s="11">
        <v>122</v>
      </c>
      <c r="K56" s="11">
        <v>7</v>
      </c>
      <c r="L56" s="11">
        <v>90</v>
      </c>
      <c r="M56" s="11">
        <v>12</v>
      </c>
      <c r="N56" s="11">
        <v>2</v>
      </c>
      <c r="O56" s="11">
        <v>10</v>
      </c>
      <c r="P56" s="11">
        <v>109</v>
      </c>
      <c r="Q56" s="11">
        <v>393</v>
      </c>
      <c r="R56" s="11">
        <v>2</v>
      </c>
      <c r="S56" s="11">
        <v>391</v>
      </c>
      <c r="T56" s="11">
        <v>13</v>
      </c>
      <c r="U56" s="11">
        <v>102</v>
      </c>
      <c r="V56" s="15">
        <v>13.964285714285714</v>
      </c>
      <c r="W56" s="15">
        <v>87.276785714285708</v>
      </c>
      <c r="X56" s="15">
        <v>3.8333333333333335</v>
      </c>
      <c r="Y56" s="14">
        <v>0.55882352941176494</v>
      </c>
      <c r="Z56" s="15">
        <v>6.375</v>
      </c>
    </row>
    <row r="57" spans="1:32" ht="15.75" x14ac:dyDescent="0.25">
      <c r="A57" s="231"/>
      <c r="B57" s="258"/>
      <c r="C57" s="17" t="s">
        <v>63</v>
      </c>
      <c r="D57" s="16"/>
      <c r="E57" s="17">
        <v>28</v>
      </c>
      <c r="F57" s="17">
        <v>16</v>
      </c>
      <c r="G57" s="17">
        <v>15</v>
      </c>
      <c r="H57" s="17">
        <v>86</v>
      </c>
      <c r="I57" s="17">
        <v>21</v>
      </c>
      <c r="J57" s="17">
        <v>122</v>
      </c>
      <c r="K57" s="17">
        <v>7</v>
      </c>
      <c r="L57" s="17">
        <v>90</v>
      </c>
      <c r="M57" s="17">
        <v>12</v>
      </c>
      <c r="N57" s="17">
        <v>2</v>
      </c>
      <c r="O57" s="17">
        <v>10</v>
      </c>
      <c r="P57" s="17">
        <v>109</v>
      </c>
      <c r="Q57" s="17">
        <v>393</v>
      </c>
      <c r="R57" s="17">
        <v>2</v>
      </c>
      <c r="S57" s="17">
        <v>391</v>
      </c>
      <c r="T57" s="17">
        <v>13</v>
      </c>
      <c r="U57" s="17">
        <v>102</v>
      </c>
      <c r="V57" s="20">
        <v>13.964285714285714</v>
      </c>
      <c r="W57" s="20">
        <v>87.276785714285708</v>
      </c>
      <c r="X57" s="20">
        <v>3.8333333333333335</v>
      </c>
      <c r="Y57" s="20">
        <v>0.55882352941176494</v>
      </c>
      <c r="Z57" s="20">
        <v>6.375</v>
      </c>
    </row>
    <row r="58" spans="1:32" ht="15.75" x14ac:dyDescent="0.25">
      <c r="A58" s="59"/>
      <c r="B58" s="258"/>
      <c r="C58" s="17"/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0"/>
      <c r="W58" s="20"/>
      <c r="X58" s="20"/>
      <c r="Y58" s="20"/>
      <c r="Z58" s="20"/>
    </row>
    <row r="59" spans="1:32" ht="15.75" x14ac:dyDescent="0.25">
      <c r="A59" s="253">
        <v>16</v>
      </c>
      <c r="B59" s="258"/>
      <c r="C59" s="10" t="s">
        <v>64</v>
      </c>
      <c r="D59" s="21" t="s">
        <v>48</v>
      </c>
      <c r="E59" s="10">
        <v>28</v>
      </c>
      <c r="F59" s="10">
        <v>2</v>
      </c>
      <c r="G59" s="28">
        <v>0</v>
      </c>
      <c r="H59" s="10">
        <v>1</v>
      </c>
      <c r="I59" s="10">
        <v>3</v>
      </c>
      <c r="J59" s="11">
        <v>4</v>
      </c>
      <c r="K59" s="10">
        <v>0</v>
      </c>
      <c r="L59" s="10">
        <v>4</v>
      </c>
      <c r="M59" s="11">
        <v>0</v>
      </c>
      <c r="N59" s="10">
        <v>0</v>
      </c>
      <c r="O59" s="10">
        <v>0</v>
      </c>
      <c r="P59" s="11">
        <v>4</v>
      </c>
      <c r="Q59" s="10">
        <v>7</v>
      </c>
      <c r="R59" s="10">
        <v>0</v>
      </c>
      <c r="S59" s="10">
        <v>5</v>
      </c>
      <c r="T59" s="12">
        <v>0</v>
      </c>
      <c r="U59" s="12">
        <v>4</v>
      </c>
      <c r="V59" s="13">
        <v>0.17857142857142858</v>
      </c>
      <c r="W59" s="24">
        <v>8.9285714285714288</v>
      </c>
      <c r="X59" s="24">
        <v>1.25</v>
      </c>
      <c r="Y59" s="23">
        <v>12.75</v>
      </c>
      <c r="Z59" s="24">
        <v>2</v>
      </c>
    </row>
    <row r="60" spans="1:32" ht="15.75" x14ac:dyDescent="0.25">
      <c r="A60" s="253"/>
      <c r="B60" s="258"/>
      <c r="C60" s="10"/>
      <c r="D60" s="21" t="s">
        <v>38</v>
      </c>
      <c r="E60" s="10">
        <v>28</v>
      </c>
      <c r="F60" s="10">
        <v>10</v>
      </c>
      <c r="G60" s="28">
        <v>5</v>
      </c>
      <c r="H60" s="10">
        <v>18</v>
      </c>
      <c r="I60" s="10">
        <v>67</v>
      </c>
      <c r="J60" s="11">
        <v>90</v>
      </c>
      <c r="K60" s="10">
        <v>64</v>
      </c>
      <c r="L60" s="10">
        <v>24</v>
      </c>
      <c r="M60" s="11">
        <v>0</v>
      </c>
      <c r="N60" s="10">
        <v>0</v>
      </c>
      <c r="O60" s="10">
        <v>0</v>
      </c>
      <c r="P60" s="11">
        <v>88</v>
      </c>
      <c r="Q60" s="10">
        <v>59</v>
      </c>
      <c r="R60" s="10">
        <v>0</v>
      </c>
      <c r="S60" s="10">
        <v>110</v>
      </c>
      <c r="T60" s="12">
        <v>2</v>
      </c>
      <c r="U60" s="12">
        <v>24</v>
      </c>
      <c r="V60" s="13">
        <v>3.9285714285714284</v>
      </c>
      <c r="W60" s="24">
        <v>39.285714285714285</v>
      </c>
      <c r="X60" s="24">
        <v>4.583333333333333</v>
      </c>
      <c r="Y60" s="23">
        <v>7.083333333333333</v>
      </c>
      <c r="Z60" s="24">
        <v>2.4</v>
      </c>
    </row>
    <row r="61" spans="1:32" ht="15.75" x14ac:dyDescent="0.25">
      <c r="A61" s="253"/>
      <c r="B61" s="258"/>
      <c r="C61" s="10"/>
      <c r="D61" s="21" t="s">
        <v>34</v>
      </c>
      <c r="E61" s="10">
        <v>28</v>
      </c>
      <c r="F61" s="10">
        <v>21</v>
      </c>
      <c r="G61" s="28">
        <v>5</v>
      </c>
      <c r="H61" s="10">
        <v>59</v>
      </c>
      <c r="I61" s="10">
        <v>135</v>
      </c>
      <c r="J61" s="11">
        <v>199</v>
      </c>
      <c r="K61" s="10">
        <v>35</v>
      </c>
      <c r="L61" s="10">
        <v>157</v>
      </c>
      <c r="M61" s="11">
        <v>0</v>
      </c>
      <c r="N61" s="10">
        <v>0</v>
      </c>
      <c r="O61" s="10">
        <v>0</v>
      </c>
      <c r="P61" s="11">
        <v>192</v>
      </c>
      <c r="Q61" s="10">
        <v>429</v>
      </c>
      <c r="R61" s="10">
        <v>1</v>
      </c>
      <c r="S61" s="10">
        <v>290</v>
      </c>
      <c r="T61" s="12">
        <v>7</v>
      </c>
      <c r="U61" s="12">
        <v>157</v>
      </c>
      <c r="V61" s="13">
        <v>10.357142857142858</v>
      </c>
      <c r="W61" s="24">
        <v>49.319727891156468</v>
      </c>
      <c r="X61" s="24">
        <v>1.8471337579617835</v>
      </c>
      <c r="Y61" s="23">
        <v>1.8980891719745223</v>
      </c>
      <c r="Z61" s="24">
        <v>7.4761904761904763</v>
      </c>
    </row>
    <row r="62" spans="1:32" ht="15.75" x14ac:dyDescent="0.25">
      <c r="A62" s="253"/>
      <c r="B62" s="258"/>
      <c r="C62" s="17" t="s">
        <v>64</v>
      </c>
      <c r="D62" s="16"/>
      <c r="E62" s="17">
        <v>28</v>
      </c>
      <c r="F62" s="17">
        <v>33</v>
      </c>
      <c r="G62" s="17">
        <v>10</v>
      </c>
      <c r="H62" s="17">
        <v>78</v>
      </c>
      <c r="I62" s="17">
        <v>205</v>
      </c>
      <c r="J62" s="17">
        <v>293</v>
      </c>
      <c r="K62" s="17">
        <v>99</v>
      </c>
      <c r="L62" s="17">
        <v>185</v>
      </c>
      <c r="M62" s="17">
        <v>0</v>
      </c>
      <c r="N62" s="17">
        <v>0</v>
      </c>
      <c r="O62" s="17">
        <v>0</v>
      </c>
      <c r="P62" s="17">
        <v>284</v>
      </c>
      <c r="Q62" s="17">
        <v>495</v>
      </c>
      <c r="R62" s="17">
        <v>1</v>
      </c>
      <c r="S62" s="17">
        <v>405</v>
      </c>
      <c r="T62" s="17">
        <v>9</v>
      </c>
      <c r="U62" s="17">
        <v>185</v>
      </c>
      <c r="V62" s="20">
        <v>14.464285714285714</v>
      </c>
      <c r="W62" s="20">
        <v>43.831168831168824</v>
      </c>
      <c r="X62" s="20">
        <v>2.189189189189189</v>
      </c>
      <c r="Y62" s="20">
        <v>2.8054054054054056</v>
      </c>
      <c r="Z62" s="20">
        <v>5.6060606060606064</v>
      </c>
      <c r="AA62" s="104">
        <f>G62</f>
        <v>10</v>
      </c>
      <c r="AB62" s="104">
        <f t="shared" ref="AB62:AF62" si="1">H62</f>
        <v>78</v>
      </c>
      <c r="AC62" s="104">
        <f t="shared" si="1"/>
        <v>205</v>
      </c>
      <c r="AD62" s="104">
        <f t="shared" si="1"/>
        <v>293</v>
      </c>
      <c r="AE62" s="104">
        <f t="shared" si="1"/>
        <v>99</v>
      </c>
      <c r="AF62" s="104">
        <f t="shared" si="1"/>
        <v>185</v>
      </c>
    </row>
    <row r="63" spans="1:32" ht="15.75" x14ac:dyDescent="0.25">
      <c r="A63" s="253">
        <v>17</v>
      </c>
      <c r="B63" s="258"/>
      <c r="C63" s="11" t="s">
        <v>81</v>
      </c>
      <c r="D63" s="21" t="s">
        <v>38</v>
      </c>
      <c r="E63" s="10">
        <v>28</v>
      </c>
      <c r="F63" s="10">
        <v>2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32" ht="15.75" x14ac:dyDescent="0.25">
      <c r="A64" s="253"/>
      <c r="B64" s="258"/>
      <c r="C64" s="17" t="s">
        <v>81</v>
      </c>
      <c r="D64" s="16" t="s">
        <v>38</v>
      </c>
      <c r="E64" s="17">
        <v>28</v>
      </c>
      <c r="F64" s="17">
        <v>2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>
        <v>0</v>
      </c>
      <c r="X64" s="20" t="e">
        <v>#DIV/0!</v>
      </c>
      <c r="Y64" s="20" t="e">
        <v>#DIV/0!</v>
      </c>
      <c r="Z64" s="20">
        <v>0</v>
      </c>
    </row>
    <row r="65" spans="1:26" ht="15.75" x14ac:dyDescent="0.25">
      <c r="A65" s="296" t="s">
        <v>65</v>
      </c>
      <c r="B65" s="297"/>
      <c r="C65" s="297"/>
      <c r="D65" s="298"/>
      <c r="E65" s="28">
        <v>28</v>
      </c>
      <c r="F65" s="29">
        <v>311</v>
      </c>
      <c r="G65" s="29">
        <v>176</v>
      </c>
      <c r="H65" s="29">
        <v>1351</v>
      </c>
      <c r="I65" s="29">
        <v>414</v>
      </c>
      <c r="J65" s="28">
        <v>1941</v>
      </c>
      <c r="K65" s="29">
        <v>259</v>
      </c>
      <c r="L65" s="29">
        <v>1393</v>
      </c>
      <c r="M65" s="28">
        <v>116</v>
      </c>
      <c r="N65" s="29">
        <v>60</v>
      </c>
      <c r="O65" s="29">
        <v>56</v>
      </c>
      <c r="P65" s="28">
        <v>1768</v>
      </c>
      <c r="Q65" s="29">
        <v>5430</v>
      </c>
      <c r="R65" s="29">
        <v>41</v>
      </c>
      <c r="S65" s="29">
        <v>5540</v>
      </c>
      <c r="T65" s="28">
        <v>173</v>
      </c>
      <c r="U65" s="28">
        <v>1509</v>
      </c>
      <c r="V65" s="30">
        <v>197.85714285714286</v>
      </c>
      <c r="W65" s="30">
        <v>63.619660082682593</v>
      </c>
      <c r="X65" s="30">
        <v>3.6713055003313451</v>
      </c>
      <c r="Y65" s="30">
        <v>2.0994035785288272</v>
      </c>
      <c r="Z65" s="30">
        <v>4.852090032154341</v>
      </c>
    </row>
    <row r="66" spans="1:26" x14ac:dyDescent="0.25">
      <c r="A66" s="31"/>
      <c r="D66" s="32"/>
      <c r="G66">
        <v>166</v>
      </c>
      <c r="W66" s="57" t="e">
        <v>#REF!</v>
      </c>
      <c r="X66" s="15">
        <v>3.6713055003313451</v>
      </c>
      <c r="Y66" s="15" t="e">
        <v>#REF!</v>
      </c>
      <c r="Z66" s="15" t="e">
        <v>#REF!</v>
      </c>
    </row>
    <row r="67" spans="1:26" x14ac:dyDescent="0.25">
      <c r="A67" s="33" t="s">
        <v>66</v>
      </c>
      <c r="B67" s="34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customHeight="1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67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68</v>
      </c>
      <c r="X68" s="8" t="s">
        <v>24</v>
      </c>
      <c r="Y68" s="8" t="s">
        <v>25</v>
      </c>
      <c r="Z68" s="8" t="s">
        <v>26</v>
      </c>
    </row>
    <row r="69" spans="1:26" ht="15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.75" x14ac:dyDescent="0.25">
      <c r="A72" s="231">
        <v>1</v>
      </c>
      <c r="B72" s="231" t="s">
        <v>40</v>
      </c>
      <c r="C72" s="11" t="s">
        <v>69</v>
      </c>
      <c r="D72" s="11" t="s">
        <v>38</v>
      </c>
      <c r="E72" s="10">
        <v>28</v>
      </c>
      <c r="F72" s="11">
        <v>2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>
        <v>0</v>
      </c>
      <c r="X72" s="35" t="e">
        <v>#DIV/0!</v>
      </c>
      <c r="Y72" s="36" t="e">
        <v>#DIV/0!</v>
      </c>
      <c r="Z72" s="35">
        <v>0</v>
      </c>
    </row>
    <row r="73" spans="1:26" ht="15.75" x14ac:dyDescent="0.25">
      <c r="A73" s="231"/>
      <c r="B73" s="231"/>
      <c r="C73" s="17" t="s">
        <v>69</v>
      </c>
      <c r="D73" s="17"/>
      <c r="E73" s="17">
        <v>28</v>
      </c>
      <c r="F73" s="17">
        <v>2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>
        <v>0</v>
      </c>
    </row>
    <row r="74" spans="1:26" ht="15.75" x14ac:dyDescent="0.25">
      <c r="A74" s="231">
        <v>2</v>
      </c>
      <c r="B74" s="231"/>
      <c r="C74" s="11" t="s">
        <v>70</v>
      </c>
      <c r="D74" s="11" t="s">
        <v>48</v>
      </c>
      <c r="E74" s="10">
        <v>28</v>
      </c>
      <c r="F74" s="11">
        <v>2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>
        <v>0</v>
      </c>
      <c r="X74" s="15" t="e">
        <v>#DIV/0!</v>
      </c>
      <c r="Y74" s="14" t="e">
        <v>#DIV/0!</v>
      </c>
      <c r="Z74" s="15">
        <v>0</v>
      </c>
    </row>
    <row r="75" spans="1:26" ht="15.75" x14ac:dyDescent="0.25">
      <c r="A75" s="231"/>
      <c r="B75" s="231"/>
      <c r="C75" s="17" t="s">
        <v>70</v>
      </c>
      <c r="D75" s="17"/>
      <c r="E75" s="17">
        <v>28</v>
      </c>
      <c r="F75" s="17">
        <v>2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>
        <v>0</v>
      </c>
      <c r="X75" s="20" t="e">
        <v>#DIV/0!</v>
      </c>
      <c r="Y75" s="20" t="e">
        <v>#DIV/0!</v>
      </c>
      <c r="Z75" s="20">
        <v>0</v>
      </c>
    </row>
    <row r="76" spans="1:26" ht="15.75" x14ac:dyDescent="0.25">
      <c r="A76" s="231">
        <v>3</v>
      </c>
      <c r="B76" s="231"/>
      <c r="C76" s="11" t="s">
        <v>63</v>
      </c>
      <c r="D76" s="11"/>
      <c r="E76" s="10">
        <v>28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x14ac:dyDescent="0.25">
      <c r="A77" s="231"/>
      <c r="B77" s="231"/>
      <c r="C77" s="17" t="s">
        <v>63</v>
      </c>
      <c r="D77" s="17"/>
      <c r="E77" s="17">
        <v>28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x14ac:dyDescent="0.25">
      <c r="A78" s="251" t="s">
        <v>71</v>
      </c>
      <c r="B78" s="251"/>
      <c r="C78" s="251"/>
      <c r="D78" s="251"/>
      <c r="E78" s="28">
        <v>28</v>
      </c>
      <c r="F78" s="29">
        <v>4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>
        <v>0</v>
      </c>
      <c r="X78" s="30" t="e">
        <v>#DIV/0!</v>
      </c>
      <c r="Y78" s="30" t="e">
        <v>#DIV/0!</v>
      </c>
      <c r="Z78" s="30">
        <v>0</v>
      </c>
    </row>
    <row r="79" spans="1:26" ht="18.75" x14ac:dyDescent="0.25">
      <c r="A79" s="252"/>
      <c r="B79" s="252"/>
      <c r="C79" s="252"/>
      <c r="D79" s="252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67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68</v>
      </c>
      <c r="X80" s="8" t="s">
        <v>24</v>
      </c>
      <c r="Y80" s="8" t="s">
        <v>25</v>
      </c>
      <c r="Z80" s="8" t="s">
        <v>26</v>
      </c>
    </row>
    <row r="81" spans="1:32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32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32" ht="21" customHeight="1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32" ht="15.75" x14ac:dyDescent="0.25">
      <c r="A84" s="231">
        <v>1</v>
      </c>
      <c r="B84" s="231" t="s">
        <v>72</v>
      </c>
      <c r="C84" s="10" t="s">
        <v>69</v>
      </c>
      <c r="D84" s="10" t="s">
        <v>38</v>
      </c>
      <c r="E84" s="10">
        <v>28</v>
      </c>
      <c r="F84" s="10">
        <v>18</v>
      </c>
      <c r="G84" s="10">
        <v>15</v>
      </c>
      <c r="H84" s="10">
        <v>99</v>
      </c>
      <c r="I84" s="10">
        <v>11</v>
      </c>
      <c r="J84" s="11">
        <v>125</v>
      </c>
      <c r="K84" s="10">
        <v>32</v>
      </c>
      <c r="L84" s="10">
        <v>76</v>
      </c>
      <c r="M84" s="11">
        <v>2</v>
      </c>
      <c r="N84" s="10">
        <v>1</v>
      </c>
      <c r="O84" s="10">
        <v>1</v>
      </c>
      <c r="P84" s="11">
        <v>110</v>
      </c>
      <c r="Q84" s="10">
        <v>408</v>
      </c>
      <c r="R84" s="10">
        <v>1</v>
      </c>
      <c r="S84" s="10">
        <v>464</v>
      </c>
      <c r="T84" s="11">
        <v>15</v>
      </c>
      <c r="U84" s="11">
        <v>78</v>
      </c>
      <c r="V84" s="15">
        <v>16.571428571428573</v>
      </c>
      <c r="W84" s="15">
        <v>92.063492063492063</v>
      </c>
      <c r="X84" s="15">
        <v>5.9487179487179489</v>
      </c>
      <c r="Y84" s="14">
        <v>0.51282051282051222</v>
      </c>
      <c r="Z84" s="15">
        <v>4.333333333333333</v>
      </c>
    </row>
    <row r="85" spans="1:32" ht="15.75" x14ac:dyDescent="0.25">
      <c r="A85" s="231"/>
      <c r="B85" s="231"/>
      <c r="C85" s="17" t="s">
        <v>69</v>
      </c>
      <c r="D85" s="17"/>
      <c r="E85" s="17">
        <v>28</v>
      </c>
      <c r="F85" s="41">
        <v>18</v>
      </c>
      <c r="G85" s="17">
        <v>15</v>
      </c>
      <c r="H85" s="17">
        <v>99</v>
      </c>
      <c r="I85" s="17">
        <v>11</v>
      </c>
      <c r="J85" s="17">
        <v>125</v>
      </c>
      <c r="K85" s="17">
        <v>32</v>
      </c>
      <c r="L85" s="17">
        <v>76</v>
      </c>
      <c r="M85" s="17">
        <v>2</v>
      </c>
      <c r="N85" s="17">
        <v>1</v>
      </c>
      <c r="O85" s="17">
        <v>1</v>
      </c>
      <c r="P85" s="17">
        <v>110</v>
      </c>
      <c r="Q85" s="17">
        <v>408</v>
      </c>
      <c r="R85" s="17">
        <v>1</v>
      </c>
      <c r="S85" s="17">
        <v>464</v>
      </c>
      <c r="T85" s="17">
        <v>15</v>
      </c>
      <c r="U85" s="17">
        <v>78</v>
      </c>
      <c r="V85" s="20">
        <v>16.571428571428573</v>
      </c>
      <c r="W85" s="20">
        <v>92.063492063492063</v>
      </c>
      <c r="X85" s="20">
        <v>5.9487179487179489</v>
      </c>
      <c r="Y85" s="20">
        <v>0.51282051282051222</v>
      </c>
      <c r="Z85" s="20">
        <v>4.333333333333333</v>
      </c>
      <c r="AA85" s="104">
        <f>G85</f>
        <v>15</v>
      </c>
      <c r="AB85" s="104">
        <f t="shared" ref="AB85:AF85" si="2">H85</f>
        <v>99</v>
      </c>
      <c r="AC85" s="104">
        <f t="shared" si="2"/>
        <v>11</v>
      </c>
      <c r="AD85" s="104">
        <f t="shared" si="2"/>
        <v>125</v>
      </c>
      <c r="AE85" s="104">
        <f t="shared" si="2"/>
        <v>32</v>
      </c>
      <c r="AF85" s="104">
        <f t="shared" si="2"/>
        <v>76</v>
      </c>
    </row>
    <row r="86" spans="1:32" ht="15.75" x14ac:dyDescent="0.25">
      <c r="A86" s="59"/>
      <c r="B86" s="231"/>
      <c r="C86" s="17"/>
      <c r="D86" s="17"/>
      <c r="E86" s="17"/>
      <c r="F86" s="4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20"/>
      <c r="W86" s="20"/>
      <c r="X86" s="20"/>
      <c r="Y86" s="20"/>
      <c r="Z86" s="20"/>
      <c r="AA86" s="104"/>
      <c r="AB86" s="104"/>
      <c r="AC86" s="104"/>
      <c r="AD86" s="104"/>
      <c r="AE86" s="104"/>
      <c r="AF86" s="104"/>
    </row>
    <row r="87" spans="1:32" ht="15.75" x14ac:dyDescent="0.25">
      <c r="A87" s="231">
        <v>2</v>
      </c>
      <c r="B87" s="231"/>
      <c r="C87" s="254" t="s">
        <v>73</v>
      </c>
      <c r="D87" s="10" t="s">
        <v>48</v>
      </c>
      <c r="E87" s="10">
        <v>28</v>
      </c>
      <c r="F87" s="10">
        <v>2</v>
      </c>
      <c r="G87" s="11">
        <v>0</v>
      </c>
      <c r="H87" s="11">
        <v>0</v>
      </c>
      <c r="I87" s="11">
        <v>1</v>
      </c>
      <c r="J87" s="11">
        <v>1</v>
      </c>
      <c r="K87" s="11">
        <v>0</v>
      </c>
      <c r="L87" s="11">
        <v>1</v>
      </c>
      <c r="M87" s="11">
        <v>0</v>
      </c>
      <c r="N87" s="11">
        <v>0</v>
      </c>
      <c r="O87" s="11">
        <v>0</v>
      </c>
      <c r="P87" s="11">
        <v>1</v>
      </c>
      <c r="Q87" s="11">
        <v>1</v>
      </c>
      <c r="R87" s="11">
        <v>0</v>
      </c>
      <c r="S87" s="11">
        <v>1</v>
      </c>
      <c r="T87" s="11">
        <v>0</v>
      </c>
      <c r="U87" s="11">
        <v>1</v>
      </c>
      <c r="V87" s="15">
        <v>3.5714285714285712E-2</v>
      </c>
      <c r="W87" s="15">
        <v>1.7857142857142856</v>
      </c>
      <c r="X87" s="15">
        <v>1</v>
      </c>
      <c r="Y87" s="14">
        <v>55</v>
      </c>
      <c r="Z87" s="15">
        <v>0.5</v>
      </c>
    </row>
    <row r="88" spans="1:32" ht="15.75" x14ac:dyDescent="0.25">
      <c r="A88" s="231"/>
      <c r="B88" s="231"/>
      <c r="C88" s="254"/>
      <c r="D88" s="10" t="s">
        <v>38</v>
      </c>
      <c r="E88" s="10">
        <v>28</v>
      </c>
      <c r="F88" s="10">
        <v>4</v>
      </c>
      <c r="G88" s="11">
        <v>2</v>
      </c>
      <c r="H88" s="11">
        <v>1</v>
      </c>
      <c r="I88" s="11">
        <v>25</v>
      </c>
      <c r="J88" s="11">
        <v>28</v>
      </c>
      <c r="K88" s="11">
        <v>19</v>
      </c>
      <c r="L88" s="11">
        <v>9</v>
      </c>
      <c r="M88" s="11">
        <v>0</v>
      </c>
      <c r="N88" s="11">
        <v>0</v>
      </c>
      <c r="O88" s="11">
        <v>0</v>
      </c>
      <c r="P88" s="11">
        <v>28</v>
      </c>
      <c r="Q88" s="11">
        <v>15</v>
      </c>
      <c r="R88" s="11">
        <v>0</v>
      </c>
      <c r="S88" s="11">
        <v>32</v>
      </c>
      <c r="T88" s="11">
        <v>0</v>
      </c>
      <c r="U88" s="11">
        <v>9</v>
      </c>
      <c r="V88" s="15">
        <v>1.1428571428571428</v>
      </c>
      <c r="W88" s="15">
        <v>28.571428571428569</v>
      </c>
      <c r="X88" s="15">
        <v>3.5555555555555554</v>
      </c>
      <c r="Y88" s="14">
        <v>8.8888888888888893</v>
      </c>
      <c r="Z88" s="15">
        <v>2.25</v>
      </c>
    </row>
    <row r="89" spans="1:32" ht="15.75" x14ac:dyDescent="0.25">
      <c r="A89" s="231"/>
      <c r="B89" s="231"/>
      <c r="C89" s="254"/>
      <c r="D89" s="10" t="s">
        <v>34</v>
      </c>
      <c r="E89" s="10">
        <v>28</v>
      </c>
      <c r="F89" s="10">
        <v>10</v>
      </c>
      <c r="G89" s="11">
        <v>3</v>
      </c>
      <c r="H89" s="11">
        <v>0</v>
      </c>
      <c r="I89" s="11">
        <v>47</v>
      </c>
      <c r="J89" s="11">
        <v>50</v>
      </c>
      <c r="K89" s="11">
        <v>1</v>
      </c>
      <c r="L89" s="11">
        <v>48</v>
      </c>
      <c r="M89" s="11">
        <v>0</v>
      </c>
      <c r="N89" s="11">
        <v>0</v>
      </c>
      <c r="O89" s="11">
        <v>0</v>
      </c>
      <c r="P89" s="11">
        <v>49</v>
      </c>
      <c r="Q89" s="11">
        <v>75</v>
      </c>
      <c r="R89" s="11">
        <v>0</v>
      </c>
      <c r="S89" s="11">
        <v>52</v>
      </c>
      <c r="T89" s="11">
        <v>1</v>
      </c>
      <c r="U89" s="11">
        <v>48</v>
      </c>
      <c r="V89" s="15">
        <v>1.8571428571428572</v>
      </c>
      <c r="W89" s="15">
        <v>18.571428571428573</v>
      </c>
      <c r="X89" s="15">
        <v>1.0833333333333333</v>
      </c>
      <c r="Y89" s="14">
        <v>4.75</v>
      </c>
      <c r="Z89" s="15">
        <v>4.8</v>
      </c>
    </row>
    <row r="90" spans="1:32" ht="15.75" x14ac:dyDescent="0.25">
      <c r="A90" s="231"/>
      <c r="B90" s="231"/>
      <c r="C90" s="17" t="s">
        <v>73</v>
      </c>
      <c r="D90" s="17"/>
      <c r="E90" s="17">
        <v>28</v>
      </c>
      <c r="F90" s="17">
        <v>16</v>
      </c>
      <c r="G90" s="17">
        <v>5</v>
      </c>
      <c r="H90" s="17">
        <v>1</v>
      </c>
      <c r="I90" s="17">
        <v>73</v>
      </c>
      <c r="J90" s="17">
        <v>79</v>
      </c>
      <c r="K90" s="17">
        <v>20</v>
      </c>
      <c r="L90" s="17">
        <v>58</v>
      </c>
      <c r="M90" s="17">
        <v>0</v>
      </c>
      <c r="N90" s="17">
        <v>0</v>
      </c>
      <c r="O90" s="17">
        <v>0</v>
      </c>
      <c r="P90" s="17">
        <v>78</v>
      </c>
      <c r="Q90" s="17">
        <v>91</v>
      </c>
      <c r="R90" s="17">
        <v>0</v>
      </c>
      <c r="S90" s="17">
        <v>85</v>
      </c>
      <c r="T90" s="17">
        <v>1</v>
      </c>
      <c r="U90" s="17">
        <v>58</v>
      </c>
      <c r="V90" s="20">
        <v>3.0357142857142856</v>
      </c>
      <c r="W90" s="20">
        <v>18.973214285714285</v>
      </c>
      <c r="X90" s="20">
        <v>1.4655172413793103</v>
      </c>
      <c r="Y90" s="20">
        <v>6.2586206896551726</v>
      </c>
      <c r="Z90" s="20">
        <v>3.625</v>
      </c>
    </row>
    <row r="91" spans="1:32" ht="15.75" x14ac:dyDescent="0.25">
      <c r="A91" s="251" t="s">
        <v>74</v>
      </c>
      <c r="B91" s="251"/>
      <c r="C91" s="251"/>
      <c r="D91" s="251"/>
      <c r="E91" s="28">
        <v>28</v>
      </c>
      <c r="F91" s="29">
        <v>34</v>
      </c>
      <c r="G91" s="29">
        <v>20</v>
      </c>
      <c r="H91" s="29">
        <v>100</v>
      </c>
      <c r="I91" s="29">
        <v>84</v>
      </c>
      <c r="J91" s="28">
        <v>204</v>
      </c>
      <c r="K91" s="29">
        <v>52</v>
      </c>
      <c r="L91" s="29">
        <v>134</v>
      </c>
      <c r="M91" s="28">
        <v>2</v>
      </c>
      <c r="N91" s="29">
        <v>1</v>
      </c>
      <c r="O91" s="29">
        <v>1</v>
      </c>
      <c r="P91" s="28">
        <v>188</v>
      </c>
      <c r="Q91" s="29">
        <v>499</v>
      </c>
      <c r="R91" s="29">
        <v>1</v>
      </c>
      <c r="S91" s="29">
        <v>549</v>
      </c>
      <c r="T91" s="28">
        <v>16</v>
      </c>
      <c r="U91" s="28">
        <v>136</v>
      </c>
      <c r="V91" s="29">
        <v>19.607142857142858</v>
      </c>
      <c r="W91" s="30">
        <v>57.668067226890763</v>
      </c>
      <c r="X91" s="30">
        <v>4.0367647058823533</v>
      </c>
      <c r="Y91" s="30">
        <v>2.9632352941176472</v>
      </c>
      <c r="Z91" s="30">
        <v>4</v>
      </c>
    </row>
    <row r="92" spans="1:32" ht="17.25" customHeight="1" x14ac:dyDescent="0.25">
      <c r="A92" s="31"/>
      <c r="D92" s="32"/>
      <c r="E92" s="42"/>
      <c r="G92">
        <v>32</v>
      </c>
    </row>
    <row r="93" spans="1:32" ht="15" customHeight="1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67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68</v>
      </c>
      <c r="X93" s="8" t="s">
        <v>24</v>
      </c>
      <c r="Y93" s="8" t="s">
        <v>25</v>
      </c>
      <c r="Z93" s="8" t="s">
        <v>26</v>
      </c>
    </row>
    <row r="94" spans="1:32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32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32" ht="24.75" customHeight="1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32" ht="15.75" x14ac:dyDescent="0.25">
      <c r="A97" s="231">
        <v>1</v>
      </c>
      <c r="B97" s="239" t="s">
        <v>75</v>
      </c>
      <c r="C97" s="10" t="s">
        <v>76</v>
      </c>
      <c r="D97" s="10" t="s">
        <v>48</v>
      </c>
      <c r="E97" s="10">
        <v>28</v>
      </c>
      <c r="F97" s="10">
        <v>14</v>
      </c>
      <c r="G97" s="11">
        <v>11</v>
      </c>
      <c r="H97" s="11">
        <v>6</v>
      </c>
      <c r="I97" s="11">
        <v>84</v>
      </c>
      <c r="J97" s="11">
        <v>101</v>
      </c>
      <c r="K97" s="11">
        <v>84</v>
      </c>
      <c r="L97" s="11">
        <v>1</v>
      </c>
      <c r="M97" s="11">
        <v>7</v>
      </c>
      <c r="N97" s="11">
        <v>1</v>
      </c>
      <c r="O97" s="11">
        <v>6</v>
      </c>
      <c r="P97" s="11">
        <v>92</v>
      </c>
      <c r="Q97" s="11">
        <v>68</v>
      </c>
      <c r="R97" s="11">
        <v>0</v>
      </c>
      <c r="S97" s="11">
        <v>226</v>
      </c>
      <c r="T97" s="11">
        <v>9</v>
      </c>
      <c r="U97" s="11">
        <v>8</v>
      </c>
      <c r="V97" s="15">
        <v>8.0714285714285712</v>
      </c>
      <c r="W97" s="15">
        <v>57.653061224489797</v>
      </c>
      <c r="X97" s="15">
        <v>28.25</v>
      </c>
      <c r="Y97" s="14">
        <v>20.75</v>
      </c>
      <c r="Z97" s="15">
        <v>0.5714285714285714</v>
      </c>
    </row>
    <row r="98" spans="1:32" ht="15.75" x14ac:dyDescent="0.25">
      <c r="A98" s="231"/>
      <c r="B98" s="239"/>
      <c r="C98" s="17" t="s">
        <v>76</v>
      </c>
      <c r="D98" s="17" t="s">
        <v>48</v>
      </c>
      <c r="E98" s="17">
        <v>28</v>
      </c>
      <c r="F98" s="17">
        <v>14</v>
      </c>
      <c r="G98" s="17">
        <v>11</v>
      </c>
      <c r="H98" s="17">
        <v>6</v>
      </c>
      <c r="I98" s="17">
        <v>84</v>
      </c>
      <c r="J98" s="17">
        <v>101</v>
      </c>
      <c r="K98" s="17">
        <v>84</v>
      </c>
      <c r="L98" s="17">
        <v>1</v>
      </c>
      <c r="M98" s="17">
        <v>7</v>
      </c>
      <c r="N98" s="17">
        <v>1</v>
      </c>
      <c r="O98" s="17">
        <v>6</v>
      </c>
      <c r="P98" s="17">
        <v>92</v>
      </c>
      <c r="Q98" s="17">
        <v>68</v>
      </c>
      <c r="R98" s="17">
        <v>0</v>
      </c>
      <c r="S98" s="17">
        <v>226</v>
      </c>
      <c r="T98" s="17">
        <v>9</v>
      </c>
      <c r="U98" s="17">
        <v>8</v>
      </c>
      <c r="V98" s="20">
        <v>8.0714285714285712</v>
      </c>
      <c r="W98" s="20">
        <v>57.653061224489797</v>
      </c>
      <c r="X98" s="20">
        <v>28.25</v>
      </c>
      <c r="Y98" s="20">
        <v>20.75</v>
      </c>
      <c r="Z98" s="20">
        <v>0.5714285714285714</v>
      </c>
      <c r="AA98" s="104">
        <f>G98</f>
        <v>11</v>
      </c>
      <c r="AB98" s="104">
        <f t="shared" ref="AB98:AF98" si="3">H98</f>
        <v>6</v>
      </c>
      <c r="AC98" s="104">
        <f t="shared" si="3"/>
        <v>84</v>
      </c>
      <c r="AD98" s="104">
        <f t="shared" si="3"/>
        <v>101</v>
      </c>
      <c r="AE98" s="104">
        <f t="shared" si="3"/>
        <v>84</v>
      </c>
      <c r="AF98" s="104">
        <f t="shared" si="3"/>
        <v>1</v>
      </c>
    </row>
    <row r="99" spans="1:32" ht="15.75" x14ac:dyDescent="0.25">
      <c r="A99" s="231">
        <v>2</v>
      </c>
      <c r="B99" s="239"/>
      <c r="C99" s="10" t="s">
        <v>77</v>
      </c>
      <c r="D99" s="10" t="s">
        <v>48</v>
      </c>
      <c r="E99" s="10">
        <v>28</v>
      </c>
      <c r="F99" s="10">
        <v>5</v>
      </c>
      <c r="G99" s="11">
        <v>4</v>
      </c>
      <c r="H99" s="11">
        <v>40</v>
      </c>
      <c r="I99" s="11">
        <v>15</v>
      </c>
      <c r="J99" s="11">
        <v>59</v>
      </c>
      <c r="K99" s="11">
        <v>53</v>
      </c>
      <c r="L99" s="11">
        <v>0</v>
      </c>
      <c r="M99" s="11">
        <v>2</v>
      </c>
      <c r="N99" s="11">
        <v>1</v>
      </c>
      <c r="O99" s="11">
        <v>1</v>
      </c>
      <c r="P99" s="11">
        <v>55</v>
      </c>
      <c r="Q99" s="11">
        <v>5</v>
      </c>
      <c r="R99" s="11">
        <v>0</v>
      </c>
      <c r="S99" s="11">
        <v>92</v>
      </c>
      <c r="T99" s="11">
        <v>4</v>
      </c>
      <c r="U99" s="11">
        <v>2</v>
      </c>
      <c r="V99" s="15">
        <v>3.2857142857142856</v>
      </c>
      <c r="W99" s="15">
        <v>65.714285714285708</v>
      </c>
      <c r="X99" s="15">
        <v>46</v>
      </c>
      <c r="Y99" s="14">
        <v>24</v>
      </c>
      <c r="Z99" s="15">
        <v>0.4</v>
      </c>
    </row>
    <row r="100" spans="1:32" ht="15.75" x14ac:dyDescent="0.25">
      <c r="A100" s="231"/>
      <c r="B100" s="239"/>
      <c r="C100" s="17" t="s">
        <v>77</v>
      </c>
      <c r="D100" s="17" t="s">
        <v>48</v>
      </c>
      <c r="E100" s="17">
        <v>28</v>
      </c>
      <c r="F100" s="17">
        <v>5</v>
      </c>
      <c r="G100" s="17">
        <v>4</v>
      </c>
      <c r="H100" s="17">
        <v>40</v>
      </c>
      <c r="I100" s="17">
        <v>15</v>
      </c>
      <c r="J100" s="17">
        <v>59</v>
      </c>
      <c r="K100" s="17">
        <v>53</v>
      </c>
      <c r="L100" s="17">
        <v>0</v>
      </c>
      <c r="M100" s="17">
        <v>2</v>
      </c>
      <c r="N100" s="17">
        <v>1</v>
      </c>
      <c r="O100" s="17">
        <v>1</v>
      </c>
      <c r="P100" s="17">
        <v>55</v>
      </c>
      <c r="Q100" s="17">
        <v>5</v>
      </c>
      <c r="R100" s="17">
        <v>0</v>
      </c>
      <c r="S100" s="17">
        <v>92</v>
      </c>
      <c r="T100" s="17">
        <v>4</v>
      </c>
      <c r="U100" s="17">
        <v>2</v>
      </c>
      <c r="V100" s="20">
        <v>3.2857142857142856</v>
      </c>
      <c r="W100" s="20">
        <v>65.714285714285708</v>
      </c>
      <c r="X100" s="20">
        <v>46</v>
      </c>
      <c r="Y100" s="20">
        <v>24</v>
      </c>
      <c r="Z100" s="20">
        <v>0.4</v>
      </c>
      <c r="AA100">
        <f>G100</f>
        <v>4</v>
      </c>
      <c r="AB100">
        <f t="shared" ref="AB100:AF100" si="4">H100</f>
        <v>40</v>
      </c>
      <c r="AC100">
        <f t="shared" si="4"/>
        <v>15</v>
      </c>
      <c r="AD100">
        <f t="shared" si="4"/>
        <v>59</v>
      </c>
      <c r="AE100">
        <f t="shared" si="4"/>
        <v>53</v>
      </c>
      <c r="AF100">
        <f t="shared" si="4"/>
        <v>0</v>
      </c>
    </row>
    <row r="101" spans="1:32" ht="15.75" x14ac:dyDescent="0.25">
      <c r="A101" s="231">
        <v>3</v>
      </c>
      <c r="B101" s="239"/>
      <c r="C101" s="10" t="s">
        <v>78</v>
      </c>
      <c r="D101" s="10" t="s">
        <v>48</v>
      </c>
      <c r="E101" s="10">
        <v>28</v>
      </c>
      <c r="F101" s="10">
        <v>3</v>
      </c>
      <c r="G101" s="43">
        <v>1</v>
      </c>
      <c r="H101" s="43">
        <v>7</v>
      </c>
      <c r="I101" s="43">
        <v>10</v>
      </c>
      <c r="J101" s="11">
        <v>18</v>
      </c>
      <c r="K101" s="43">
        <v>13</v>
      </c>
      <c r="L101" s="43">
        <v>1</v>
      </c>
      <c r="M101" s="11">
        <v>2</v>
      </c>
      <c r="N101" s="43">
        <v>0</v>
      </c>
      <c r="O101" s="43">
        <v>2</v>
      </c>
      <c r="P101" s="11">
        <v>16</v>
      </c>
      <c r="Q101" s="43">
        <v>11</v>
      </c>
      <c r="R101" s="43">
        <v>0</v>
      </c>
      <c r="S101" s="43">
        <v>51</v>
      </c>
      <c r="T101" s="11">
        <v>2</v>
      </c>
      <c r="U101" s="11">
        <v>3</v>
      </c>
      <c r="V101" s="15">
        <v>1.8214285714285714</v>
      </c>
      <c r="W101" s="15">
        <v>60.714285714285708</v>
      </c>
      <c r="X101" s="15">
        <v>17</v>
      </c>
      <c r="Y101" s="14">
        <v>11</v>
      </c>
      <c r="Z101" s="15">
        <v>1</v>
      </c>
    </row>
    <row r="102" spans="1:32" ht="15.75" x14ac:dyDescent="0.25">
      <c r="A102" s="231"/>
      <c r="B102" s="239"/>
      <c r="C102" s="17" t="s">
        <v>78</v>
      </c>
      <c r="D102" s="17" t="s">
        <v>48</v>
      </c>
      <c r="E102" s="17">
        <v>28</v>
      </c>
      <c r="F102" s="17">
        <v>3</v>
      </c>
      <c r="G102" s="17">
        <v>1</v>
      </c>
      <c r="H102" s="17">
        <v>7</v>
      </c>
      <c r="I102" s="17">
        <v>10</v>
      </c>
      <c r="J102" s="17">
        <v>18</v>
      </c>
      <c r="K102" s="17">
        <v>13</v>
      </c>
      <c r="L102" s="17">
        <v>1</v>
      </c>
      <c r="M102" s="17">
        <v>2</v>
      </c>
      <c r="N102" s="17">
        <v>0</v>
      </c>
      <c r="O102" s="17">
        <v>2</v>
      </c>
      <c r="P102" s="17">
        <v>16</v>
      </c>
      <c r="Q102" s="17">
        <v>11</v>
      </c>
      <c r="R102" s="17">
        <v>0</v>
      </c>
      <c r="S102" s="17">
        <v>51</v>
      </c>
      <c r="T102" s="17">
        <v>2</v>
      </c>
      <c r="U102" s="17">
        <v>3</v>
      </c>
      <c r="V102" s="20">
        <v>1.8214285714285714</v>
      </c>
      <c r="W102" s="20">
        <v>60.714285714285708</v>
      </c>
      <c r="X102" s="20">
        <v>17</v>
      </c>
      <c r="Y102" s="20">
        <v>11</v>
      </c>
      <c r="Z102" s="20">
        <v>1</v>
      </c>
      <c r="AA102" s="104">
        <f>G102</f>
        <v>1</v>
      </c>
      <c r="AB102" s="104">
        <f t="shared" ref="AB102:AF102" si="5">H102</f>
        <v>7</v>
      </c>
      <c r="AC102" s="104">
        <f t="shared" si="5"/>
        <v>10</v>
      </c>
      <c r="AD102" s="104">
        <f t="shared" si="5"/>
        <v>18</v>
      </c>
      <c r="AE102" s="104">
        <f t="shared" si="5"/>
        <v>13</v>
      </c>
      <c r="AF102" s="104">
        <f t="shared" si="5"/>
        <v>1</v>
      </c>
    </row>
    <row r="103" spans="1:32" ht="15.75" x14ac:dyDescent="0.25">
      <c r="A103" s="231">
        <v>4</v>
      </c>
      <c r="B103" s="239"/>
      <c r="C103" s="11" t="s">
        <v>79</v>
      </c>
      <c r="D103" s="11" t="s">
        <v>48</v>
      </c>
      <c r="E103" s="10">
        <v>28</v>
      </c>
      <c r="F103" s="11">
        <v>5</v>
      </c>
      <c r="G103" s="11">
        <v>5</v>
      </c>
      <c r="H103" s="11">
        <v>6</v>
      </c>
      <c r="I103" s="11">
        <v>14</v>
      </c>
      <c r="J103" s="11">
        <v>25</v>
      </c>
      <c r="K103" s="11">
        <v>14</v>
      </c>
      <c r="L103" s="11">
        <v>0</v>
      </c>
      <c r="M103" s="11">
        <v>6</v>
      </c>
      <c r="N103" s="11">
        <v>3</v>
      </c>
      <c r="O103" s="11">
        <v>3</v>
      </c>
      <c r="P103" s="11">
        <v>20</v>
      </c>
      <c r="Q103" s="11">
        <v>31</v>
      </c>
      <c r="R103" s="11">
        <v>0</v>
      </c>
      <c r="S103" s="11">
        <v>115</v>
      </c>
      <c r="T103" s="11">
        <v>5</v>
      </c>
      <c r="U103" s="11">
        <v>6</v>
      </c>
      <c r="V103" s="15">
        <v>4.1071428571428568</v>
      </c>
      <c r="W103" s="15">
        <v>82.142857142857139</v>
      </c>
      <c r="X103" s="15">
        <v>19.166666666666668</v>
      </c>
      <c r="Y103" s="14">
        <v>4.1666666666666687</v>
      </c>
      <c r="Z103" s="15">
        <v>1.2</v>
      </c>
    </row>
    <row r="104" spans="1:32" ht="15.75" x14ac:dyDescent="0.25">
      <c r="A104" s="231"/>
      <c r="B104" s="239"/>
      <c r="C104" s="17" t="s">
        <v>79</v>
      </c>
      <c r="D104" s="17" t="s">
        <v>48</v>
      </c>
      <c r="E104" s="17">
        <v>28</v>
      </c>
      <c r="F104" s="17">
        <v>5</v>
      </c>
      <c r="G104" s="17">
        <v>5</v>
      </c>
      <c r="H104" s="17">
        <v>6</v>
      </c>
      <c r="I104" s="17">
        <v>14</v>
      </c>
      <c r="J104" s="17">
        <v>25</v>
      </c>
      <c r="K104" s="17">
        <v>14</v>
      </c>
      <c r="L104" s="17">
        <v>0</v>
      </c>
      <c r="M104" s="17">
        <v>6</v>
      </c>
      <c r="N104" s="17">
        <v>3</v>
      </c>
      <c r="O104" s="17">
        <v>3</v>
      </c>
      <c r="P104" s="17">
        <v>20</v>
      </c>
      <c r="Q104" s="17">
        <v>31</v>
      </c>
      <c r="R104" s="17">
        <v>0</v>
      </c>
      <c r="S104" s="17">
        <v>115</v>
      </c>
      <c r="T104" s="17">
        <v>5</v>
      </c>
      <c r="U104" s="17">
        <v>6</v>
      </c>
      <c r="V104" s="20">
        <v>4.1071428571428568</v>
      </c>
      <c r="W104" s="20">
        <v>82.142857142857139</v>
      </c>
      <c r="X104" s="20">
        <v>19.166666666666668</v>
      </c>
      <c r="Y104" s="20">
        <v>4.1666666666666687</v>
      </c>
      <c r="Z104" s="20">
        <v>1.2</v>
      </c>
      <c r="AA104" s="104">
        <f>G104</f>
        <v>5</v>
      </c>
      <c r="AB104" s="104">
        <f t="shared" ref="AB104:AF104" si="6">H104</f>
        <v>6</v>
      </c>
      <c r="AC104" s="104">
        <f t="shared" si="6"/>
        <v>14</v>
      </c>
      <c r="AD104" s="104">
        <f t="shared" si="6"/>
        <v>25</v>
      </c>
      <c r="AE104" s="104">
        <f t="shared" si="6"/>
        <v>14</v>
      </c>
      <c r="AF104" s="104">
        <f t="shared" si="6"/>
        <v>0</v>
      </c>
    </row>
    <row r="105" spans="1:32" ht="15.75" x14ac:dyDescent="0.25">
      <c r="A105" s="231">
        <v>5</v>
      </c>
      <c r="B105" s="239"/>
      <c r="C105" s="11" t="s">
        <v>80</v>
      </c>
      <c r="D105" s="11" t="s">
        <v>48</v>
      </c>
      <c r="E105" s="10">
        <v>28</v>
      </c>
      <c r="F105" s="11">
        <v>4</v>
      </c>
      <c r="G105" s="11">
        <v>1</v>
      </c>
      <c r="H105" s="11">
        <v>14</v>
      </c>
      <c r="I105" s="11">
        <v>6</v>
      </c>
      <c r="J105" s="11">
        <v>21</v>
      </c>
      <c r="K105" s="11">
        <v>11</v>
      </c>
      <c r="L105" s="11">
        <v>0</v>
      </c>
      <c r="M105" s="11">
        <v>6</v>
      </c>
      <c r="N105" s="11">
        <v>2</v>
      </c>
      <c r="O105" s="11">
        <v>4</v>
      </c>
      <c r="P105" s="11">
        <v>17</v>
      </c>
      <c r="Q105" s="11">
        <v>22</v>
      </c>
      <c r="R105" s="11">
        <v>1</v>
      </c>
      <c r="S105" s="11">
        <v>77</v>
      </c>
      <c r="T105" s="11">
        <v>4</v>
      </c>
      <c r="U105" s="11">
        <v>6</v>
      </c>
      <c r="V105" s="15">
        <v>2.75</v>
      </c>
      <c r="W105" s="35">
        <v>68.75</v>
      </c>
      <c r="X105" s="35">
        <v>12.833333333333334</v>
      </c>
      <c r="Y105" s="36">
        <v>5.833333333333333</v>
      </c>
      <c r="Z105" s="35">
        <v>1.5</v>
      </c>
    </row>
    <row r="106" spans="1:32" ht="15.75" x14ac:dyDescent="0.25">
      <c r="A106" s="231"/>
      <c r="B106" s="239"/>
      <c r="C106" s="17" t="s">
        <v>80</v>
      </c>
      <c r="D106" s="17" t="s">
        <v>48</v>
      </c>
      <c r="E106" s="17">
        <v>28</v>
      </c>
      <c r="F106" s="17">
        <v>4</v>
      </c>
      <c r="G106" s="17">
        <v>1</v>
      </c>
      <c r="H106" s="17">
        <v>14</v>
      </c>
      <c r="I106" s="17">
        <v>6</v>
      </c>
      <c r="J106" s="17">
        <v>21</v>
      </c>
      <c r="K106" s="17">
        <v>11</v>
      </c>
      <c r="L106" s="17">
        <v>0</v>
      </c>
      <c r="M106" s="17">
        <v>6</v>
      </c>
      <c r="N106" s="17">
        <v>2</v>
      </c>
      <c r="O106" s="17">
        <v>4</v>
      </c>
      <c r="P106" s="17">
        <v>17</v>
      </c>
      <c r="Q106" s="17">
        <v>22</v>
      </c>
      <c r="R106" s="17">
        <v>1</v>
      </c>
      <c r="S106" s="17">
        <v>77</v>
      </c>
      <c r="T106" s="17">
        <v>4</v>
      </c>
      <c r="U106" s="17">
        <v>6</v>
      </c>
      <c r="V106" s="20">
        <v>2.75</v>
      </c>
      <c r="W106" s="37">
        <v>68.75</v>
      </c>
      <c r="X106" s="37">
        <v>12.833333333333334</v>
      </c>
      <c r="Y106" s="37">
        <v>5.833333333333333</v>
      </c>
      <c r="Z106" s="37">
        <v>1.5</v>
      </c>
    </row>
    <row r="107" spans="1:32" ht="15.75" x14ac:dyDescent="0.25">
      <c r="A107" s="59"/>
      <c r="B107" s="239"/>
      <c r="C107" s="11" t="s">
        <v>70</v>
      </c>
      <c r="D107" s="11" t="s">
        <v>48</v>
      </c>
      <c r="E107" s="10">
        <v>28</v>
      </c>
      <c r="F107" s="11">
        <v>2</v>
      </c>
      <c r="G107" s="11">
        <v>1</v>
      </c>
      <c r="H107" s="11">
        <v>5</v>
      </c>
      <c r="I107" s="11">
        <v>1</v>
      </c>
      <c r="J107" s="11">
        <v>7</v>
      </c>
      <c r="K107" s="11">
        <v>3</v>
      </c>
      <c r="L107" s="11">
        <v>0</v>
      </c>
      <c r="M107" s="11">
        <v>2</v>
      </c>
      <c r="N107" s="11">
        <v>1</v>
      </c>
      <c r="O107" s="11">
        <v>1</v>
      </c>
      <c r="P107" s="11">
        <v>5</v>
      </c>
      <c r="Q107" s="11">
        <v>29</v>
      </c>
      <c r="R107" s="11">
        <v>0</v>
      </c>
      <c r="S107" s="11">
        <v>20</v>
      </c>
      <c r="T107" s="11">
        <v>2</v>
      </c>
      <c r="U107" s="11">
        <v>2</v>
      </c>
      <c r="V107" s="44">
        <v>0.7142857142857143</v>
      </c>
      <c r="W107" s="44">
        <v>35.714285714285715</v>
      </c>
      <c r="X107" s="44">
        <v>10</v>
      </c>
      <c r="Y107" s="45">
        <v>18</v>
      </c>
      <c r="Z107" s="44">
        <v>1</v>
      </c>
    </row>
    <row r="108" spans="1:32" ht="15.75" x14ac:dyDescent="0.25">
      <c r="A108" s="59"/>
      <c r="B108" s="239"/>
      <c r="C108" s="17" t="s">
        <v>70</v>
      </c>
      <c r="D108" s="17"/>
      <c r="E108" s="17">
        <v>28</v>
      </c>
      <c r="F108" s="17">
        <v>2</v>
      </c>
      <c r="G108" s="17">
        <v>1</v>
      </c>
      <c r="H108" s="17">
        <v>5</v>
      </c>
      <c r="I108" s="17">
        <v>1</v>
      </c>
      <c r="J108" s="17">
        <v>7</v>
      </c>
      <c r="K108" s="17">
        <v>3</v>
      </c>
      <c r="L108" s="17">
        <v>0</v>
      </c>
      <c r="M108" s="17">
        <v>2</v>
      </c>
      <c r="N108" s="17">
        <v>1</v>
      </c>
      <c r="O108" s="17">
        <v>1</v>
      </c>
      <c r="P108" s="17">
        <v>5</v>
      </c>
      <c r="Q108" s="17">
        <v>29</v>
      </c>
      <c r="R108" s="17">
        <v>0</v>
      </c>
      <c r="S108" s="17">
        <v>20</v>
      </c>
      <c r="T108" s="17">
        <v>2</v>
      </c>
      <c r="U108" s="17">
        <v>2</v>
      </c>
      <c r="V108" s="46">
        <v>0.7142857142857143</v>
      </c>
      <c r="W108" s="46">
        <v>35.714285714285715</v>
      </c>
      <c r="X108" s="46">
        <v>10</v>
      </c>
      <c r="Y108" s="46">
        <v>18</v>
      </c>
      <c r="Z108" s="46">
        <v>1</v>
      </c>
      <c r="AA108" s="104">
        <f>G108</f>
        <v>1</v>
      </c>
      <c r="AB108" s="104">
        <f t="shared" ref="AB108:AF108" si="7">H108</f>
        <v>5</v>
      </c>
      <c r="AC108" s="104">
        <f t="shared" si="7"/>
        <v>1</v>
      </c>
      <c r="AD108" s="104">
        <f t="shared" si="7"/>
        <v>7</v>
      </c>
      <c r="AE108" s="104">
        <f t="shared" si="7"/>
        <v>3</v>
      </c>
      <c r="AF108" s="104">
        <f t="shared" si="7"/>
        <v>0</v>
      </c>
    </row>
    <row r="109" spans="1:32" ht="15.75" x14ac:dyDescent="0.25">
      <c r="A109" s="231">
        <v>6</v>
      </c>
      <c r="B109" s="239"/>
      <c r="C109" s="11" t="s">
        <v>81</v>
      </c>
      <c r="D109" s="11" t="s">
        <v>48</v>
      </c>
      <c r="E109" s="10">
        <v>28</v>
      </c>
      <c r="F109" s="11">
        <v>10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>
        <v>0</v>
      </c>
      <c r="X109" s="15" t="e">
        <v>#DIV/0!</v>
      </c>
      <c r="Y109" s="14" t="e">
        <v>#DIV/0!</v>
      </c>
      <c r="Z109" s="15">
        <v>0</v>
      </c>
    </row>
    <row r="110" spans="1:32" ht="15.75" x14ac:dyDescent="0.25">
      <c r="A110" s="231"/>
      <c r="B110" s="239"/>
      <c r="C110" s="17" t="s">
        <v>81</v>
      </c>
      <c r="D110" s="17" t="s">
        <v>48</v>
      </c>
      <c r="E110" s="17">
        <v>28</v>
      </c>
      <c r="F110" s="17">
        <v>10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>
        <v>0</v>
      </c>
      <c r="X110" s="20" t="e">
        <v>#DIV/0!</v>
      </c>
      <c r="Y110" s="20" t="e">
        <v>#DIV/0!</v>
      </c>
      <c r="Z110" s="20">
        <v>0</v>
      </c>
    </row>
    <row r="111" spans="1:32" ht="15.75" x14ac:dyDescent="0.25">
      <c r="A111" s="231">
        <v>7</v>
      </c>
      <c r="B111" s="239"/>
      <c r="C111" s="11" t="s">
        <v>82</v>
      </c>
      <c r="D111" s="11" t="s">
        <v>38</v>
      </c>
      <c r="E111" s="10">
        <v>28</v>
      </c>
      <c r="F111" s="11"/>
      <c r="G111" s="11">
        <v>2</v>
      </c>
      <c r="H111" s="11">
        <v>139</v>
      </c>
      <c r="I111" s="11">
        <v>4</v>
      </c>
      <c r="J111" s="11">
        <v>145</v>
      </c>
      <c r="K111" s="11">
        <v>133</v>
      </c>
      <c r="L111" s="11">
        <v>2</v>
      </c>
      <c r="M111" s="11">
        <v>5</v>
      </c>
      <c r="N111" s="11">
        <v>5</v>
      </c>
      <c r="O111" s="11">
        <v>0</v>
      </c>
      <c r="P111" s="11">
        <v>140</v>
      </c>
      <c r="Q111" s="11">
        <v>7</v>
      </c>
      <c r="R111" s="11">
        <v>7</v>
      </c>
      <c r="S111" s="11">
        <v>78</v>
      </c>
      <c r="T111" s="11">
        <v>5</v>
      </c>
      <c r="U111" s="11">
        <v>7</v>
      </c>
      <c r="V111" s="15">
        <v>2.7857142857142856</v>
      </c>
      <c r="W111" s="15" t="e">
        <v>#DIV/0!</v>
      </c>
      <c r="X111" s="15">
        <v>11.142857142857142</v>
      </c>
      <c r="Y111" s="14">
        <v>-11.142857142857142</v>
      </c>
      <c r="Z111" s="15" t="e">
        <v>#DIV/0!</v>
      </c>
    </row>
    <row r="112" spans="1:32" ht="15.75" x14ac:dyDescent="0.25">
      <c r="A112" s="231"/>
      <c r="B112" s="239"/>
      <c r="C112" s="17" t="s">
        <v>82</v>
      </c>
      <c r="D112" s="17" t="s">
        <v>38</v>
      </c>
      <c r="E112" s="17">
        <v>28</v>
      </c>
      <c r="F112" s="17">
        <v>0</v>
      </c>
      <c r="G112" s="17">
        <v>2</v>
      </c>
      <c r="H112" s="17">
        <v>139</v>
      </c>
      <c r="I112" s="17">
        <v>4</v>
      </c>
      <c r="J112" s="17">
        <v>145</v>
      </c>
      <c r="K112" s="17">
        <v>133</v>
      </c>
      <c r="L112" s="17">
        <v>2</v>
      </c>
      <c r="M112" s="17">
        <v>5</v>
      </c>
      <c r="N112" s="17">
        <v>5</v>
      </c>
      <c r="O112" s="17">
        <v>0</v>
      </c>
      <c r="P112" s="17">
        <v>140</v>
      </c>
      <c r="Q112" s="17">
        <v>7</v>
      </c>
      <c r="R112" s="17">
        <v>7</v>
      </c>
      <c r="S112" s="17">
        <v>78</v>
      </c>
      <c r="T112" s="17">
        <v>5</v>
      </c>
      <c r="U112" s="17">
        <v>7</v>
      </c>
      <c r="V112" s="20">
        <v>2.7857142857142856</v>
      </c>
      <c r="W112" s="20" t="e">
        <v>#DIV/0!</v>
      </c>
      <c r="X112" s="20">
        <v>11.142857142857142</v>
      </c>
      <c r="Y112" s="20">
        <v>-11.142857142857142</v>
      </c>
      <c r="Z112" s="20" t="e">
        <v>#DIV/0!</v>
      </c>
    </row>
    <row r="113" spans="1:32" ht="15.75" hidden="1" customHeight="1" x14ac:dyDescent="0.25">
      <c r="A113" s="231">
        <v>8</v>
      </c>
      <c r="B113" s="239"/>
      <c r="C113" s="11" t="s">
        <v>64</v>
      </c>
      <c r="D113" s="11" t="s">
        <v>83</v>
      </c>
      <c r="E113" s="10">
        <v>28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32" ht="15.75" hidden="1" customHeight="1" x14ac:dyDescent="0.25">
      <c r="A114" s="231"/>
      <c r="B114" s="239"/>
      <c r="C114" s="17" t="s">
        <v>64</v>
      </c>
      <c r="D114" s="17" t="s">
        <v>83</v>
      </c>
      <c r="E114" s="17">
        <v>28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32" ht="15.75" hidden="1" customHeight="1" x14ac:dyDescent="0.25">
      <c r="A115" s="231">
        <v>9</v>
      </c>
      <c r="B115" s="239"/>
      <c r="C115" s="10" t="s">
        <v>73</v>
      </c>
      <c r="D115" s="10" t="s">
        <v>83</v>
      </c>
      <c r="E115" s="10">
        <v>28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32" ht="15.75" hidden="1" customHeight="1" x14ac:dyDescent="0.25">
      <c r="A116" s="231"/>
      <c r="B116" s="239"/>
      <c r="C116" s="17" t="s">
        <v>73</v>
      </c>
      <c r="D116" s="17" t="s">
        <v>83</v>
      </c>
      <c r="E116" s="17">
        <v>28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32" ht="15.75" x14ac:dyDescent="0.25">
      <c r="A117" s="232" t="s">
        <v>84</v>
      </c>
      <c r="B117" s="233"/>
      <c r="C117" s="233"/>
      <c r="D117" s="234"/>
      <c r="E117" s="28">
        <v>28</v>
      </c>
      <c r="F117" s="29">
        <v>41</v>
      </c>
      <c r="G117" s="29">
        <v>25</v>
      </c>
      <c r="H117" s="29">
        <v>217</v>
      </c>
      <c r="I117" s="29">
        <v>134</v>
      </c>
      <c r="J117" s="28">
        <v>376</v>
      </c>
      <c r="K117" s="29">
        <v>311</v>
      </c>
      <c r="L117" s="29">
        <v>4</v>
      </c>
      <c r="M117" s="28">
        <v>30</v>
      </c>
      <c r="N117" s="29">
        <v>13</v>
      </c>
      <c r="O117" s="29">
        <v>17</v>
      </c>
      <c r="P117" s="28">
        <v>345</v>
      </c>
      <c r="Q117" s="29">
        <v>173</v>
      </c>
      <c r="R117" s="29">
        <v>8</v>
      </c>
      <c r="S117" s="29">
        <v>659</v>
      </c>
      <c r="T117" s="28">
        <v>31</v>
      </c>
      <c r="U117" s="28">
        <v>34</v>
      </c>
      <c r="V117" s="47">
        <v>23.535714285714285</v>
      </c>
      <c r="W117" s="30">
        <v>57.404181184668992</v>
      </c>
      <c r="X117" s="30">
        <v>19.382352941176471</v>
      </c>
      <c r="Y117" s="30">
        <v>14.382352941176471</v>
      </c>
      <c r="Z117" s="30">
        <v>0.82926829268292679</v>
      </c>
    </row>
    <row r="118" spans="1:32" ht="15.75" x14ac:dyDescent="0.25">
      <c r="A118" s="299" t="s">
        <v>85</v>
      </c>
      <c r="B118" s="299"/>
      <c r="C118" s="299"/>
      <c r="D118" s="299"/>
      <c r="E118" s="48">
        <v>28</v>
      </c>
      <c r="F118" s="49">
        <v>388</v>
      </c>
      <c r="G118" s="49">
        <v>221</v>
      </c>
      <c r="H118" s="49">
        <v>1668</v>
      </c>
      <c r="I118" s="49">
        <v>632</v>
      </c>
      <c r="J118" s="48">
        <v>2521</v>
      </c>
      <c r="K118" s="49">
        <v>622</v>
      </c>
      <c r="L118" s="49">
        <v>1531</v>
      </c>
      <c r="M118" s="48">
        <v>148</v>
      </c>
      <c r="N118" s="49">
        <v>74</v>
      </c>
      <c r="O118" s="49">
        <v>74</v>
      </c>
      <c r="P118" s="48">
        <v>2301</v>
      </c>
      <c r="Q118" s="49">
        <v>6102</v>
      </c>
      <c r="R118" s="49">
        <v>50</v>
      </c>
      <c r="S118" s="49">
        <v>6748</v>
      </c>
      <c r="T118" s="49">
        <v>220</v>
      </c>
      <c r="U118" s="48">
        <v>1679</v>
      </c>
      <c r="V118" s="50">
        <v>241</v>
      </c>
      <c r="W118" s="51">
        <v>62.113402061855673</v>
      </c>
      <c r="X118" s="51">
        <v>4.0190589636688507</v>
      </c>
      <c r="Y118" s="51">
        <v>2.4514592019058963</v>
      </c>
      <c r="Z118" s="51">
        <v>4.3273195876288657</v>
      </c>
    </row>
    <row r="119" spans="1:32" x14ac:dyDescent="0.25">
      <c r="G119">
        <v>221</v>
      </c>
      <c r="H119">
        <v>405</v>
      </c>
      <c r="I119">
        <v>358</v>
      </c>
      <c r="K119">
        <v>309</v>
      </c>
      <c r="L119">
        <v>419</v>
      </c>
      <c r="Q119">
        <v>1692</v>
      </c>
      <c r="S119">
        <v>2055</v>
      </c>
      <c r="T119">
        <v>77</v>
      </c>
      <c r="Z119" t="s">
        <v>103</v>
      </c>
      <c r="AA119">
        <v>152</v>
      </c>
      <c r="AB119">
        <v>1259</v>
      </c>
      <c r="AC119">
        <v>273</v>
      </c>
      <c r="AE119">
        <v>309</v>
      </c>
      <c r="AF119">
        <v>1112</v>
      </c>
    </row>
    <row r="120" spans="1:32" x14ac:dyDescent="0.25">
      <c r="H120">
        <f>H118-H119</f>
        <v>1263</v>
      </c>
      <c r="I120">
        <f>I118-I119</f>
        <v>274</v>
      </c>
      <c r="K120">
        <f>K118-K119</f>
        <v>313</v>
      </c>
      <c r="L120">
        <f>L118-L119</f>
        <v>1112</v>
      </c>
      <c r="Q120">
        <f>Q118-Q119</f>
        <v>4410</v>
      </c>
      <c r="S120">
        <f>S118-S119</f>
        <v>4693</v>
      </c>
      <c r="T120">
        <f>T118-T119</f>
        <v>143</v>
      </c>
      <c r="AA120">
        <f>+AA17+AA62+AA85+AA98+AA100+AA102+AA104+AA108+AA119</f>
        <v>221</v>
      </c>
      <c r="AB120">
        <f t="shared" ref="AB120:AF120" si="8">+AB17+AB62+AB85+AB98+AB100+AB102+AB104+AB108+AB119</f>
        <v>1668</v>
      </c>
      <c r="AC120">
        <f t="shared" si="8"/>
        <v>632</v>
      </c>
      <c r="AD120">
        <f t="shared" si="8"/>
        <v>837</v>
      </c>
      <c r="AE120">
        <f t="shared" si="8"/>
        <v>622</v>
      </c>
      <c r="AF120">
        <f t="shared" si="8"/>
        <v>1531</v>
      </c>
    </row>
    <row r="121" spans="1:32" x14ac:dyDescent="0.25">
      <c r="W121" s="32" t="s">
        <v>86</v>
      </c>
    </row>
    <row r="122" spans="1:32" x14ac:dyDescent="0.25">
      <c r="S122">
        <f>+S32+S35+S44+S87</f>
        <v>480</v>
      </c>
      <c r="W122" s="32" t="s">
        <v>87</v>
      </c>
    </row>
    <row r="123" spans="1:32" x14ac:dyDescent="0.25">
      <c r="W123" s="60" t="s">
        <v>88</v>
      </c>
    </row>
    <row r="124" spans="1:32" x14ac:dyDescent="0.25">
      <c r="W124" s="61"/>
    </row>
    <row r="125" spans="1:32" x14ac:dyDescent="0.25">
      <c r="W125" s="61"/>
    </row>
    <row r="126" spans="1:32" x14ac:dyDescent="0.25">
      <c r="W126" s="61"/>
    </row>
    <row r="127" spans="1:32" x14ac:dyDescent="0.25">
      <c r="W127" s="62" t="s">
        <v>89</v>
      </c>
    </row>
    <row r="128" spans="1:32" x14ac:dyDescent="0.25">
      <c r="W128" s="60" t="s">
        <v>90</v>
      </c>
    </row>
    <row r="133" spans="8:20" x14ac:dyDescent="0.25">
      <c r="H133">
        <f>+H47+H49+H88</f>
        <v>1</v>
      </c>
      <c r="S133">
        <f>+S42+S47+S49+S88</f>
        <v>564</v>
      </c>
    </row>
    <row r="135" spans="8:20" x14ac:dyDescent="0.25">
      <c r="S135">
        <f>+S10+S13+S21+S23+S26+S28+S48+S50+S89</f>
        <v>2799</v>
      </c>
    </row>
    <row r="137" spans="8:20" x14ac:dyDescent="0.25">
      <c r="T137">
        <v>100</v>
      </c>
    </row>
    <row r="138" spans="8:20" x14ac:dyDescent="0.25">
      <c r="T138">
        <v>681</v>
      </c>
    </row>
    <row r="139" spans="8:20" x14ac:dyDescent="0.25">
      <c r="T139">
        <v>564</v>
      </c>
    </row>
    <row r="140" spans="8:20" x14ac:dyDescent="0.25">
      <c r="T140">
        <v>2799</v>
      </c>
    </row>
    <row r="141" spans="8:20" x14ac:dyDescent="0.25">
      <c r="T141">
        <f>SUM(T137:T140)</f>
        <v>4144</v>
      </c>
    </row>
  </sheetData>
  <sheetProtection algorithmName="SHA-512" hashValue="pJbp5SlJ3Mp+A3xZpFB2SBU+uhzxYXXY9HKTsfM0K8xf0OddTL4eBdAuiPtNFiQLCCIQ9XGHexn5jBm7T+Sl8A==" saltValue="I7pbRl+++0E2cRieOk5GdA==" spinCount="100000" sheet="1" objects="1" scenarios="1"/>
  <mergeCells count="151">
    <mergeCell ref="A111:A112"/>
    <mergeCell ref="A113:A114"/>
    <mergeCell ref="A115:A116"/>
    <mergeCell ref="A117:D117"/>
    <mergeCell ref="A118:D118"/>
    <mergeCell ref="X94:X95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9:A110"/>
    <mergeCell ref="R93:R95"/>
    <mergeCell ref="S93:S95"/>
    <mergeCell ref="T93:T95"/>
    <mergeCell ref="U93:U96"/>
    <mergeCell ref="V94:V95"/>
    <mergeCell ref="W94:W95"/>
    <mergeCell ref="L93:L95"/>
    <mergeCell ref="M93:M95"/>
    <mergeCell ref="N93:N95"/>
    <mergeCell ref="A91:D91"/>
    <mergeCell ref="A93:A96"/>
    <mergeCell ref="B93:B96"/>
    <mergeCell ref="C93:C96"/>
    <mergeCell ref="D93:D96"/>
    <mergeCell ref="E93:E96"/>
    <mergeCell ref="W81:W82"/>
    <mergeCell ref="X81:X82"/>
    <mergeCell ref="Y81:Y82"/>
    <mergeCell ref="O93:O95"/>
    <mergeCell ref="P93:P95"/>
    <mergeCell ref="Q93:Q95"/>
    <mergeCell ref="F93:F96"/>
    <mergeCell ref="G93:G95"/>
    <mergeCell ref="H93:H95"/>
    <mergeCell ref="I93:I95"/>
    <mergeCell ref="J93:J95"/>
    <mergeCell ref="K93:K95"/>
    <mergeCell ref="X69:X70"/>
    <mergeCell ref="Y69:Y70"/>
    <mergeCell ref="B68:B71"/>
    <mergeCell ref="C68:C71"/>
    <mergeCell ref="D68:D71"/>
    <mergeCell ref="Z81:Z82"/>
    <mergeCell ref="A84:A85"/>
    <mergeCell ref="B84:B90"/>
    <mergeCell ref="A87:A90"/>
    <mergeCell ref="C87:C89"/>
    <mergeCell ref="Q80:Q82"/>
    <mergeCell ref="R80:R82"/>
    <mergeCell ref="S80:S82"/>
    <mergeCell ref="T80:T82"/>
    <mergeCell ref="U80:U83"/>
    <mergeCell ref="V81:V82"/>
    <mergeCell ref="K80:K82"/>
    <mergeCell ref="L80:L82"/>
    <mergeCell ref="M80:M82"/>
    <mergeCell ref="N80:N82"/>
    <mergeCell ref="O80:O82"/>
    <mergeCell ref="P80:P82"/>
    <mergeCell ref="E80:E83"/>
    <mergeCell ref="F80:F83"/>
    <mergeCell ref="J68:J70"/>
    <mergeCell ref="A68:A71"/>
    <mergeCell ref="A78:D78"/>
    <mergeCell ref="A79:D79"/>
    <mergeCell ref="A80:A83"/>
    <mergeCell ref="B80:B83"/>
    <mergeCell ref="C80:C83"/>
    <mergeCell ref="D80:D83"/>
    <mergeCell ref="W69:W70"/>
    <mergeCell ref="G80:G82"/>
    <mergeCell ref="H80:H82"/>
    <mergeCell ref="I80:I82"/>
    <mergeCell ref="J80:J82"/>
    <mergeCell ref="A63:A64"/>
    <mergeCell ref="A56:A57"/>
    <mergeCell ref="Z69:Z70"/>
    <mergeCell ref="A72:A73"/>
    <mergeCell ref="B72:B77"/>
    <mergeCell ref="A74:A75"/>
    <mergeCell ref="A76:A77"/>
    <mergeCell ref="Q68:Q70"/>
    <mergeCell ref="R68:R70"/>
    <mergeCell ref="S68:S70"/>
    <mergeCell ref="T68:T70"/>
    <mergeCell ref="U68:U71"/>
    <mergeCell ref="V69:V70"/>
    <mergeCell ref="K68:K70"/>
    <mergeCell ref="L68:L70"/>
    <mergeCell ref="M68:M70"/>
    <mergeCell ref="N68:N70"/>
    <mergeCell ref="O68:O70"/>
    <mergeCell ref="P68:P70"/>
    <mergeCell ref="E68:E71"/>
    <mergeCell ref="F68:F71"/>
    <mergeCell ref="G68:G70"/>
    <mergeCell ref="H68:H70"/>
    <mergeCell ref="I68:I70"/>
    <mergeCell ref="C19:C20"/>
    <mergeCell ref="A65:D65"/>
    <mergeCell ref="A25:A26"/>
    <mergeCell ref="O3:O5"/>
    <mergeCell ref="A27:A28"/>
    <mergeCell ref="A30:A32"/>
    <mergeCell ref="A34:A35"/>
    <mergeCell ref="J3:J5"/>
    <mergeCell ref="K3:K5"/>
    <mergeCell ref="L3:L5"/>
    <mergeCell ref="A22:A23"/>
    <mergeCell ref="A3:A6"/>
    <mergeCell ref="B3:B6"/>
    <mergeCell ref="C3:C6"/>
    <mergeCell ref="D3:D6"/>
    <mergeCell ref="E3:E6"/>
    <mergeCell ref="F3:F6"/>
    <mergeCell ref="A38:A42"/>
    <mergeCell ref="C38:C41"/>
    <mergeCell ref="A44:A46"/>
    <mergeCell ref="C47:C50"/>
    <mergeCell ref="A48:A51"/>
    <mergeCell ref="A53:A54"/>
    <mergeCell ref="A59:A62"/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9:A21"/>
    <mergeCell ref="S3:S5"/>
    <mergeCell ref="T3:T5"/>
    <mergeCell ref="U3:U6"/>
    <mergeCell ref="V4:V5"/>
    <mergeCell ref="W4:W5"/>
    <mergeCell ref="X4:X5"/>
    <mergeCell ref="M3:M5"/>
    <mergeCell ref="N3:N5"/>
    <mergeCell ref="P3:P5"/>
    <mergeCell ref="Q3:Q5"/>
    <mergeCell ref="G3:G5"/>
    <mergeCell ref="H3:H5"/>
    <mergeCell ref="I3:I5"/>
    <mergeCell ref="R3:R5"/>
  </mergeCells>
  <printOptions horizontalCentered="1"/>
  <pageMargins left="0.39370078740157483" right="0.39370078740157483" top="0.39370078740157483" bottom="0.39370078740157483" header="0.31496062992125984" footer="0.31496062992125984"/>
  <pageSetup paperSize="5" scale="7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5"/>
  <sheetViews>
    <sheetView topLeftCell="A26" zoomScale="70" zoomScaleNormal="70" workbookViewId="0">
      <selection activeCell="E41" sqref="E41"/>
    </sheetView>
  </sheetViews>
  <sheetFormatPr defaultRowHeight="15" x14ac:dyDescent="0.25"/>
  <cols>
    <col min="1" max="1" width="5.28515625" customWidth="1"/>
    <col min="2" max="2" width="0" hidden="1" customWidth="1"/>
    <col min="3" max="3" width="25.5703125" bestFit="1" customWidth="1"/>
    <col min="4" max="4" width="15.28515625" customWidth="1"/>
    <col min="5" max="5" width="6.85546875" customWidth="1"/>
    <col min="6" max="6" width="6.7109375" customWidth="1"/>
    <col min="12" max="12" width="11.5703125" customWidth="1"/>
    <col min="13" max="13" width="6.5703125" customWidth="1"/>
    <col min="14" max="14" width="8" customWidth="1"/>
    <col min="15" max="15" width="7.42578125" customWidth="1"/>
    <col min="20" max="20" width="7.28515625" customWidth="1"/>
    <col min="21" max="21" width="6.5703125" customWidth="1"/>
  </cols>
  <sheetData>
    <row r="1" spans="1:34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34" ht="15.75" x14ac:dyDescent="0.25">
      <c r="A2" s="1" t="s">
        <v>97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34" ht="15" customHeight="1" x14ac:dyDescent="0.25">
      <c r="A3" s="309" t="s">
        <v>1</v>
      </c>
      <c r="B3" s="309" t="s">
        <v>2</v>
      </c>
      <c r="C3" s="300" t="s">
        <v>3</v>
      </c>
      <c r="D3" s="300" t="s">
        <v>4</v>
      </c>
      <c r="E3" s="306" t="s">
        <v>5</v>
      </c>
      <c r="F3" s="300" t="s">
        <v>6</v>
      </c>
      <c r="G3" s="300" t="s">
        <v>7</v>
      </c>
      <c r="H3" s="300" t="s">
        <v>8</v>
      </c>
      <c r="I3" s="306" t="s">
        <v>9</v>
      </c>
      <c r="J3" s="300" t="s">
        <v>10</v>
      </c>
      <c r="K3" s="300" t="s">
        <v>11</v>
      </c>
      <c r="L3" s="300" t="s">
        <v>12</v>
      </c>
      <c r="M3" s="300" t="s">
        <v>13</v>
      </c>
      <c r="N3" s="300" t="s">
        <v>14</v>
      </c>
      <c r="O3" s="300" t="s">
        <v>15</v>
      </c>
      <c r="P3" s="300" t="s">
        <v>16</v>
      </c>
      <c r="Q3" s="300" t="s">
        <v>17</v>
      </c>
      <c r="R3" s="300" t="s">
        <v>18</v>
      </c>
      <c r="S3" s="300" t="s">
        <v>19</v>
      </c>
      <c r="T3" s="300" t="s">
        <v>20</v>
      </c>
      <c r="U3" s="312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34" ht="15" customHeight="1" x14ac:dyDescent="0.25">
      <c r="A4" s="310"/>
      <c r="B4" s="310"/>
      <c r="C4" s="301"/>
      <c r="D4" s="301"/>
      <c r="E4" s="307"/>
      <c r="F4" s="301"/>
      <c r="G4" s="301"/>
      <c r="H4" s="301"/>
      <c r="I4" s="307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13"/>
      <c r="V4" s="315" t="s">
        <v>27</v>
      </c>
      <c r="W4" s="315" t="s">
        <v>28</v>
      </c>
      <c r="X4" s="315" t="s">
        <v>29</v>
      </c>
      <c r="Y4" s="315" t="s">
        <v>30</v>
      </c>
      <c r="Z4" s="315" t="s">
        <v>31</v>
      </c>
    </row>
    <row r="5" spans="1:34" x14ac:dyDescent="0.25">
      <c r="A5" s="310"/>
      <c r="B5" s="310"/>
      <c r="C5" s="301"/>
      <c r="D5" s="301"/>
      <c r="E5" s="307"/>
      <c r="F5" s="301"/>
      <c r="G5" s="302"/>
      <c r="H5" s="302"/>
      <c r="I5" s="308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13"/>
      <c r="V5" s="316"/>
      <c r="W5" s="316"/>
      <c r="X5" s="316"/>
      <c r="Y5" s="316"/>
      <c r="Z5" s="316"/>
    </row>
    <row r="6" spans="1:34" ht="31.5" customHeight="1" x14ac:dyDescent="0.25">
      <c r="A6" s="311"/>
      <c r="B6" s="311"/>
      <c r="C6" s="302"/>
      <c r="D6" s="302"/>
      <c r="E6" s="308"/>
      <c r="F6" s="302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314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34" ht="15.75" customHeight="1" x14ac:dyDescent="0.25">
      <c r="A7" s="248">
        <v>1</v>
      </c>
      <c r="B7" s="265" t="s">
        <v>32</v>
      </c>
      <c r="C7" s="97" t="s">
        <v>33</v>
      </c>
      <c r="D7" s="21" t="s">
        <v>34</v>
      </c>
      <c r="E7" s="10">
        <v>31</v>
      </c>
      <c r="F7" s="10">
        <v>20</v>
      </c>
      <c r="G7" s="28">
        <v>14</v>
      </c>
      <c r="H7" s="11">
        <v>81</v>
      </c>
      <c r="I7" s="11">
        <v>8</v>
      </c>
      <c r="J7" s="11">
        <v>103</v>
      </c>
      <c r="K7" s="11">
        <v>6</v>
      </c>
      <c r="L7" s="11">
        <v>89</v>
      </c>
      <c r="M7" s="12">
        <v>1</v>
      </c>
      <c r="N7" s="11">
        <v>1</v>
      </c>
      <c r="O7" s="11">
        <v>0</v>
      </c>
      <c r="P7" s="12">
        <v>96</v>
      </c>
      <c r="Q7" s="11">
        <v>356</v>
      </c>
      <c r="R7" s="11">
        <v>3</v>
      </c>
      <c r="S7" s="11">
        <v>340</v>
      </c>
      <c r="T7" s="12">
        <v>7</v>
      </c>
      <c r="U7" s="12">
        <v>90</v>
      </c>
      <c r="V7" s="13">
        <v>10.96774193548387</v>
      </c>
      <c r="W7" s="13">
        <v>54.838709677419352</v>
      </c>
      <c r="X7" s="13">
        <v>3.7777777777777777</v>
      </c>
      <c r="Y7" s="14">
        <v>3.1111111111111112</v>
      </c>
      <c r="Z7" s="15">
        <v>4.5</v>
      </c>
    </row>
    <row r="8" spans="1:34" ht="15.75" customHeight="1" x14ac:dyDescent="0.25">
      <c r="A8" s="250"/>
      <c r="B8" s="266"/>
      <c r="C8" s="17" t="s">
        <v>35</v>
      </c>
      <c r="D8" s="16"/>
      <c r="E8" s="10">
        <v>31</v>
      </c>
      <c r="F8" s="17">
        <v>20</v>
      </c>
      <c r="G8" s="17">
        <v>14</v>
      </c>
      <c r="H8" s="17">
        <v>81</v>
      </c>
      <c r="I8" s="17">
        <v>8</v>
      </c>
      <c r="J8" s="17">
        <v>103</v>
      </c>
      <c r="K8" s="17">
        <v>6</v>
      </c>
      <c r="L8" s="17">
        <v>89</v>
      </c>
      <c r="M8" s="18">
        <v>1</v>
      </c>
      <c r="N8" s="17">
        <v>1</v>
      </c>
      <c r="O8" s="17">
        <v>0</v>
      </c>
      <c r="P8" s="18">
        <v>96</v>
      </c>
      <c r="Q8" s="17">
        <v>356</v>
      </c>
      <c r="R8" s="17">
        <v>3</v>
      </c>
      <c r="S8" s="17">
        <v>340</v>
      </c>
      <c r="T8" s="18">
        <v>7</v>
      </c>
      <c r="U8" s="18">
        <v>90</v>
      </c>
      <c r="V8" s="19">
        <v>10.96774193548387</v>
      </c>
      <c r="W8" s="19">
        <v>54.838709677419352</v>
      </c>
      <c r="X8" s="19">
        <v>3.7777777777777777</v>
      </c>
      <c r="Y8" s="20">
        <v>3.1111111111111112</v>
      </c>
      <c r="Z8" s="20">
        <v>4.5</v>
      </c>
      <c r="AA8">
        <f>+Q8+Q17</f>
        <v>698</v>
      </c>
    </row>
    <row r="9" spans="1:34" ht="15.75" x14ac:dyDescent="0.25">
      <c r="A9" s="262">
        <v>2</v>
      </c>
      <c r="B9" s="266"/>
      <c r="C9" s="11" t="s">
        <v>36</v>
      </c>
      <c r="D9" s="21" t="s">
        <v>34</v>
      </c>
      <c r="E9" s="10">
        <v>31</v>
      </c>
      <c r="F9" s="11">
        <v>16</v>
      </c>
      <c r="G9" s="28">
        <v>15</v>
      </c>
      <c r="H9" s="11">
        <v>78</v>
      </c>
      <c r="I9" s="11">
        <v>31</v>
      </c>
      <c r="J9" s="11">
        <v>124</v>
      </c>
      <c r="K9" s="11">
        <v>6</v>
      </c>
      <c r="L9" s="11">
        <v>97</v>
      </c>
      <c r="M9" s="12">
        <v>13</v>
      </c>
      <c r="N9" s="11">
        <v>9</v>
      </c>
      <c r="O9" s="11">
        <v>4</v>
      </c>
      <c r="P9" s="12">
        <v>116</v>
      </c>
      <c r="Q9" s="11">
        <v>432</v>
      </c>
      <c r="R9" s="11">
        <v>3</v>
      </c>
      <c r="S9" s="11">
        <v>428</v>
      </c>
      <c r="T9" s="12">
        <v>8</v>
      </c>
      <c r="U9" s="12">
        <v>110</v>
      </c>
      <c r="V9" s="13">
        <v>13.806451612903226</v>
      </c>
      <c r="W9" s="13">
        <v>86.290322580645167</v>
      </c>
      <c r="X9" s="13">
        <v>3.8909090909090911</v>
      </c>
      <c r="Y9" s="14">
        <v>0.61818181818181817</v>
      </c>
      <c r="Z9" s="15">
        <v>6.875</v>
      </c>
    </row>
    <row r="10" spans="1:34" ht="15.75" x14ac:dyDescent="0.25">
      <c r="A10" s="264"/>
      <c r="B10" s="266"/>
      <c r="C10" s="17" t="s">
        <v>36</v>
      </c>
      <c r="D10" s="16"/>
      <c r="E10" s="10">
        <v>31</v>
      </c>
      <c r="F10" s="17">
        <v>16</v>
      </c>
      <c r="G10" s="17">
        <v>15</v>
      </c>
      <c r="H10" s="17">
        <v>78</v>
      </c>
      <c r="I10" s="17">
        <v>31</v>
      </c>
      <c r="J10" s="17">
        <v>124</v>
      </c>
      <c r="K10" s="17">
        <v>6</v>
      </c>
      <c r="L10" s="17">
        <v>97</v>
      </c>
      <c r="M10" s="18">
        <v>13</v>
      </c>
      <c r="N10" s="17">
        <v>9</v>
      </c>
      <c r="O10" s="17">
        <v>4</v>
      </c>
      <c r="P10" s="18">
        <v>116</v>
      </c>
      <c r="Q10" s="17">
        <v>432</v>
      </c>
      <c r="R10" s="17">
        <v>3</v>
      </c>
      <c r="S10" s="17">
        <v>428</v>
      </c>
      <c r="T10" s="18">
        <v>8</v>
      </c>
      <c r="U10" s="18">
        <v>110</v>
      </c>
      <c r="V10" s="19">
        <v>13.806451612903226</v>
      </c>
      <c r="W10" s="19">
        <v>86.290322580645167</v>
      </c>
      <c r="X10" s="19">
        <v>3.8909090909090911</v>
      </c>
      <c r="Y10" s="20">
        <v>0.61818181818181817</v>
      </c>
      <c r="Z10" s="20">
        <v>6.875</v>
      </c>
    </row>
    <row r="11" spans="1:34" ht="15.75" customHeight="1" x14ac:dyDescent="0.25">
      <c r="A11" s="262">
        <v>3</v>
      </c>
      <c r="B11" s="266"/>
      <c r="C11" s="262" t="s">
        <v>37</v>
      </c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34" ht="15.75" x14ac:dyDescent="0.25">
      <c r="A12" s="263"/>
      <c r="B12" s="266"/>
      <c r="C12" s="264"/>
      <c r="D12" s="21" t="s">
        <v>34</v>
      </c>
      <c r="E12" s="10">
        <v>31</v>
      </c>
      <c r="F12" s="11">
        <v>12</v>
      </c>
      <c r="G12" s="28">
        <v>10</v>
      </c>
      <c r="H12" s="11">
        <v>58</v>
      </c>
      <c r="I12" s="11">
        <v>3</v>
      </c>
      <c r="J12" s="11">
        <v>71</v>
      </c>
      <c r="K12" s="11">
        <v>4</v>
      </c>
      <c r="L12" s="11">
        <v>56</v>
      </c>
      <c r="M12" s="12">
        <v>8</v>
      </c>
      <c r="N12" s="11">
        <v>3</v>
      </c>
      <c r="O12" s="11">
        <v>5</v>
      </c>
      <c r="P12" s="12">
        <v>68</v>
      </c>
      <c r="Q12" s="11">
        <v>261</v>
      </c>
      <c r="R12" s="11">
        <v>1</v>
      </c>
      <c r="S12" s="11">
        <v>234</v>
      </c>
      <c r="T12" s="12">
        <v>3</v>
      </c>
      <c r="U12" s="12">
        <v>64</v>
      </c>
      <c r="V12" s="13">
        <v>7.5483870967741939</v>
      </c>
      <c r="W12" s="13">
        <v>62.903225806451616</v>
      </c>
      <c r="X12" s="13">
        <v>3.65625</v>
      </c>
      <c r="Y12" s="14">
        <v>2.15625</v>
      </c>
      <c r="Z12" s="15">
        <v>5.333333333333333</v>
      </c>
    </row>
    <row r="13" spans="1:34" ht="15.75" x14ac:dyDescent="0.25">
      <c r="A13" s="264"/>
      <c r="B13" s="266"/>
      <c r="C13" s="17" t="s">
        <v>37</v>
      </c>
      <c r="D13" s="16"/>
      <c r="E13" s="10">
        <v>31</v>
      </c>
      <c r="F13" s="17">
        <v>12</v>
      </c>
      <c r="G13" s="17">
        <v>10</v>
      </c>
      <c r="H13" s="17">
        <v>58</v>
      </c>
      <c r="I13" s="17">
        <v>3</v>
      </c>
      <c r="J13" s="17">
        <v>71</v>
      </c>
      <c r="K13" s="17">
        <v>4</v>
      </c>
      <c r="L13" s="17">
        <v>56</v>
      </c>
      <c r="M13" s="18">
        <v>8</v>
      </c>
      <c r="N13" s="17">
        <v>3</v>
      </c>
      <c r="O13" s="17">
        <v>5</v>
      </c>
      <c r="P13" s="18">
        <v>68</v>
      </c>
      <c r="Q13" s="17">
        <v>261</v>
      </c>
      <c r="R13" s="17">
        <v>1</v>
      </c>
      <c r="S13" s="17">
        <v>234</v>
      </c>
      <c r="T13" s="18">
        <v>3</v>
      </c>
      <c r="U13" s="18">
        <v>64</v>
      </c>
      <c r="V13" s="19">
        <v>7.5483870967741939</v>
      </c>
      <c r="W13" s="19">
        <v>62.903225806451616</v>
      </c>
      <c r="X13" s="19">
        <v>3.65625</v>
      </c>
      <c r="Y13" s="20">
        <v>2.15625</v>
      </c>
      <c r="Z13" s="20">
        <v>5.333333333333333</v>
      </c>
      <c r="AD13" t="s">
        <v>48</v>
      </c>
      <c r="AE13">
        <f>+S32+S35+S44+S87+S106</f>
        <v>506</v>
      </c>
    </row>
    <row r="14" spans="1:34" ht="15.75" customHeight="1" x14ac:dyDescent="0.25">
      <c r="A14" s="262">
        <v>4</v>
      </c>
      <c r="B14" s="266"/>
      <c r="C14" s="248" t="s">
        <v>39</v>
      </c>
      <c r="D14" s="21" t="s">
        <v>38</v>
      </c>
      <c r="E14" s="10">
        <v>31</v>
      </c>
      <c r="F14" s="10">
        <v>2</v>
      </c>
      <c r="G14" s="28">
        <v>2</v>
      </c>
      <c r="H14" s="11">
        <v>5</v>
      </c>
      <c r="I14" s="11">
        <v>10</v>
      </c>
      <c r="J14" s="11">
        <v>17</v>
      </c>
      <c r="K14" s="11">
        <v>2</v>
      </c>
      <c r="L14" s="11">
        <v>13</v>
      </c>
      <c r="M14" s="12">
        <v>1</v>
      </c>
      <c r="N14" s="11">
        <v>0</v>
      </c>
      <c r="O14" s="11">
        <v>1</v>
      </c>
      <c r="P14" s="12">
        <v>16</v>
      </c>
      <c r="Q14" s="11">
        <v>50</v>
      </c>
      <c r="R14" s="11">
        <v>0</v>
      </c>
      <c r="S14" s="11">
        <v>49</v>
      </c>
      <c r="T14" s="12">
        <v>1</v>
      </c>
      <c r="U14" s="12">
        <v>14</v>
      </c>
      <c r="V14" s="13">
        <v>1.5806451612903225</v>
      </c>
      <c r="W14" s="13">
        <v>79.032258064516128</v>
      </c>
      <c r="X14" s="13">
        <v>3.5</v>
      </c>
      <c r="Y14" s="14">
        <v>0.92857142857142871</v>
      </c>
      <c r="Z14" s="15">
        <v>7</v>
      </c>
      <c r="AA14">
        <f>+S8+S15</f>
        <v>579</v>
      </c>
    </row>
    <row r="15" spans="1:34" ht="15.75" customHeight="1" x14ac:dyDescent="0.25">
      <c r="A15" s="263"/>
      <c r="B15" s="266"/>
      <c r="C15" s="249"/>
      <c r="D15" s="21" t="s">
        <v>34</v>
      </c>
      <c r="E15" s="10">
        <v>31</v>
      </c>
      <c r="F15" s="10">
        <v>17</v>
      </c>
      <c r="G15" s="28">
        <v>15</v>
      </c>
      <c r="H15" s="11">
        <v>55</v>
      </c>
      <c r="I15" s="11">
        <v>3</v>
      </c>
      <c r="J15" s="11">
        <v>73</v>
      </c>
      <c r="K15" s="11">
        <v>10</v>
      </c>
      <c r="L15" s="11">
        <v>55</v>
      </c>
      <c r="M15" s="12">
        <v>3</v>
      </c>
      <c r="N15" s="11">
        <v>1</v>
      </c>
      <c r="O15" s="11">
        <v>2</v>
      </c>
      <c r="P15" s="12">
        <v>68</v>
      </c>
      <c r="Q15" s="11">
        <v>245</v>
      </c>
      <c r="R15" s="11">
        <v>1</v>
      </c>
      <c r="S15" s="11">
        <v>239</v>
      </c>
      <c r="T15" s="12">
        <v>5</v>
      </c>
      <c r="U15" s="12">
        <v>58</v>
      </c>
      <c r="V15" s="13">
        <v>7.709677419354839</v>
      </c>
      <c r="W15" s="13">
        <v>45.351043643263758</v>
      </c>
      <c r="X15" s="13">
        <v>4.1206896551724137</v>
      </c>
      <c r="Y15" s="14">
        <v>4.9655172413793096</v>
      </c>
      <c r="Z15" s="15">
        <v>3.4117647058823528</v>
      </c>
    </row>
    <row r="16" spans="1:34" ht="15.75" customHeight="1" x14ac:dyDescent="0.25">
      <c r="A16" s="263"/>
      <c r="B16" s="266"/>
      <c r="C16" s="250"/>
      <c r="D16" s="21" t="s">
        <v>40</v>
      </c>
      <c r="E16" s="10">
        <v>31</v>
      </c>
      <c r="F16" s="10">
        <v>5</v>
      </c>
      <c r="G16" s="28">
        <v>1</v>
      </c>
      <c r="H16" s="11">
        <v>10</v>
      </c>
      <c r="I16" s="11">
        <v>1</v>
      </c>
      <c r="J16" s="11">
        <v>12</v>
      </c>
      <c r="K16" s="11">
        <v>0</v>
      </c>
      <c r="L16" s="11">
        <v>12</v>
      </c>
      <c r="M16" s="12">
        <v>0</v>
      </c>
      <c r="N16" s="11">
        <v>0</v>
      </c>
      <c r="O16" s="11">
        <v>0</v>
      </c>
      <c r="P16" s="12">
        <v>12</v>
      </c>
      <c r="Q16" s="11">
        <v>47</v>
      </c>
      <c r="R16" s="11">
        <v>0</v>
      </c>
      <c r="S16" s="11">
        <v>41</v>
      </c>
      <c r="T16" s="12">
        <v>0</v>
      </c>
      <c r="U16" s="12">
        <v>12</v>
      </c>
      <c r="V16" s="13">
        <v>1.3225806451612903</v>
      </c>
      <c r="W16" s="13">
        <v>26.451612903225808</v>
      </c>
      <c r="X16" s="13">
        <v>3.4166666666666665</v>
      </c>
      <c r="Y16" s="14">
        <v>9.5000000000000018</v>
      </c>
      <c r="Z16" s="15">
        <v>2.4</v>
      </c>
      <c r="AA16" t="s">
        <v>98</v>
      </c>
      <c r="AB16" t="s">
        <v>99</v>
      </c>
      <c r="AC16" t="s">
        <v>100</v>
      </c>
      <c r="AD16" t="s">
        <v>104</v>
      </c>
      <c r="AE16" t="s">
        <v>102</v>
      </c>
      <c r="AF16" t="s">
        <v>105</v>
      </c>
      <c r="AG16" t="s">
        <v>106</v>
      </c>
      <c r="AH16" t="s">
        <v>107</v>
      </c>
    </row>
    <row r="17" spans="1:34" ht="15.75" customHeight="1" x14ac:dyDescent="0.25">
      <c r="A17" s="264"/>
      <c r="B17" s="266"/>
      <c r="C17" s="17" t="s">
        <v>39</v>
      </c>
      <c r="D17" s="16"/>
      <c r="E17" s="10">
        <v>31</v>
      </c>
      <c r="F17" s="17">
        <v>24</v>
      </c>
      <c r="G17" s="17">
        <v>18</v>
      </c>
      <c r="H17" s="17">
        <v>70</v>
      </c>
      <c r="I17" s="17">
        <v>14</v>
      </c>
      <c r="J17" s="17">
        <v>102</v>
      </c>
      <c r="K17" s="17">
        <v>12</v>
      </c>
      <c r="L17" s="17">
        <v>80</v>
      </c>
      <c r="M17" s="18">
        <v>4</v>
      </c>
      <c r="N17" s="17">
        <v>1</v>
      </c>
      <c r="O17" s="17">
        <v>3</v>
      </c>
      <c r="P17" s="18">
        <v>96</v>
      </c>
      <c r="Q17" s="17">
        <v>342</v>
      </c>
      <c r="R17" s="17">
        <v>1</v>
      </c>
      <c r="S17" s="17">
        <v>329</v>
      </c>
      <c r="T17" s="18">
        <v>6</v>
      </c>
      <c r="U17" s="18">
        <v>84</v>
      </c>
      <c r="V17" s="19">
        <v>10.612903225806452</v>
      </c>
      <c r="W17" s="19">
        <v>44.22043010752688</v>
      </c>
      <c r="X17" s="19">
        <v>3.9166666666666665</v>
      </c>
      <c r="Y17" s="20">
        <v>4.9404761904761907</v>
      </c>
      <c r="Z17" s="20">
        <v>3.5</v>
      </c>
      <c r="AA17">
        <f>+G8+G17</f>
        <v>32</v>
      </c>
      <c r="AB17">
        <f>+H8+H17</f>
        <v>151</v>
      </c>
      <c r="AC17">
        <f>+I8+I17</f>
        <v>22</v>
      </c>
      <c r="AD17">
        <f>+K8+K17</f>
        <v>18</v>
      </c>
      <c r="AE17">
        <f>+L8+L17</f>
        <v>169</v>
      </c>
      <c r="AF17">
        <f>+Q8+Q17</f>
        <v>698</v>
      </c>
      <c r="AG17">
        <f>+S8+S17</f>
        <v>669</v>
      </c>
      <c r="AH17">
        <f>+T8+T17</f>
        <v>13</v>
      </c>
    </row>
    <row r="18" spans="1:34" ht="15.75" customHeight="1" x14ac:dyDescent="0.25">
      <c r="A18" s="107"/>
      <c r="B18" s="266"/>
      <c r="C18" s="112"/>
      <c r="D18" s="16"/>
      <c r="E18" s="10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8"/>
      <c r="Q18" s="17"/>
      <c r="R18" s="17"/>
      <c r="S18" s="17"/>
      <c r="T18" s="18"/>
      <c r="U18" s="18"/>
      <c r="V18" s="19"/>
      <c r="W18" s="19"/>
      <c r="X18" s="19"/>
      <c r="Y18" s="20"/>
      <c r="Z18" s="20"/>
    </row>
    <row r="19" spans="1:34" ht="15.75" x14ac:dyDescent="0.25">
      <c r="A19" s="248">
        <v>5</v>
      </c>
      <c r="B19" s="266"/>
      <c r="C19" s="248" t="s">
        <v>41</v>
      </c>
      <c r="D19" s="98" t="s">
        <v>42</v>
      </c>
      <c r="E19" s="10">
        <v>31</v>
      </c>
      <c r="F19" s="10">
        <v>19</v>
      </c>
      <c r="G19" s="28">
        <v>14</v>
      </c>
      <c r="H19" s="11">
        <v>112</v>
      </c>
      <c r="I19" s="11">
        <v>6</v>
      </c>
      <c r="J19" s="11">
        <v>132</v>
      </c>
      <c r="K19" s="11">
        <v>18</v>
      </c>
      <c r="L19" s="11">
        <v>83</v>
      </c>
      <c r="M19" s="12">
        <v>23</v>
      </c>
      <c r="N19" s="11">
        <v>17</v>
      </c>
      <c r="O19" s="11">
        <v>6</v>
      </c>
      <c r="P19" s="12">
        <v>124</v>
      </c>
      <c r="Q19" s="11">
        <v>360</v>
      </c>
      <c r="R19" s="11">
        <v>10</v>
      </c>
      <c r="S19" s="11">
        <v>412</v>
      </c>
      <c r="T19" s="12">
        <v>8</v>
      </c>
      <c r="U19" s="12">
        <v>106</v>
      </c>
      <c r="V19" s="13">
        <v>13.290322580645162</v>
      </c>
      <c r="W19" s="13">
        <v>69.94906621392191</v>
      </c>
      <c r="X19" s="13">
        <v>3.8867924528301887</v>
      </c>
      <c r="Y19" s="14">
        <v>1.6698113207547167</v>
      </c>
      <c r="Z19" s="15">
        <v>5.5789473684210522</v>
      </c>
      <c r="AD19" t="s">
        <v>38</v>
      </c>
      <c r="AE19">
        <f>+S42+S47+S49+S88+S112</f>
        <v>649</v>
      </c>
    </row>
    <row r="20" spans="1:34" ht="15.75" x14ac:dyDescent="0.25">
      <c r="A20" s="249"/>
      <c r="B20" s="266"/>
      <c r="C20" s="250"/>
      <c r="D20" s="98" t="s">
        <v>43</v>
      </c>
      <c r="E20" s="10">
        <v>31</v>
      </c>
      <c r="F20" s="10">
        <v>12</v>
      </c>
      <c r="G20" s="28">
        <v>7</v>
      </c>
      <c r="H20" s="11">
        <v>54</v>
      </c>
      <c r="I20" s="11">
        <v>24</v>
      </c>
      <c r="J20" s="11">
        <v>85</v>
      </c>
      <c r="K20" s="11">
        <v>18</v>
      </c>
      <c r="L20" s="11">
        <v>49</v>
      </c>
      <c r="M20" s="12">
        <v>13</v>
      </c>
      <c r="N20" s="11">
        <v>9</v>
      </c>
      <c r="O20" s="11">
        <v>4</v>
      </c>
      <c r="P20" s="12">
        <v>80</v>
      </c>
      <c r="Q20" s="11">
        <v>226</v>
      </c>
      <c r="R20" s="11">
        <v>4</v>
      </c>
      <c r="S20" s="11">
        <v>246</v>
      </c>
      <c r="T20" s="12">
        <v>5</v>
      </c>
      <c r="U20" s="12">
        <v>62</v>
      </c>
      <c r="V20" s="13">
        <v>7.935483870967742</v>
      </c>
      <c r="W20" s="13">
        <v>66.129032258064512</v>
      </c>
      <c r="X20" s="13">
        <v>3.967741935483871</v>
      </c>
      <c r="Y20" s="14">
        <v>2.032258064516129</v>
      </c>
      <c r="Z20" s="15">
        <v>5.166666666666667</v>
      </c>
      <c r="AD20" t="s">
        <v>34</v>
      </c>
      <c r="AE20">
        <f>+S10+S13+S21+S23+S26+S28+S48+S50+S57+S89</f>
        <v>3102</v>
      </c>
    </row>
    <row r="21" spans="1:34" ht="15.75" x14ac:dyDescent="0.25">
      <c r="A21" s="250"/>
      <c r="B21" s="266"/>
      <c r="C21" s="17" t="s">
        <v>41</v>
      </c>
      <c r="D21" s="16"/>
      <c r="E21" s="10">
        <v>31</v>
      </c>
      <c r="F21" s="17">
        <v>31</v>
      </c>
      <c r="G21" s="17">
        <v>21</v>
      </c>
      <c r="H21" s="17">
        <v>166</v>
      </c>
      <c r="I21" s="17">
        <v>30</v>
      </c>
      <c r="J21" s="17">
        <v>217</v>
      </c>
      <c r="K21" s="17">
        <v>36</v>
      </c>
      <c r="L21" s="17">
        <v>132</v>
      </c>
      <c r="M21" s="18">
        <v>36</v>
      </c>
      <c r="N21" s="17">
        <v>26</v>
      </c>
      <c r="O21" s="17">
        <v>10</v>
      </c>
      <c r="P21" s="18">
        <v>204</v>
      </c>
      <c r="Q21" s="17">
        <v>586</v>
      </c>
      <c r="R21" s="17">
        <v>14</v>
      </c>
      <c r="S21" s="17">
        <v>658</v>
      </c>
      <c r="T21" s="18">
        <v>13</v>
      </c>
      <c r="U21" s="18">
        <v>168</v>
      </c>
      <c r="V21" s="19">
        <v>21.225806451612904</v>
      </c>
      <c r="W21" s="19">
        <v>68.470343392299696</v>
      </c>
      <c r="X21" s="19">
        <v>3.9166666666666665</v>
      </c>
      <c r="Y21" s="20">
        <v>1.8035714285714286</v>
      </c>
      <c r="Z21" s="20">
        <v>10.745614035087719</v>
      </c>
      <c r="AD21" t="s">
        <v>55</v>
      </c>
      <c r="AE21">
        <f>+S45+S54</f>
        <v>107</v>
      </c>
    </row>
    <row r="22" spans="1:34" ht="15.75" x14ac:dyDescent="0.25">
      <c r="A22" s="248">
        <v>6</v>
      </c>
      <c r="B22" s="266"/>
      <c r="C22" s="10" t="s">
        <v>44</v>
      </c>
      <c r="D22" s="21" t="s">
        <v>34</v>
      </c>
      <c r="E22" s="10">
        <v>31</v>
      </c>
      <c r="F22" s="10">
        <v>18</v>
      </c>
      <c r="G22" s="28">
        <v>10</v>
      </c>
      <c r="H22" s="11">
        <v>120</v>
      </c>
      <c r="I22" s="11">
        <v>8</v>
      </c>
      <c r="J22" s="11">
        <v>138</v>
      </c>
      <c r="K22" s="11">
        <v>13</v>
      </c>
      <c r="L22" s="11">
        <v>119</v>
      </c>
      <c r="M22" s="12">
        <v>4</v>
      </c>
      <c r="N22" s="11">
        <v>3</v>
      </c>
      <c r="O22" s="11">
        <v>1</v>
      </c>
      <c r="P22" s="12">
        <v>136</v>
      </c>
      <c r="Q22" s="11">
        <v>324</v>
      </c>
      <c r="R22" s="11">
        <v>1</v>
      </c>
      <c r="S22" s="11">
        <v>336</v>
      </c>
      <c r="T22" s="12">
        <v>2</v>
      </c>
      <c r="U22" s="12">
        <v>123</v>
      </c>
      <c r="V22" s="13">
        <v>10.838709677419354</v>
      </c>
      <c r="W22" s="13">
        <v>60.215053763440849</v>
      </c>
      <c r="X22" s="13">
        <v>2.7317073170731709</v>
      </c>
      <c r="Y22" s="14">
        <v>1.8048780487804881</v>
      </c>
      <c r="Z22" s="15">
        <v>6.833333333333333</v>
      </c>
    </row>
    <row r="23" spans="1:34" ht="15.75" x14ac:dyDescent="0.25">
      <c r="A23" s="250"/>
      <c r="B23" s="266"/>
      <c r="C23" s="17" t="s">
        <v>44</v>
      </c>
      <c r="D23" s="16"/>
      <c r="E23" s="10">
        <v>31</v>
      </c>
      <c r="F23" s="17">
        <v>18</v>
      </c>
      <c r="G23" s="17">
        <v>10</v>
      </c>
      <c r="H23" s="17">
        <v>120</v>
      </c>
      <c r="I23" s="17">
        <v>8</v>
      </c>
      <c r="J23" s="17">
        <v>138</v>
      </c>
      <c r="K23" s="17">
        <v>13</v>
      </c>
      <c r="L23" s="17">
        <v>119</v>
      </c>
      <c r="M23" s="18">
        <v>4</v>
      </c>
      <c r="N23" s="17">
        <v>3</v>
      </c>
      <c r="O23" s="17">
        <v>1</v>
      </c>
      <c r="P23" s="18">
        <v>136</v>
      </c>
      <c r="Q23" s="17">
        <v>324</v>
      </c>
      <c r="R23" s="17">
        <v>1</v>
      </c>
      <c r="S23" s="17">
        <v>336</v>
      </c>
      <c r="T23" s="18">
        <v>2</v>
      </c>
      <c r="U23" s="18">
        <v>123</v>
      </c>
      <c r="V23" s="19">
        <v>10.838709677419354</v>
      </c>
      <c r="W23" s="19">
        <v>60.215053763440849</v>
      </c>
      <c r="X23" s="19">
        <v>2.7317073170731709</v>
      </c>
      <c r="Y23" s="20">
        <v>1.8048780487804881</v>
      </c>
      <c r="Z23" s="20">
        <v>6.833333333333333</v>
      </c>
    </row>
    <row r="24" spans="1:34" ht="15.75" x14ac:dyDescent="0.25">
      <c r="A24" s="142"/>
      <c r="B24" s="266"/>
      <c r="C24" s="17"/>
      <c r="D24" s="16"/>
      <c r="E24" s="10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8"/>
      <c r="Q24" s="17"/>
      <c r="R24" s="17"/>
      <c r="S24" s="17"/>
      <c r="T24" s="18"/>
      <c r="U24" s="18"/>
      <c r="V24" s="19"/>
      <c r="W24" s="19"/>
      <c r="X24" s="19"/>
      <c r="Y24" s="20"/>
      <c r="Z24" s="20"/>
    </row>
    <row r="25" spans="1:34" ht="15.75" x14ac:dyDescent="0.25">
      <c r="A25" s="248">
        <v>7</v>
      </c>
      <c r="B25" s="266"/>
      <c r="C25" s="10" t="s">
        <v>45</v>
      </c>
      <c r="D25" s="21" t="s">
        <v>34</v>
      </c>
      <c r="E25" s="10">
        <v>31</v>
      </c>
      <c r="F25" s="10">
        <v>20</v>
      </c>
      <c r="G25" s="28">
        <v>12</v>
      </c>
      <c r="H25" s="11">
        <v>105</v>
      </c>
      <c r="I25" s="11">
        <v>14</v>
      </c>
      <c r="J25" s="11">
        <v>131</v>
      </c>
      <c r="K25" s="11">
        <v>9</v>
      </c>
      <c r="L25" s="11">
        <v>104</v>
      </c>
      <c r="M25" s="12">
        <v>8</v>
      </c>
      <c r="N25" s="11">
        <v>4</v>
      </c>
      <c r="O25" s="11">
        <v>4</v>
      </c>
      <c r="P25" s="12">
        <v>121</v>
      </c>
      <c r="Q25" s="11">
        <v>377</v>
      </c>
      <c r="R25" s="11">
        <v>1</v>
      </c>
      <c r="S25" s="11">
        <v>422</v>
      </c>
      <c r="T25" s="12">
        <v>10</v>
      </c>
      <c r="U25" s="12">
        <v>112</v>
      </c>
      <c r="V25" s="13">
        <v>13.612903225806452</v>
      </c>
      <c r="W25" s="13">
        <v>68.064516129032256</v>
      </c>
      <c r="X25" s="13">
        <v>3.7678571428571428</v>
      </c>
      <c r="Y25" s="14">
        <v>1.7678571428571428</v>
      </c>
      <c r="Z25" s="15">
        <v>5.6</v>
      </c>
    </row>
    <row r="26" spans="1:34" ht="15.75" x14ac:dyDescent="0.25">
      <c r="A26" s="250"/>
      <c r="B26" s="266"/>
      <c r="C26" s="17" t="s">
        <v>45</v>
      </c>
      <c r="D26" s="16"/>
      <c r="E26" s="10">
        <v>31</v>
      </c>
      <c r="F26" s="17">
        <v>20</v>
      </c>
      <c r="G26" s="17">
        <v>12</v>
      </c>
      <c r="H26" s="17">
        <v>105</v>
      </c>
      <c r="I26" s="17">
        <v>14</v>
      </c>
      <c r="J26" s="17">
        <v>131</v>
      </c>
      <c r="K26" s="17">
        <v>9</v>
      </c>
      <c r="L26" s="17">
        <v>104</v>
      </c>
      <c r="M26" s="18">
        <v>8</v>
      </c>
      <c r="N26" s="17">
        <v>4</v>
      </c>
      <c r="O26" s="17">
        <v>4</v>
      </c>
      <c r="P26" s="18">
        <v>121</v>
      </c>
      <c r="Q26" s="17">
        <v>377</v>
      </c>
      <c r="R26" s="17">
        <v>1</v>
      </c>
      <c r="S26" s="17">
        <v>422</v>
      </c>
      <c r="T26" s="18">
        <v>10</v>
      </c>
      <c r="U26" s="18">
        <v>112</v>
      </c>
      <c r="V26" s="19">
        <v>13.612903225806452</v>
      </c>
      <c r="W26" s="19">
        <v>68.064516129032256</v>
      </c>
      <c r="X26" s="19">
        <v>3.7678571428571428</v>
      </c>
      <c r="Y26" s="20">
        <v>1.7678571428571428</v>
      </c>
      <c r="Z26" s="20">
        <v>5.6</v>
      </c>
    </row>
    <row r="27" spans="1:34" ht="15.75" x14ac:dyDescent="0.25">
      <c r="A27" s="262">
        <v>8</v>
      </c>
      <c r="B27" s="266"/>
      <c r="C27" s="11" t="s">
        <v>46</v>
      </c>
      <c r="D27" s="21" t="s">
        <v>34</v>
      </c>
      <c r="E27" s="10">
        <v>31</v>
      </c>
      <c r="F27" s="11">
        <v>20</v>
      </c>
      <c r="G27" s="28">
        <v>13</v>
      </c>
      <c r="H27" s="11">
        <v>111</v>
      </c>
      <c r="I27" s="11">
        <v>5</v>
      </c>
      <c r="J27" s="11">
        <v>129</v>
      </c>
      <c r="K27" s="11">
        <v>4</v>
      </c>
      <c r="L27" s="11">
        <v>117</v>
      </c>
      <c r="M27" s="12">
        <v>8</v>
      </c>
      <c r="N27" s="11">
        <v>4</v>
      </c>
      <c r="O27" s="11">
        <v>4</v>
      </c>
      <c r="P27" s="12">
        <v>129</v>
      </c>
      <c r="Q27" s="11">
        <v>403</v>
      </c>
      <c r="R27" s="11">
        <v>1</v>
      </c>
      <c r="S27" s="11">
        <v>358</v>
      </c>
      <c r="T27" s="12">
        <v>0</v>
      </c>
      <c r="U27" s="12">
        <v>125</v>
      </c>
      <c r="V27" s="13">
        <v>11.548387096774194</v>
      </c>
      <c r="W27" s="13">
        <v>57.741935483870968</v>
      </c>
      <c r="X27" s="13">
        <v>2.8639999999999999</v>
      </c>
      <c r="Y27" s="14">
        <v>2.0960000000000001</v>
      </c>
      <c r="Z27" s="15">
        <v>6.25</v>
      </c>
    </row>
    <row r="28" spans="1:34" ht="15.75" x14ac:dyDescent="0.25">
      <c r="A28" s="264"/>
      <c r="B28" s="266"/>
      <c r="C28" s="17" t="s">
        <v>46</v>
      </c>
      <c r="D28" s="16"/>
      <c r="E28" s="10">
        <v>31</v>
      </c>
      <c r="F28" s="17">
        <v>20</v>
      </c>
      <c r="G28" s="17">
        <v>13</v>
      </c>
      <c r="H28" s="17">
        <v>111</v>
      </c>
      <c r="I28" s="17">
        <v>5</v>
      </c>
      <c r="J28" s="17">
        <v>129</v>
      </c>
      <c r="K28" s="17">
        <v>4</v>
      </c>
      <c r="L28" s="17">
        <v>117</v>
      </c>
      <c r="M28" s="18">
        <v>8</v>
      </c>
      <c r="N28" s="17">
        <v>4</v>
      </c>
      <c r="O28" s="17">
        <v>4</v>
      </c>
      <c r="P28" s="18">
        <v>129</v>
      </c>
      <c r="Q28" s="17">
        <v>403</v>
      </c>
      <c r="R28" s="17">
        <v>1</v>
      </c>
      <c r="S28" s="17">
        <v>358</v>
      </c>
      <c r="T28" s="18">
        <v>0</v>
      </c>
      <c r="U28" s="18">
        <v>125</v>
      </c>
      <c r="V28" s="19">
        <v>11.548387096774194</v>
      </c>
      <c r="W28" s="19">
        <v>57.741935483870968</v>
      </c>
      <c r="X28" s="19">
        <v>2.8639999999999999</v>
      </c>
      <c r="Y28" s="20">
        <v>2.0960000000000001</v>
      </c>
      <c r="Z28" s="20">
        <v>6.25</v>
      </c>
    </row>
    <row r="29" spans="1:34" ht="15.75" x14ac:dyDescent="0.25">
      <c r="A29" s="107"/>
      <c r="B29" s="266"/>
      <c r="C29" s="17"/>
      <c r="D29" s="16"/>
      <c r="E29" s="10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8"/>
      <c r="Q29" s="17"/>
      <c r="R29" s="17"/>
      <c r="S29" s="17"/>
      <c r="T29" s="18"/>
      <c r="U29" s="18"/>
      <c r="V29" s="19"/>
      <c r="W29" s="19"/>
      <c r="X29" s="19"/>
      <c r="Y29" s="20"/>
      <c r="Z29" s="20"/>
    </row>
    <row r="30" spans="1:34" ht="15.75" x14ac:dyDescent="0.25">
      <c r="A30" s="262">
        <v>9</v>
      </c>
      <c r="B30" s="266"/>
      <c r="C30" s="11" t="s">
        <v>47</v>
      </c>
      <c r="D30" s="22" t="s">
        <v>48</v>
      </c>
      <c r="E30" s="10">
        <v>31</v>
      </c>
      <c r="F30" s="11">
        <v>12</v>
      </c>
      <c r="G30" s="28">
        <v>6</v>
      </c>
      <c r="H30" s="11">
        <v>62</v>
      </c>
      <c r="I30" s="11">
        <v>13</v>
      </c>
      <c r="J30" s="11">
        <v>81</v>
      </c>
      <c r="K30" s="11">
        <v>4</v>
      </c>
      <c r="L30" s="11">
        <v>74</v>
      </c>
      <c r="M30" s="12">
        <v>1</v>
      </c>
      <c r="N30" s="11">
        <v>0</v>
      </c>
      <c r="O30" s="11">
        <v>1</v>
      </c>
      <c r="P30" s="12">
        <v>79</v>
      </c>
      <c r="Q30" s="11">
        <v>229</v>
      </c>
      <c r="R30" s="11">
        <v>1</v>
      </c>
      <c r="S30" s="11">
        <v>241</v>
      </c>
      <c r="T30" s="12">
        <v>2</v>
      </c>
      <c r="U30" s="12">
        <v>75</v>
      </c>
      <c r="V30" s="13">
        <v>7.774193548387097</v>
      </c>
      <c r="W30" s="13">
        <v>64.784946236559136</v>
      </c>
      <c r="X30" s="13">
        <v>3.2133333333333334</v>
      </c>
      <c r="Y30" s="14">
        <v>1.7466666666666666</v>
      </c>
      <c r="Z30" s="15">
        <v>6.25</v>
      </c>
    </row>
    <row r="31" spans="1:34" ht="15.75" x14ac:dyDescent="0.25">
      <c r="A31" s="263"/>
      <c r="B31" s="266"/>
      <c r="C31" s="11"/>
      <c r="D31" s="22"/>
      <c r="E31" s="10"/>
      <c r="F31" s="11"/>
      <c r="G31" s="28"/>
      <c r="H31" s="11"/>
      <c r="I31" s="11"/>
      <c r="J31" s="11"/>
      <c r="K31" s="11"/>
      <c r="L31" s="11"/>
      <c r="M31" s="12"/>
      <c r="N31" s="11"/>
      <c r="O31" s="11"/>
      <c r="P31" s="12"/>
      <c r="Q31" s="11"/>
      <c r="R31" s="11"/>
      <c r="S31" s="11"/>
      <c r="T31" s="12"/>
      <c r="U31" s="12"/>
      <c r="V31" s="13"/>
      <c r="W31" s="13"/>
      <c r="X31" s="13"/>
      <c r="Y31" s="14"/>
      <c r="Z31" s="15"/>
    </row>
    <row r="32" spans="1:34" ht="15.75" x14ac:dyDescent="0.25">
      <c r="A32" s="264"/>
      <c r="B32" s="266"/>
      <c r="C32" s="17" t="s">
        <v>47</v>
      </c>
      <c r="D32" s="16"/>
      <c r="E32" s="10">
        <v>31</v>
      </c>
      <c r="F32" s="17">
        <v>12</v>
      </c>
      <c r="G32" s="17">
        <v>6</v>
      </c>
      <c r="H32" s="17">
        <v>62</v>
      </c>
      <c r="I32" s="17">
        <v>13</v>
      </c>
      <c r="J32" s="17">
        <v>81</v>
      </c>
      <c r="K32" s="17">
        <v>4</v>
      </c>
      <c r="L32" s="17">
        <v>74</v>
      </c>
      <c r="M32" s="18">
        <v>1</v>
      </c>
      <c r="N32" s="17">
        <v>0</v>
      </c>
      <c r="O32" s="17">
        <v>1</v>
      </c>
      <c r="P32" s="18">
        <v>79</v>
      </c>
      <c r="Q32" s="17">
        <v>229</v>
      </c>
      <c r="R32" s="17">
        <v>1</v>
      </c>
      <c r="S32" s="17">
        <v>241</v>
      </c>
      <c r="T32" s="18">
        <v>2</v>
      </c>
      <c r="U32" s="18">
        <v>75</v>
      </c>
      <c r="V32" s="19">
        <v>7.774193548387097</v>
      </c>
      <c r="W32" s="19">
        <v>64.784946236559136</v>
      </c>
      <c r="X32" s="19">
        <v>3.2133333333333334</v>
      </c>
      <c r="Y32" s="20">
        <v>1.7466666666666666</v>
      </c>
      <c r="Z32" s="20">
        <v>6.25</v>
      </c>
    </row>
    <row r="33" spans="1:26" ht="15.75" x14ac:dyDescent="0.25">
      <c r="A33" s="107"/>
      <c r="B33" s="266"/>
      <c r="C33" s="17"/>
      <c r="D33" s="16"/>
      <c r="E33" s="10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8"/>
      <c r="Q33" s="17"/>
      <c r="R33" s="17"/>
      <c r="S33" s="17"/>
      <c r="T33" s="18"/>
      <c r="U33" s="18"/>
      <c r="V33" s="19"/>
      <c r="W33" s="19"/>
      <c r="X33" s="19"/>
      <c r="Y33" s="20"/>
      <c r="Z33" s="20"/>
    </row>
    <row r="34" spans="1:26" ht="15.75" x14ac:dyDescent="0.25">
      <c r="A34" s="262">
        <v>10</v>
      </c>
      <c r="B34" s="266"/>
      <c r="C34" s="11" t="s">
        <v>49</v>
      </c>
      <c r="D34" s="22" t="s">
        <v>48</v>
      </c>
      <c r="E34" s="10">
        <v>31</v>
      </c>
      <c r="F34" s="11">
        <v>19</v>
      </c>
      <c r="G34" s="28">
        <v>5</v>
      </c>
      <c r="H34" s="11">
        <v>31</v>
      </c>
      <c r="I34" s="11">
        <v>12</v>
      </c>
      <c r="J34" s="11">
        <v>48</v>
      </c>
      <c r="K34" s="11">
        <v>2</v>
      </c>
      <c r="L34" s="11">
        <v>38</v>
      </c>
      <c r="M34" s="12">
        <v>3</v>
      </c>
      <c r="N34" s="11">
        <v>1</v>
      </c>
      <c r="O34" s="11">
        <v>2</v>
      </c>
      <c r="P34" s="12">
        <v>43</v>
      </c>
      <c r="Q34" s="11">
        <v>127</v>
      </c>
      <c r="R34" s="11">
        <v>0</v>
      </c>
      <c r="S34" s="11">
        <v>136</v>
      </c>
      <c r="T34" s="12">
        <v>5</v>
      </c>
      <c r="U34" s="12">
        <v>41</v>
      </c>
      <c r="V34" s="13">
        <v>4.387096774193548</v>
      </c>
      <c r="W34" s="13">
        <v>23.089983022071305</v>
      </c>
      <c r="X34" s="13">
        <v>3.3170731707317072</v>
      </c>
      <c r="Y34" s="14">
        <v>11.048780487804878</v>
      </c>
      <c r="Z34" s="15">
        <v>2.1578947368421053</v>
      </c>
    </row>
    <row r="35" spans="1:26" ht="15.75" x14ac:dyDescent="0.25">
      <c r="A35" s="264"/>
      <c r="B35" s="266"/>
      <c r="C35" s="17"/>
      <c r="D35" s="16"/>
      <c r="E35" s="10">
        <v>0</v>
      </c>
      <c r="F35" s="17"/>
      <c r="G35" s="17"/>
      <c r="H35" s="17"/>
      <c r="I35" s="17"/>
      <c r="J35" s="17"/>
      <c r="K35" s="17"/>
      <c r="L35" s="17"/>
      <c r="M35" s="18"/>
      <c r="N35" s="17"/>
      <c r="O35" s="17"/>
      <c r="P35" s="18"/>
      <c r="Q35" s="17"/>
      <c r="R35" s="17"/>
      <c r="S35" s="17"/>
      <c r="T35" s="18"/>
      <c r="U35" s="18"/>
      <c r="V35" s="19"/>
      <c r="W35" s="19"/>
      <c r="X35" s="19"/>
      <c r="Y35" s="20"/>
      <c r="Z35" s="20"/>
    </row>
    <row r="36" spans="1:26" ht="15.75" x14ac:dyDescent="0.25">
      <c r="A36" s="107"/>
      <c r="B36" s="266"/>
      <c r="C36" s="112"/>
      <c r="D36" s="16"/>
      <c r="E36" s="10">
        <v>0</v>
      </c>
      <c r="F36" s="17"/>
      <c r="G36" s="17"/>
      <c r="H36" s="17"/>
      <c r="I36" s="17"/>
      <c r="J36" s="17"/>
      <c r="K36" s="17"/>
      <c r="L36" s="17"/>
      <c r="M36" s="18"/>
      <c r="N36" s="17"/>
      <c r="O36" s="17"/>
      <c r="P36" s="18"/>
      <c r="Q36" s="17"/>
      <c r="R36" s="17"/>
      <c r="S36" s="17"/>
      <c r="T36" s="18"/>
      <c r="U36" s="18"/>
      <c r="V36" s="19"/>
      <c r="W36" s="19"/>
      <c r="X36" s="19"/>
      <c r="Y36" s="20"/>
      <c r="Z36" s="20"/>
    </row>
    <row r="37" spans="1:26" ht="15.75" x14ac:dyDescent="0.25">
      <c r="A37" s="107"/>
      <c r="B37" s="266"/>
      <c r="C37" s="17" t="s">
        <v>49</v>
      </c>
      <c r="D37" s="16"/>
      <c r="E37" s="10">
        <v>31</v>
      </c>
      <c r="F37" s="17">
        <v>19</v>
      </c>
      <c r="G37" s="17">
        <v>5</v>
      </c>
      <c r="H37" s="17">
        <v>31</v>
      </c>
      <c r="I37" s="17">
        <v>12</v>
      </c>
      <c r="J37" s="17">
        <v>48</v>
      </c>
      <c r="K37" s="17">
        <v>2</v>
      </c>
      <c r="L37" s="17">
        <v>38</v>
      </c>
      <c r="M37" s="18">
        <v>3</v>
      </c>
      <c r="N37" s="17">
        <v>1</v>
      </c>
      <c r="O37" s="17">
        <v>2</v>
      </c>
      <c r="P37" s="18">
        <v>43</v>
      </c>
      <c r="Q37" s="17">
        <v>127</v>
      </c>
      <c r="R37" s="17">
        <v>0</v>
      </c>
      <c r="S37" s="17">
        <v>136</v>
      </c>
      <c r="T37" s="18">
        <v>5</v>
      </c>
      <c r="U37" s="18">
        <v>41</v>
      </c>
      <c r="V37" s="19">
        <v>4.387096774193548</v>
      </c>
      <c r="W37" s="19">
        <v>23.089983022071305</v>
      </c>
      <c r="X37" s="19">
        <v>3.3170731707317072</v>
      </c>
      <c r="Y37" s="20">
        <v>11.048780487804878</v>
      </c>
      <c r="Z37" s="20">
        <v>2.1578947368421053</v>
      </c>
    </row>
    <row r="38" spans="1:26" ht="15.75" x14ac:dyDescent="0.25">
      <c r="A38" s="245">
        <v>11</v>
      </c>
      <c r="B38" s="266"/>
      <c r="C38" s="248" t="s">
        <v>50</v>
      </c>
      <c r="D38" s="22" t="s">
        <v>51</v>
      </c>
      <c r="E38" s="10">
        <v>31</v>
      </c>
      <c r="F38" s="10">
        <v>6</v>
      </c>
      <c r="G38" s="28">
        <v>4</v>
      </c>
      <c r="H38" s="11">
        <v>35</v>
      </c>
      <c r="I38" s="11">
        <v>7</v>
      </c>
      <c r="J38" s="11">
        <v>46</v>
      </c>
      <c r="K38" s="11">
        <v>5</v>
      </c>
      <c r="L38" s="11">
        <v>36</v>
      </c>
      <c r="M38" s="12">
        <v>4</v>
      </c>
      <c r="N38" s="11">
        <v>0</v>
      </c>
      <c r="O38" s="11">
        <v>4</v>
      </c>
      <c r="P38" s="12">
        <v>45</v>
      </c>
      <c r="Q38" s="11">
        <v>125</v>
      </c>
      <c r="R38" s="11">
        <v>2</v>
      </c>
      <c r="S38" s="11">
        <v>122</v>
      </c>
      <c r="T38" s="12">
        <v>1</v>
      </c>
      <c r="U38" s="12">
        <v>40</v>
      </c>
      <c r="V38" s="13">
        <v>3.935483870967742</v>
      </c>
      <c r="W38" s="13">
        <v>65.591397849462368</v>
      </c>
      <c r="X38" s="13">
        <v>3.05</v>
      </c>
      <c r="Y38" s="14">
        <v>1.6</v>
      </c>
      <c r="Z38" s="15">
        <v>6.666666666666667</v>
      </c>
    </row>
    <row r="39" spans="1:26" ht="15.75" x14ac:dyDescent="0.25">
      <c r="A39" s="246"/>
      <c r="B39" s="266"/>
      <c r="C39" s="249"/>
      <c r="D39" s="22" t="s">
        <v>52</v>
      </c>
      <c r="E39" s="10">
        <v>31</v>
      </c>
      <c r="F39" s="10">
        <v>6</v>
      </c>
      <c r="G39" s="28">
        <v>3</v>
      </c>
      <c r="H39" s="11">
        <v>37</v>
      </c>
      <c r="I39" s="11">
        <v>3</v>
      </c>
      <c r="J39" s="11">
        <v>43</v>
      </c>
      <c r="K39" s="11">
        <v>6</v>
      </c>
      <c r="L39" s="11">
        <v>34</v>
      </c>
      <c r="M39" s="12">
        <v>0</v>
      </c>
      <c r="N39" s="11">
        <v>0</v>
      </c>
      <c r="O39" s="11">
        <v>0</v>
      </c>
      <c r="P39" s="12">
        <v>40</v>
      </c>
      <c r="Q39" s="11">
        <v>107</v>
      </c>
      <c r="R39" s="11">
        <v>0</v>
      </c>
      <c r="S39" s="11">
        <v>133</v>
      </c>
      <c r="T39" s="12">
        <v>3</v>
      </c>
      <c r="U39" s="12">
        <v>34</v>
      </c>
      <c r="V39" s="13">
        <v>4.290322580645161</v>
      </c>
      <c r="W39" s="13">
        <v>71.505376344086017</v>
      </c>
      <c r="X39" s="13">
        <v>3.9117647058823528</v>
      </c>
      <c r="Y39" s="14">
        <v>1.5588235294117649</v>
      </c>
      <c r="Z39" s="15">
        <v>5.666666666666667</v>
      </c>
    </row>
    <row r="40" spans="1:26" ht="15.75" customHeight="1" x14ac:dyDescent="0.25">
      <c r="A40" s="246"/>
      <c r="B40" s="266"/>
      <c r="C40" s="249"/>
      <c r="D40" s="22" t="s">
        <v>53</v>
      </c>
      <c r="E40" s="10">
        <v>31</v>
      </c>
      <c r="F40" s="10">
        <v>14</v>
      </c>
      <c r="G40" s="28">
        <v>10</v>
      </c>
      <c r="H40" s="11">
        <v>55</v>
      </c>
      <c r="I40" s="11">
        <v>9</v>
      </c>
      <c r="J40" s="11">
        <v>74</v>
      </c>
      <c r="K40" s="11">
        <v>4</v>
      </c>
      <c r="L40" s="11">
        <v>53</v>
      </c>
      <c r="M40" s="12">
        <v>12</v>
      </c>
      <c r="N40" s="11">
        <v>5</v>
      </c>
      <c r="O40" s="11">
        <v>7</v>
      </c>
      <c r="P40" s="12">
        <v>69</v>
      </c>
      <c r="Q40" s="11">
        <v>266</v>
      </c>
      <c r="R40" s="11">
        <v>4</v>
      </c>
      <c r="S40" s="11">
        <v>256</v>
      </c>
      <c r="T40" s="12">
        <v>5</v>
      </c>
      <c r="U40" s="12">
        <v>65</v>
      </c>
      <c r="V40" s="13">
        <v>8.258064516129032</v>
      </c>
      <c r="W40" s="13">
        <v>58.986175115207374</v>
      </c>
      <c r="X40" s="13">
        <v>3.9384615384615387</v>
      </c>
      <c r="Y40" s="23">
        <v>2.7384615384615385</v>
      </c>
      <c r="Z40" s="24">
        <v>4.6428571428571432</v>
      </c>
    </row>
    <row r="41" spans="1:26" ht="15.75" x14ac:dyDescent="0.25">
      <c r="A41" s="246"/>
      <c r="B41" s="266"/>
      <c r="C41" s="250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47"/>
      <c r="B42" s="266"/>
      <c r="C42" s="17" t="s">
        <v>50</v>
      </c>
      <c r="D42" s="16"/>
      <c r="E42" s="10">
        <v>31</v>
      </c>
      <c r="F42" s="17">
        <v>26</v>
      </c>
      <c r="G42" s="17">
        <v>17</v>
      </c>
      <c r="H42" s="17">
        <v>127</v>
      </c>
      <c r="I42" s="17">
        <v>19</v>
      </c>
      <c r="J42" s="17">
        <v>163</v>
      </c>
      <c r="K42" s="17">
        <v>15</v>
      </c>
      <c r="L42" s="17">
        <v>123</v>
      </c>
      <c r="M42" s="18">
        <v>16</v>
      </c>
      <c r="N42" s="17">
        <v>5</v>
      </c>
      <c r="O42" s="17">
        <v>11</v>
      </c>
      <c r="P42" s="18">
        <v>154</v>
      </c>
      <c r="Q42" s="17">
        <v>498</v>
      </c>
      <c r="R42" s="17">
        <v>6</v>
      </c>
      <c r="S42" s="17">
        <v>511</v>
      </c>
      <c r="T42" s="18">
        <v>9</v>
      </c>
      <c r="U42" s="18">
        <v>139</v>
      </c>
      <c r="V42" s="19">
        <v>16.483870967741936</v>
      </c>
      <c r="W42" s="19">
        <v>63.399503722084368</v>
      </c>
      <c r="X42" s="19">
        <v>3.6762589928057552</v>
      </c>
      <c r="Y42" s="20">
        <v>2.1223021582733814</v>
      </c>
      <c r="Z42" s="20">
        <v>5.3461538461538458</v>
      </c>
    </row>
    <row r="43" spans="1:26" ht="15.75" x14ac:dyDescent="0.25">
      <c r="A43" s="141"/>
      <c r="B43" s="266"/>
      <c r="C43" s="17"/>
      <c r="D43" s="16"/>
      <c r="E43" s="10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8"/>
      <c r="Q43" s="17"/>
      <c r="R43" s="17"/>
      <c r="S43" s="17"/>
      <c r="T43" s="18"/>
      <c r="U43" s="18"/>
      <c r="V43" s="19"/>
      <c r="W43" s="19"/>
      <c r="X43" s="19"/>
      <c r="Y43" s="20"/>
      <c r="Z43" s="20"/>
    </row>
    <row r="44" spans="1:26" ht="15.75" x14ac:dyDescent="0.25">
      <c r="A44" s="245">
        <v>12</v>
      </c>
      <c r="B44" s="266"/>
      <c r="C44" s="10" t="s">
        <v>54</v>
      </c>
      <c r="D44" s="21" t="s">
        <v>48</v>
      </c>
      <c r="E44" s="10">
        <v>31</v>
      </c>
      <c r="F44" s="10">
        <v>15</v>
      </c>
      <c r="G44" s="28">
        <v>7</v>
      </c>
      <c r="H44" s="11">
        <v>48</v>
      </c>
      <c r="I44" s="11">
        <v>9</v>
      </c>
      <c r="J44" s="11">
        <v>64</v>
      </c>
      <c r="K44" s="11">
        <v>6</v>
      </c>
      <c r="L44" s="11">
        <v>50</v>
      </c>
      <c r="M44" s="12">
        <v>4</v>
      </c>
      <c r="N44" s="11">
        <v>1</v>
      </c>
      <c r="O44" s="11">
        <v>3</v>
      </c>
      <c r="P44" s="12">
        <v>60</v>
      </c>
      <c r="Q44" s="11">
        <v>195</v>
      </c>
      <c r="R44" s="11">
        <v>2</v>
      </c>
      <c r="S44" s="11">
        <v>192</v>
      </c>
      <c r="T44" s="12">
        <v>4</v>
      </c>
      <c r="U44" s="12">
        <v>54</v>
      </c>
      <c r="V44" s="13">
        <v>6.193548387096774</v>
      </c>
      <c r="W44" s="13">
        <v>41.29032258064516</v>
      </c>
      <c r="X44" s="13">
        <v>3.5555555555555554</v>
      </c>
      <c r="Y44" s="14">
        <v>5.0555555555555554</v>
      </c>
      <c r="Z44" s="15">
        <v>3.6</v>
      </c>
    </row>
    <row r="45" spans="1:26" ht="15.75" x14ac:dyDescent="0.25">
      <c r="A45" s="246"/>
      <c r="B45" s="266"/>
      <c r="C45" s="10"/>
      <c r="D45" s="21" t="s">
        <v>55</v>
      </c>
      <c r="E45" s="10">
        <v>31</v>
      </c>
      <c r="F45" s="10">
        <v>2</v>
      </c>
      <c r="G45" s="28">
        <v>1</v>
      </c>
      <c r="H45" s="11">
        <v>1</v>
      </c>
      <c r="I45" s="11">
        <v>3</v>
      </c>
      <c r="J45" s="11">
        <v>5</v>
      </c>
      <c r="K45" s="11">
        <v>1</v>
      </c>
      <c r="L45" s="11">
        <v>3</v>
      </c>
      <c r="M45" s="12">
        <v>0</v>
      </c>
      <c r="N45" s="11">
        <v>0</v>
      </c>
      <c r="O45" s="11">
        <v>0</v>
      </c>
      <c r="P45" s="12">
        <v>4</v>
      </c>
      <c r="Q45" s="11">
        <v>19</v>
      </c>
      <c r="R45" s="11">
        <v>0</v>
      </c>
      <c r="S45" s="11">
        <v>26</v>
      </c>
      <c r="T45" s="12">
        <v>1</v>
      </c>
      <c r="U45" s="12">
        <v>3</v>
      </c>
      <c r="V45" s="13">
        <v>0.83870967741935487</v>
      </c>
      <c r="W45" s="13">
        <v>41.935483870967744</v>
      </c>
      <c r="X45" s="13">
        <v>8.6666666666666661</v>
      </c>
      <c r="Y45" s="14">
        <v>11.999999999999998</v>
      </c>
      <c r="Z45" s="15">
        <v>1.5</v>
      </c>
    </row>
    <row r="46" spans="1:26" ht="15.75" customHeight="1" x14ac:dyDescent="0.25">
      <c r="A46" s="247"/>
      <c r="B46" s="266"/>
      <c r="C46" s="17" t="s">
        <v>54</v>
      </c>
      <c r="D46" s="16"/>
      <c r="E46" s="10">
        <v>31</v>
      </c>
      <c r="F46" s="17">
        <v>17</v>
      </c>
      <c r="G46" s="17">
        <v>8</v>
      </c>
      <c r="H46" s="17">
        <v>49</v>
      </c>
      <c r="I46" s="17">
        <v>12</v>
      </c>
      <c r="J46" s="17">
        <v>69</v>
      </c>
      <c r="K46" s="17">
        <v>7</v>
      </c>
      <c r="L46" s="17">
        <v>53</v>
      </c>
      <c r="M46" s="18">
        <v>4</v>
      </c>
      <c r="N46" s="17">
        <v>1</v>
      </c>
      <c r="O46" s="17">
        <v>3</v>
      </c>
      <c r="P46" s="18">
        <v>64</v>
      </c>
      <c r="Q46" s="17">
        <v>214</v>
      </c>
      <c r="R46" s="17">
        <v>2</v>
      </c>
      <c r="S46" s="17">
        <v>218</v>
      </c>
      <c r="T46" s="18">
        <v>5</v>
      </c>
      <c r="U46" s="18">
        <v>57</v>
      </c>
      <c r="V46" s="25">
        <v>7.032258064516129</v>
      </c>
      <c r="W46" s="19">
        <v>41.366223908918407</v>
      </c>
      <c r="X46" s="19">
        <v>3.8245614035087718</v>
      </c>
      <c r="Y46" s="20">
        <v>5.4210526315789478</v>
      </c>
      <c r="Z46" s="20">
        <v>3.3529411764705883</v>
      </c>
    </row>
    <row r="47" spans="1:26" ht="15.75" x14ac:dyDescent="0.25">
      <c r="A47" s="59"/>
      <c r="B47" s="266"/>
      <c r="C47" s="317" t="s">
        <v>56</v>
      </c>
      <c r="D47" s="22" t="s">
        <v>57</v>
      </c>
      <c r="E47" s="10">
        <v>31</v>
      </c>
      <c r="F47" s="11">
        <v>2</v>
      </c>
      <c r="G47" s="28">
        <v>0</v>
      </c>
      <c r="H47" s="11">
        <v>1</v>
      </c>
      <c r="I47" s="11">
        <v>1</v>
      </c>
      <c r="J47" s="11">
        <v>2</v>
      </c>
      <c r="K47" s="11">
        <v>0</v>
      </c>
      <c r="L47" s="11">
        <v>2</v>
      </c>
      <c r="M47" s="12">
        <v>0</v>
      </c>
      <c r="N47" s="11">
        <v>0</v>
      </c>
      <c r="O47" s="11">
        <v>0</v>
      </c>
      <c r="P47" s="12">
        <v>2</v>
      </c>
      <c r="Q47" s="11">
        <v>11</v>
      </c>
      <c r="R47" s="11">
        <v>0</v>
      </c>
      <c r="S47" s="11">
        <v>10</v>
      </c>
      <c r="T47" s="12">
        <v>0</v>
      </c>
      <c r="U47" s="12">
        <v>2</v>
      </c>
      <c r="V47" s="13">
        <v>0.32258064516129031</v>
      </c>
      <c r="W47" s="13">
        <v>16.129032258064516</v>
      </c>
      <c r="X47" s="13">
        <v>5</v>
      </c>
      <c r="Y47" s="14">
        <v>26</v>
      </c>
      <c r="Z47" s="15">
        <v>1</v>
      </c>
    </row>
    <row r="48" spans="1:26" ht="15.75" x14ac:dyDescent="0.25">
      <c r="A48" s="245">
        <v>13</v>
      </c>
      <c r="B48" s="266"/>
      <c r="C48" s="318"/>
      <c r="D48" s="99" t="s">
        <v>58</v>
      </c>
      <c r="E48" s="10">
        <v>31</v>
      </c>
      <c r="F48" s="26">
        <v>3</v>
      </c>
      <c r="G48" s="56">
        <v>0</v>
      </c>
      <c r="H48" s="26">
        <v>5</v>
      </c>
      <c r="I48" s="26">
        <v>2</v>
      </c>
      <c r="J48" s="11">
        <v>7</v>
      </c>
      <c r="K48" s="26">
        <v>0</v>
      </c>
      <c r="L48" s="26">
        <v>5</v>
      </c>
      <c r="M48" s="12">
        <v>2</v>
      </c>
      <c r="N48" s="26">
        <v>1</v>
      </c>
      <c r="O48" s="26">
        <v>1</v>
      </c>
      <c r="P48" s="12">
        <v>7</v>
      </c>
      <c r="Q48" s="26">
        <v>31</v>
      </c>
      <c r="R48" s="26">
        <v>0</v>
      </c>
      <c r="S48" s="26">
        <v>25</v>
      </c>
      <c r="T48" s="12">
        <v>0</v>
      </c>
      <c r="U48" s="12">
        <v>7</v>
      </c>
      <c r="V48" s="13">
        <v>0.80645161290322576</v>
      </c>
      <c r="W48" s="13">
        <v>26.881720430107524</v>
      </c>
      <c r="X48" s="13">
        <v>3.5714285714285716</v>
      </c>
      <c r="Y48" s="14">
        <v>9.7142857142857135</v>
      </c>
      <c r="Z48" s="15">
        <v>2.3333333333333335</v>
      </c>
    </row>
    <row r="49" spans="1:26" ht="15.75" x14ac:dyDescent="0.25">
      <c r="A49" s="246"/>
      <c r="B49" s="266"/>
      <c r="C49" s="318"/>
      <c r="D49" s="99" t="s">
        <v>59</v>
      </c>
      <c r="E49" s="10">
        <v>31</v>
      </c>
      <c r="F49" s="26">
        <v>2</v>
      </c>
      <c r="G49" s="56">
        <v>0</v>
      </c>
      <c r="H49" s="26">
        <v>0</v>
      </c>
      <c r="I49" s="26">
        <v>2</v>
      </c>
      <c r="J49" s="11">
        <v>2</v>
      </c>
      <c r="K49" s="26">
        <v>1</v>
      </c>
      <c r="L49" s="26">
        <v>0</v>
      </c>
      <c r="M49" s="12">
        <v>1</v>
      </c>
      <c r="N49" s="26">
        <v>0</v>
      </c>
      <c r="O49" s="26">
        <v>1</v>
      </c>
      <c r="P49" s="12">
        <v>2</v>
      </c>
      <c r="Q49" s="26">
        <v>7</v>
      </c>
      <c r="R49" s="26">
        <v>0</v>
      </c>
      <c r="S49" s="26">
        <v>4</v>
      </c>
      <c r="T49" s="12">
        <v>0</v>
      </c>
      <c r="U49" s="12">
        <v>1</v>
      </c>
      <c r="V49" s="13">
        <v>0.12903225806451613</v>
      </c>
      <c r="W49" s="13">
        <v>6.4516129032258061</v>
      </c>
      <c r="X49" s="13">
        <v>4</v>
      </c>
      <c r="Y49" s="14">
        <v>58</v>
      </c>
      <c r="Z49" s="15">
        <v>0.5</v>
      </c>
    </row>
    <row r="50" spans="1:26" ht="15.75" x14ac:dyDescent="0.25">
      <c r="A50" s="246"/>
      <c r="B50" s="266"/>
      <c r="C50" s="319"/>
      <c r="D50" s="99" t="s">
        <v>60</v>
      </c>
      <c r="E50" s="10">
        <v>31</v>
      </c>
      <c r="F50" s="26">
        <v>10</v>
      </c>
      <c r="G50" s="56">
        <v>1</v>
      </c>
      <c r="H50" s="26">
        <v>35</v>
      </c>
      <c r="I50" s="26">
        <v>7</v>
      </c>
      <c r="J50" s="11">
        <v>43</v>
      </c>
      <c r="K50" s="26">
        <v>6</v>
      </c>
      <c r="L50" s="26">
        <v>21</v>
      </c>
      <c r="M50" s="12">
        <v>12</v>
      </c>
      <c r="N50" s="26">
        <v>3</v>
      </c>
      <c r="O50" s="26">
        <v>9</v>
      </c>
      <c r="P50" s="12">
        <v>39</v>
      </c>
      <c r="Q50" s="26">
        <v>152</v>
      </c>
      <c r="R50" s="26">
        <v>1</v>
      </c>
      <c r="S50" s="26">
        <v>131</v>
      </c>
      <c r="T50" s="12">
        <v>4</v>
      </c>
      <c r="U50" s="12">
        <v>33</v>
      </c>
      <c r="V50" s="13">
        <v>4.225806451612903</v>
      </c>
      <c r="W50" s="13">
        <v>42.258064516129032</v>
      </c>
      <c r="X50" s="13">
        <v>3.9696969696969697</v>
      </c>
      <c r="Y50" s="14">
        <v>5.4242424242424239</v>
      </c>
      <c r="Z50" s="15">
        <v>3.3</v>
      </c>
    </row>
    <row r="51" spans="1:26" ht="15.75" x14ac:dyDescent="0.25">
      <c r="A51" s="247"/>
      <c r="B51" s="266"/>
      <c r="C51" s="17" t="s">
        <v>61</v>
      </c>
      <c r="D51" s="16"/>
      <c r="E51" s="10">
        <v>31</v>
      </c>
      <c r="F51" s="17">
        <v>17</v>
      </c>
      <c r="G51" s="17">
        <v>1</v>
      </c>
      <c r="H51" s="17">
        <v>41</v>
      </c>
      <c r="I51" s="17">
        <v>12</v>
      </c>
      <c r="J51" s="17">
        <v>54</v>
      </c>
      <c r="K51" s="17">
        <v>7</v>
      </c>
      <c r="L51" s="17">
        <v>28</v>
      </c>
      <c r="M51" s="18">
        <v>15</v>
      </c>
      <c r="N51" s="17">
        <v>4</v>
      </c>
      <c r="O51" s="17">
        <v>11</v>
      </c>
      <c r="P51" s="18">
        <v>50</v>
      </c>
      <c r="Q51" s="17">
        <v>201</v>
      </c>
      <c r="R51" s="17">
        <v>1</v>
      </c>
      <c r="S51" s="17">
        <v>170</v>
      </c>
      <c r="T51" s="18">
        <v>4</v>
      </c>
      <c r="U51" s="18">
        <v>43</v>
      </c>
      <c r="V51" s="19">
        <v>5.4838709677419351</v>
      </c>
      <c r="W51" s="19">
        <v>32.258064516129032</v>
      </c>
      <c r="X51" s="19">
        <v>3.9534883720930232</v>
      </c>
      <c r="Y51" s="20">
        <v>8.3023255813953494</v>
      </c>
      <c r="Z51" s="20">
        <v>2.5294117647058822</v>
      </c>
    </row>
    <row r="52" spans="1:26" ht="15.75" x14ac:dyDescent="0.25">
      <c r="A52" s="141"/>
      <c r="B52" s="266"/>
      <c r="C52" s="17"/>
      <c r="D52" s="16"/>
      <c r="E52" s="10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45">
        <v>14</v>
      </c>
      <c r="B53" s="266"/>
      <c r="C53" s="11" t="s">
        <v>62</v>
      </c>
      <c r="D53" s="22" t="s">
        <v>55</v>
      </c>
      <c r="E53" s="10">
        <v>31</v>
      </c>
      <c r="F53" s="11">
        <v>8</v>
      </c>
      <c r="G53" s="28">
        <v>1</v>
      </c>
      <c r="H53" s="11">
        <v>26</v>
      </c>
      <c r="I53" s="11">
        <v>2</v>
      </c>
      <c r="J53" s="11">
        <v>29</v>
      </c>
      <c r="K53" s="11">
        <v>2</v>
      </c>
      <c r="L53" s="11">
        <v>19</v>
      </c>
      <c r="M53" s="12">
        <v>4</v>
      </c>
      <c r="N53" s="11">
        <v>3</v>
      </c>
      <c r="O53" s="11">
        <v>1</v>
      </c>
      <c r="P53" s="12">
        <v>25</v>
      </c>
      <c r="Q53" s="11">
        <v>76</v>
      </c>
      <c r="R53" s="11">
        <v>0</v>
      </c>
      <c r="S53" s="11">
        <v>81</v>
      </c>
      <c r="T53" s="12">
        <v>4</v>
      </c>
      <c r="U53" s="12">
        <v>23</v>
      </c>
      <c r="V53" s="13">
        <v>2.6129032258064515</v>
      </c>
      <c r="W53" s="24">
        <v>32.661290322580641</v>
      </c>
      <c r="X53" s="24">
        <v>3.5217391304347827</v>
      </c>
      <c r="Y53" s="23">
        <v>7.2608695652173916</v>
      </c>
      <c r="Z53" s="24">
        <v>2.875</v>
      </c>
    </row>
    <row r="54" spans="1:26" ht="15.75" x14ac:dyDescent="0.25">
      <c r="A54" s="247"/>
      <c r="B54" s="266"/>
      <c r="C54" s="17" t="s">
        <v>62</v>
      </c>
      <c r="D54" s="16" t="s">
        <v>55</v>
      </c>
      <c r="E54" s="10">
        <v>31</v>
      </c>
      <c r="F54" s="17">
        <v>8</v>
      </c>
      <c r="G54" s="17">
        <v>1</v>
      </c>
      <c r="H54" s="17">
        <v>26</v>
      </c>
      <c r="I54" s="17">
        <v>2</v>
      </c>
      <c r="J54" s="17">
        <v>29</v>
      </c>
      <c r="K54" s="17">
        <v>2</v>
      </c>
      <c r="L54" s="17">
        <v>19</v>
      </c>
      <c r="M54" s="18">
        <v>4</v>
      </c>
      <c r="N54" s="17">
        <v>3</v>
      </c>
      <c r="O54" s="17">
        <v>1</v>
      </c>
      <c r="P54" s="18">
        <v>25</v>
      </c>
      <c r="Q54" s="17">
        <v>76</v>
      </c>
      <c r="R54" s="17">
        <v>0</v>
      </c>
      <c r="S54" s="17">
        <v>81</v>
      </c>
      <c r="T54" s="18">
        <v>4</v>
      </c>
      <c r="U54" s="18">
        <v>23</v>
      </c>
      <c r="V54" s="19">
        <v>2.6129032258064515</v>
      </c>
      <c r="W54" s="27">
        <v>32.661290322580641</v>
      </c>
      <c r="X54" s="27">
        <v>3.5217391304347827</v>
      </c>
      <c r="Y54" s="27">
        <v>7.2608695652173916</v>
      </c>
      <c r="Z54" s="27">
        <v>2.875</v>
      </c>
    </row>
    <row r="55" spans="1:26" ht="15.75" x14ac:dyDescent="0.25">
      <c r="A55" s="141"/>
      <c r="B55" s="266"/>
      <c r="C55" s="17"/>
      <c r="D55" s="16"/>
      <c r="E55" s="10"/>
      <c r="F55" s="17"/>
      <c r="G55" s="17"/>
      <c r="H55" s="17"/>
      <c r="I55" s="17"/>
      <c r="J55" s="17"/>
      <c r="K55" s="17"/>
      <c r="L55" s="17"/>
      <c r="M55" s="18"/>
      <c r="N55" s="17"/>
      <c r="O55" s="17"/>
      <c r="P55" s="18"/>
      <c r="Q55" s="17"/>
      <c r="R55" s="17"/>
      <c r="S55" s="17"/>
      <c r="T55" s="18"/>
      <c r="U55" s="18"/>
      <c r="V55" s="19"/>
      <c r="W55" s="27"/>
      <c r="X55" s="27"/>
      <c r="Y55" s="27"/>
      <c r="Z55" s="27"/>
    </row>
    <row r="56" spans="1:26" ht="15.75" x14ac:dyDescent="0.25">
      <c r="A56" s="245">
        <v>15</v>
      </c>
      <c r="B56" s="266"/>
      <c r="C56" s="11" t="s">
        <v>63</v>
      </c>
      <c r="D56" s="22" t="s">
        <v>34</v>
      </c>
      <c r="E56" s="10">
        <v>31</v>
      </c>
      <c r="F56" s="11">
        <v>16</v>
      </c>
      <c r="G56" s="28">
        <v>13</v>
      </c>
      <c r="H56" s="11">
        <v>84</v>
      </c>
      <c r="I56" s="11">
        <v>13</v>
      </c>
      <c r="J56" s="11">
        <v>110</v>
      </c>
      <c r="K56" s="11">
        <v>10</v>
      </c>
      <c r="L56" s="11">
        <v>73</v>
      </c>
      <c r="M56" s="11">
        <v>11</v>
      </c>
      <c r="N56" s="11">
        <v>6</v>
      </c>
      <c r="O56" s="11">
        <v>5</v>
      </c>
      <c r="P56" s="11">
        <v>94</v>
      </c>
      <c r="Q56" s="11">
        <v>371</v>
      </c>
      <c r="R56" s="11">
        <v>3</v>
      </c>
      <c r="S56" s="11">
        <v>442</v>
      </c>
      <c r="T56" s="11">
        <v>16</v>
      </c>
      <c r="U56" s="11">
        <v>84</v>
      </c>
      <c r="V56" s="15">
        <v>14.258064516129032</v>
      </c>
      <c r="W56" s="15">
        <v>89.112903225806448</v>
      </c>
      <c r="X56" s="15">
        <v>5.2619047619047619</v>
      </c>
      <c r="Y56" s="14">
        <v>0.6428571428571429</v>
      </c>
      <c r="Z56" s="15">
        <v>5.25</v>
      </c>
    </row>
    <row r="57" spans="1:26" ht="15.75" x14ac:dyDescent="0.25">
      <c r="A57" s="247"/>
      <c r="B57" s="266"/>
      <c r="C57" s="17" t="s">
        <v>63</v>
      </c>
      <c r="D57" s="16"/>
      <c r="E57" s="10">
        <v>31</v>
      </c>
      <c r="F57" s="17">
        <v>16</v>
      </c>
      <c r="G57" s="17">
        <v>13</v>
      </c>
      <c r="H57" s="17">
        <v>84</v>
      </c>
      <c r="I57" s="17">
        <v>13</v>
      </c>
      <c r="J57" s="17">
        <v>110</v>
      </c>
      <c r="K57" s="17">
        <v>10</v>
      </c>
      <c r="L57" s="17">
        <v>73</v>
      </c>
      <c r="M57" s="17">
        <v>11</v>
      </c>
      <c r="N57" s="17">
        <v>6</v>
      </c>
      <c r="O57" s="17">
        <v>5</v>
      </c>
      <c r="P57" s="17">
        <v>94</v>
      </c>
      <c r="Q57" s="17">
        <v>371</v>
      </c>
      <c r="R57" s="17">
        <v>3</v>
      </c>
      <c r="S57" s="17">
        <v>442</v>
      </c>
      <c r="T57" s="17">
        <v>16</v>
      </c>
      <c r="U57" s="17">
        <v>84</v>
      </c>
      <c r="V57" s="20">
        <v>14.258064516129032</v>
      </c>
      <c r="W57" s="20">
        <v>89.112903225806448</v>
      </c>
      <c r="X57" s="20">
        <v>5.2619047619047619</v>
      </c>
      <c r="Y57" s="20">
        <v>0.6428571428571429</v>
      </c>
      <c r="Z57" s="20">
        <v>5.25</v>
      </c>
    </row>
    <row r="58" spans="1:26" ht="15.75" x14ac:dyDescent="0.25">
      <c r="A58" s="141"/>
      <c r="B58" s="266"/>
      <c r="C58" s="17"/>
      <c r="D58" s="16"/>
      <c r="E58" s="1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0"/>
      <c r="W58" s="20"/>
      <c r="X58" s="20"/>
      <c r="Y58" s="20"/>
      <c r="Z58" s="20"/>
    </row>
    <row r="59" spans="1:26" ht="15.75" customHeight="1" x14ac:dyDescent="0.25">
      <c r="A59" s="320">
        <v>16</v>
      </c>
      <c r="B59" s="266"/>
      <c r="C59" s="10" t="s">
        <v>64</v>
      </c>
      <c r="D59" s="21" t="s">
        <v>48</v>
      </c>
      <c r="E59" s="10">
        <v>31</v>
      </c>
      <c r="F59" s="10">
        <v>2</v>
      </c>
      <c r="G59" s="28">
        <v>0</v>
      </c>
      <c r="H59" s="10">
        <v>0</v>
      </c>
      <c r="I59" s="10">
        <v>3</v>
      </c>
      <c r="J59" s="11">
        <v>3</v>
      </c>
      <c r="K59" s="10">
        <v>0</v>
      </c>
      <c r="L59" s="10">
        <v>3</v>
      </c>
      <c r="M59" s="11">
        <v>0</v>
      </c>
      <c r="N59" s="10">
        <v>0</v>
      </c>
      <c r="O59" s="10">
        <v>0</v>
      </c>
      <c r="P59" s="11">
        <v>3</v>
      </c>
      <c r="Q59" s="10">
        <v>8</v>
      </c>
      <c r="R59" s="10">
        <v>0</v>
      </c>
      <c r="S59" s="10">
        <v>3</v>
      </c>
      <c r="T59" s="12">
        <v>0</v>
      </c>
      <c r="U59" s="12">
        <v>3</v>
      </c>
      <c r="V59" s="13">
        <v>9.6774193548387094E-2</v>
      </c>
      <c r="W59" s="24">
        <v>4.838709677419355</v>
      </c>
      <c r="X59" s="24">
        <v>1</v>
      </c>
      <c r="Y59" s="23">
        <v>19.666666666666668</v>
      </c>
      <c r="Z59" s="24">
        <v>1.5</v>
      </c>
    </row>
    <row r="60" spans="1:26" ht="15.75" customHeight="1" x14ac:dyDescent="0.25">
      <c r="A60" s="321"/>
      <c r="B60" s="266"/>
      <c r="C60" s="10"/>
      <c r="D60" s="21" t="s">
        <v>38</v>
      </c>
      <c r="E60" s="10">
        <v>31</v>
      </c>
      <c r="F60" s="10">
        <v>10</v>
      </c>
      <c r="G60" s="28">
        <v>2</v>
      </c>
      <c r="H60" s="10">
        <v>19</v>
      </c>
      <c r="I60" s="10">
        <v>63</v>
      </c>
      <c r="J60" s="11">
        <v>84</v>
      </c>
      <c r="K60" s="10">
        <v>65</v>
      </c>
      <c r="L60" s="10">
        <v>13</v>
      </c>
      <c r="M60" s="11">
        <v>2</v>
      </c>
      <c r="N60" s="10">
        <v>1</v>
      </c>
      <c r="O60" s="10">
        <v>1</v>
      </c>
      <c r="P60" s="11">
        <v>80</v>
      </c>
      <c r="Q60" s="10">
        <v>44</v>
      </c>
      <c r="R60" s="10">
        <v>0</v>
      </c>
      <c r="S60" s="10">
        <v>115</v>
      </c>
      <c r="T60" s="12">
        <v>4</v>
      </c>
      <c r="U60" s="12">
        <v>15</v>
      </c>
      <c r="V60" s="13">
        <v>3.7096774193548385</v>
      </c>
      <c r="W60" s="24">
        <v>37.096774193548384</v>
      </c>
      <c r="X60" s="24">
        <v>7.666666666666667</v>
      </c>
      <c r="Y60" s="23">
        <v>13.000000000000002</v>
      </c>
      <c r="Z60" s="24">
        <v>1.5</v>
      </c>
    </row>
    <row r="61" spans="1:26" ht="15.75" customHeight="1" x14ac:dyDescent="0.25">
      <c r="A61" s="321"/>
      <c r="B61" s="266"/>
      <c r="C61" s="10"/>
      <c r="D61" s="21" t="s">
        <v>34</v>
      </c>
      <c r="E61" s="10">
        <v>31</v>
      </c>
      <c r="F61" s="10">
        <v>21</v>
      </c>
      <c r="G61" s="28">
        <v>7</v>
      </c>
      <c r="H61" s="10">
        <v>46</v>
      </c>
      <c r="I61" s="10">
        <v>150</v>
      </c>
      <c r="J61" s="11">
        <v>203</v>
      </c>
      <c r="K61" s="10">
        <v>34</v>
      </c>
      <c r="L61" s="10">
        <v>159</v>
      </c>
      <c r="M61" s="11">
        <v>0</v>
      </c>
      <c r="N61" s="10">
        <v>0</v>
      </c>
      <c r="O61" s="10">
        <v>0</v>
      </c>
      <c r="P61" s="11">
        <v>193</v>
      </c>
      <c r="Q61" s="10">
        <v>423</v>
      </c>
      <c r="R61" s="10">
        <v>0</v>
      </c>
      <c r="S61" s="10">
        <v>275</v>
      </c>
      <c r="T61" s="12">
        <v>10</v>
      </c>
      <c r="U61" s="12">
        <v>159</v>
      </c>
      <c r="V61" s="13">
        <v>8.870967741935484</v>
      </c>
      <c r="W61" s="24">
        <v>42.242703533026116</v>
      </c>
      <c r="X61" s="24">
        <v>1.729559748427673</v>
      </c>
      <c r="Y61" s="23">
        <v>2.3647798742138364</v>
      </c>
      <c r="Z61" s="24">
        <v>7.5714285714285712</v>
      </c>
    </row>
    <row r="62" spans="1:26" ht="15.75" customHeight="1" x14ac:dyDescent="0.25">
      <c r="A62" s="322"/>
      <c r="B62" s="266"/>
      <c r="C62" s="17" t="s">
        <v>64</v>
      </c>
      <c r="D62" s="16"/>
      <c r="E62" s="10">
        <v>31</v>
      </c>
      <c r="F62" s="17">
        <v>33</v>
      </c>
      <c r="G62" s="17">
        <v>9</v>
      </c>
      <c r="H62" s="17">
        <v>65</v>
      </c>
      <c r="I62" s="17">
        <v>216</v>
      </c>
      <c r="J62" s="17">
        <v>290</v>
      </c>
      <c r="K62" s="17">
        <v>99</v>
      </c>
      <c r="L62" s="17">
        <v>175</v>
      </c>
      <c r="M62" s="17">
        <v>2</v>
      </c>
      <c r="N62" s="17">
        <v>1</v>
      </c>
      <c r="O62" s="17">
        <v>1</v>
      </c>
      <c r="P62" s="17">
        <v>276</v>
      </c>
      <c r="Q62" s="17">
        <v>475</v>
      </c>
      <c r="R62" s="17">
        <v>0</v>
      </c>
      <c r="S62" s="17">
        <v>393</v>
      </c>
      <c r="T62" s="17">
        <v>14</v>
      </c>
      <c r="U62" s="17">
        <v>177</v>
      </c>
      <c r="V62" s="20">
        <v>12.67741935483871</v>
      </c>
      <c r="W62" s="20">
        <v>38.416422287390027</v>
      </c>
      <c r="X62" s="20">
        <v>2.2203389830508473</v>
      </c>
      <c r="Y62" s="20">
        <v>3.5593220338983045</v>
      </c>
      <c r="Z62" s="20">
        <v>5.3636363636363633</v>
      </c>
    </row>
    <row r="63" spans="1:26" ht="15.75" customHeight="1" x14ac:dyDescent="0.25">
      <c r="A63" s="320">
        <v>17</v>
      </c>
      <c r="B63" s="266"/>
      <c r="C63" s="11" t="s">
        <v>81</v>
      </c>
      <c r="D63" s="21" t="s">
        <v>38</v>
      </c>
      <c r="E63" s="10">
        <v>31</v>
      </c>
      <c r="F63" s="10">
        <v>2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customHeight="1" x14ac:dyDescent="0.25">
      <c r="A64" s="322"/>
      <c r="B64" s="323"/>
      <c r="C64" s="17" t="s">
        <v>81</v>
      </c>
      <c r="D64" s="16" t="s">
        <v>38</v>
      </c>
      <c r="E64" s="10">
        <v>31</v>
      </c>
      <c r="F64" s="17">
        <v>2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>
        <v>0</v>
      </c>
      <c r="X64" s="20" t="e">
        <v>#DIV/0!</v>
      </c>
      <c r="Y64" s="20" t="e">
        <v>#DIV/0!</v>
      </c>
      <c r="Z64" s="20">
        <v>0</v>
      </c>
    </row>
    <row r="65" spans="1:26" ht="15.75" customHeight="1" x14ac:dyDescent="0.25">
      <c r="A65" s="296" t="s">
        <v>65</v>
      </c>
      <c r="B65" s="297"/>
      <c r="C65" s="297"/>
      <c r="D65" s="298"/>
      <c r="E65" s="10">
        <v>31</v>
      </c>
      <c r="F65" s="29">
        <v>311</v>
      </c>
      <c r="G65" s="29">
        <v>173</v>
      </c>
      <c r="H65" s="29">
        <v>1274</v>
      </c>
      <c r="I65" s="29">
        <v>412</v>
      </c>
      <c r="J65" s="28">
        <v>1859</v>
      </c>
      <c r="K65" s="29">
        <v>236</v>
      </c>
      <c r="L65" s="29">
        <v>1377</v>
      </c>
      <c r="M65" s="28">
        <v>138</v>
      </c>
      <c r="N65" s="29">
        <v>72</v>
      </c>
      <c r="O65" s="29">
        <v>66</v>
      </c>
      <c r="P65" s="28">
        <v>1751</v>
      </c>
      <c r="Q65" s="29">
        <v>5272</v>
      </c>
      <c r="R65" s="29">
        <v>38</v>
      </c>
      <c r="S65" s="29">
        <v>5297</v>
      </c>
      <c r="T65" s="28">
        <v>108</v>
      </c>
      <c r="U65" s="28">
        <v>1515</v>
      </c>
      <c r="V65" s="30">
        <v>170.87096774193549</v>
      </c>
      <c r="W65" s="30">
        <v>54.942433357535528</v>
      </c>
      <c r="X65" s="30">
        <v>3.4963696369636965</v>
      </c>
      <c r="Y65" s="30">
        <v>2.8673267326732672</v>
      </c>
      <c r="Z65" s="30">
        <v>4.871382636655949</v>
      </c>
    </row>
    <row r="66" spans="1:26" ht="15.75" customHeight="1" x14ac:dyDescent="0.25">
      <c r="A66" s="31"/>
      <c r="D66" s="32"/>
      <c r="E66" s="10">
        <v>31</v>
      </c>
      <c r="G66">
        <v>164</v>
      </c>
      <c r="W66" s="57" t="e">
        <v>#REF!</v>
      </c>
      <c r="X66" s="15">
        <v>3.4963696369636965</v>
      </c>
      <c r="Y66" s="15" t="e">
        <v>#REF!</v>
      </c>
      <c r="Z66" s="15" t="e">
        <v>#REF!</v>
      </c>
    </row>
    <row r="67" spans="1:26" ht="15" customHeight="1" x14ac:dyDescent="0.25">
      <c r="A67" s="33" t="s">
        <v>66</v>
      </c>
      <c r="B67" s="34"/>
      <c r="C67" s="32"/>
      <c r="D67" s="32"/>
      <c r="E67" s="10">
        <v>31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customHeight="1" x14ac:dyDescent="0.25">
      <c r="A68" s="309" t="s">
        <v>1</v>
      </c>
      <c r="B68" s="309" t="s">
        <v>2</v>
      </c>
      <c r="C68" s="300" t="s">
        <v>3</v>
      </c>
      <c r="D68" s="300" t="s">
        <v>4</v>
      </c>
      <c r="E68" s="10">
        <v>31</v>
      </c>
      <c r="F68" s="300" t="s">
        <v>67</v>
      </c>
      <c r="G68" s="300" t="s">
        <v>7</v>
      </c>
      <c r="H68" s="300" t="s">
        <v>8</v>
      </c>
      <c r="I68" s="306" t="s">
        <v>9</v>
      </c>
      <c r="J68" s="300" t="s">
        <v>10</v>
      </c>
      <c r="K68" s="300" t="s">
        <v>11</v>
      </c>
      <c r="L68" s="300" t="s">
        <v>12</v>
      </c>
      <c r="M68" s="300" t="s">
        <v>13</v>
      </c>
      <c r="N68" s="300" t="s">
        <v>14</v>
      </c>
      <c r="O68" s="300" t="s">
        <v>15</v>
      </c>
      <c r="P68" s="300" t="s">
        <v>16</v>
      </c>
      <c r="Q68" s="300" t="s">
        <v>17</v>
      </c>
      <c r="R68" s="300" t="s">
        <v>18</v>
      </c>
      <c r="S68" s="300" t="s">
        <v>19</v>
      </c>
      <c r="T68" s="300" t="s">
        <v>20</v>
      </c>
      <c r="U68" s="312" t="s">
        <v>21</v>
      </c>
      <c r="V68" s="8" t="s">
        <v>22</v>
      </c>
      <c r="W68" s="8" t="s">
        <v>68</v>
      </c>
      <c r="X68" s="8" t="s">
        <v>24</v>
      </c>
      <c r="Y68" s="8" t="s">
        <v>25</v>
      </c>
      <c r="Z68" s="8" t="s">
        <v>26</v>
      </c>
    </row>
    <row r="69" spans="1:26" ht="15.75" customHeight="1" x14ac:dyDescent="0.25">
      <c r="A69" s="310"/>
      <c r="B69" s="310"/>
      <c r="C69" s="301"/>
      <c r="D69" s="301"/>
      <c r="E69" s="10">
        <v>31</v>
      </c>
      <c r="F69" s="301"/>
      <c r="G69" s="301"/>
      <c r="H69" s="301"/>
      <c r="I69" s="307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13"/>
      <c r="V69" s="315" t="s">
        <v>27</v>
      </c>
      <c r="W69" s="315" t="s">
        <v>28</v>
      </c>
      <c r="X69" s="315" t="s">
        <v>29</v>
      </c>
      <c r="Y69" s="315" t="s">
        <v>30</v>
      </c>
      <c r="Z69" s="315" t="s">
        <v>31</v>
      </c>
    </row>
    <row r="70" spans="1:26" ht="15.75" customHeight="1" x14ac:dyDescent="0.25">
      <c r="A70" s="310"/>
      <c r="B70" s="310"/>
      <c r="C70" s="301"/>
      <c r="D70" s="301"/>
      <c r="E70" s="10">
        <v>31</v>
      </c>
      <c r="F70" s="301"/>
      <c r="G70" s="302"/>
      <c r="H70" s="302"/>
      <c r="I70" s="308"/>
      <c r="J70" s="302"/>
      <c r="K70" s="302"/>
      <c r="L70" s="302"/>
      <c r="M70" s="302"/>
      <c r="N70" s="302"/>
      <c r="O70" s="302"/>
      <c r="P70" s="302"/>
      <c r="Q70" s="302"/>
      <c r="R70" s="302"/>
      <c r="S70" s="302"/>
      <c r="T70" s="302"/>
      <c r="U70" s="313"/>
      <c r="V70" s="316"/>
      <c r="W70" s="316"/>
      <c r="X70" s="316"/>
      <c r="Y70" s="316"/>
      <c r="Z70" s="316"/>
    </row>
    <row r="71" spans="1:26" ht="15.75" customHeight="1" x14ac:dyDescent="0.25">
      <c r="A71" s="311"/>
      <c r="B71" s="311"/>
      <c r="C71" s="302"/>
      <c r="D71" s="302"/>
      <c r="E71" s="10">
        <v>31</v>
      </c>
      <c r="F71" s="302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314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.75" customHeight="1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31</v>
      </c>
      <c r="F72" s="11">
        <v>2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>
        <v>0</v>
      </c>
      <c r="X72" s="35" t="e">
        <v>#DIV/0!</v>
      </c>
      <c r="Y72" s="36" t="e">
        <v>#DIV/0!</v>
      </c>
      <c r="Z72" s="35">
        <v>0</v>
      </c>
    </row>
    <row r="73" spans="1:26" ht="15.75" customHeight="1" x14ac:dyDescent="0.25">
      <c r="A73" s="247"/>
      <c r="B73" s="246"/>
      <c r="C73" s="17" t="s">
        <v>69</v>
      </c>
      <c r="D73" s="17"/>
      <c r="E73" s="10">
        <v>31</v>
      </c>
      <c r="F73" s="17">
        <v>2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>
        <v>0</v>
      </c>
    </row>
    <row r="74" spans="1:26" ht="15.75" customHeight="1" x14ac:dyDescent="0.25">
      <c r="A74" s="245">
        <v>2</v>
      </c>
      <c r="B74" s="246"/>
      <c r="C74" s="11" t="s">
        <v>70</v>
      </c>
      <c r="D74" s="11" t="s">
        <v>48</v>
      </c>
      <c r="E74" s="10">
        <v>31</v>
      </c>
      <c r="F74" s="11">
        <v>2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>
        <v>0</v>
      </c>
      <c r="X74" s="15" t="e">
        <v>#DIV/0!</v>
      </c>
      <c r="Y74" s="14" t="e">
        <v>#DIV/0!</v>
      </c>
      <c r="Z74" s="15">
        <v>0</v>
      </c>
    </row>
    <row r="75" spans="1:26" ht="15.75" customHeight="1" x14ac:dyDescent="0.25">
      <c r="A75" s="247"/>
      <c r="B75" s="246"/>
      <c r="C75" s="17" t="s">
        <v>70</v>
      </c>
      <c r="D75" s="17"/>
      <c r="E75" s="10">
        <v>31</v>
      </c>
      <c r="F75" s="17">
        <v>2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>
        <v>0</v>
      </c>
      <c r="X75" s="20" t="e">
        <v>#DIV/0!</v>
      </c>
      <c r="Y75" s="20" t="e">
        <v>#DIV/0!</v>
      </c>
      <c r="Z75" s="20">
        <v>0</v>
      </c>
    </row>
    <row r="76" spans="1:26" ht="15.75" customHeight="1" x14ac:dyDescent="0.25">
      <c r="A76" s="245">
        <v>3</v>
      </c>
      <c r="B76" s="246"/>
      <c r="C76" s="11" t="s">
        <v>63</v>
      </c>
      <c r="D76" s="11"/>
      <c r="E76" s="10">
        <v>31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customHeight="1" x14ac:dyDescent="0.25">
      <c r="A77" s="247"/>
      <c r="B77" s="247"/>
      <c r="C77" s="17" t="s">
        <v>63</v>
      </c>
      <c r="D77" s="17"/>
      <c r="E77" s="10">
        <v>31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customHeight="1" x14ac:dyDescent="0.25">
      <c r="A78" s="303" t="s">
        <v>71</v>
      </c>
      <c r="B78" s="304"/>
      <c r="C78" s="304"/>
      <c r="D78" s="305"/>
      <c r="E78" s="10">
        <v>31</v>
      </c>
      <c r="F78" s="29">
        <v>4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>
        <v>0</v>
      </c>
      <c r="X78" s="30" t="e">
        <v>#DIV/0!</v>
      </c>
      <c r="Y78" s="30" t="e">
        <v>#DIV/0!</v>
      </c>
      <c r="Z78" s="30">
        <v>0</v>
      </c>
    </row>
    <row r="79" spans="1:26" ht="15" customHeight="1" x14ac:dyDescent="0.25">
      <c r="A79" s="324"/>
      <c r="B79" s="324"/>
      <c r="C79" s="324"/>
      <c r="D79" s="325"/>
      <c r="E79" s="10">
        <v>31</v>
      </c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309" t="s">
        <v>1</v>
      </c>
      <c r="B80" s="309" t="s">
        <v>2</v>
      </c>
      <c r="C80" s="300" t="s">
        <v>3</v>
      </c>
      <c r="D80" s="300" t="s">
        <v>4</v>
      </c>
      <c r="E80" s="10">
        <v>31</v>
      </c>
      <c r="F80" s="300" t="s">
        <v>67</v>
      </c>
      <c r="G80" s="300" t="s">
        <v>7</v>
      </c>
      <c r="H80" s="300" t="s">
        <v>8</v>
      </c>
      <c r="I80" s="306" t="s">
        <v>9</v>
      </c>
      <c r="J80" s="300" t="s">
        <v>10</v>
      </c>
      <c r="K80" s="300" t="s">
        <v>11</v>
      </c>
      <c r="L80" s="300" t="s">
        <v>12</v>
      </c>
      <c r="M80" s="300" t="s">
        <v>13</v>
      </c>
      <c r="N80" s="300" t="s">
        <v>14</v>
      </c>
      <c r="O80" s="300" t="s">
        <v>15</v>
      </c>
      <c r="P80" s="300" t="s">
        <v>16</v>
      </c>
      <c r="Q80" s="300" t="s">
        <v>17</v>
      </c>
      <c r="R80" s="300" t="s">
        <v>18</v>
      </c>
      <c r="S80" s="300" t="s">
        <v>19</v>
      </c>
      <c r="T80" s="300" t="s">
        <v>20</v>
      </c>
      <c r="U80" s="312" t="s">
        <v>21</v>
      </c>
      <c r="V80" s="8" t="s">
        <v>22</v>
      </c>
      <c r="W80" s="8" t="s">
        <v>68</v>
      </c>
      <c r="X80" s="8" t="s">
        <v>24</v>
      </c>
      <c r="Y80" s="8" t="s">
        <v>25</v>
      </c>
      <c r="Z80" s="8" t="s">
        <v>26</v>
      </c>
    </row>
    <row r="81" spans="1:26" ht="15.75" customHeight="1" x14ac:dyDescent="0.25">
      <c r="A81" s="310"/>
      <c r="B81" s="310"/>
      <c r="C81" s="301"/>
      <c r="D81" s="301"/>
      <c r="E81" s="10">
        <v>31</v>
      </c>
      <c r="F81" s="301"/>
      <c r="G81" s="301"/>
      <c r="H81" s="301"/>
      <c r="I81" s="307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13"/>
      <c r="V81" s="315" t="s">
        <v>27</v>
      </c>
      <c r="W81" s="315" t="s">
        <v>28</v>
      </c>
      <c r="X81" s="315" t="s">
        <v>29</v>
      </c>
      <c r="Y81" s="315" t="s">
        <v>30</v>
      </c>
      <c r="Z81" s="315" t="s">
        <v>31</v>
      </c>
    </row>
    <row r="82" spans="1:26" ht="15.75" customHeight="1" x14ac:dyDescent="0.25">
      <c r="A82" s="310"/>
      <c r="B82" s="310"/>
      <c r="C82" s="301"/>
      <c r="D82" s="301"/>
      <c r="E82" s="10">
        <v>31</v>
      </c>
      <c r="F82" s="301"/>
      <c r="G82" s="302"/>
      <c r="H82" s="302"/>
      <c r="I82" s="308"/>
      <c r="J82" s="302"/>
      <c r="K82" s="302"/>
      <c r="L82" s="302"/>
      <c r="M82" s="302"/>
      <c r="N82" s="302"/>
      <c r="O82" s="302"/>
      <c r="P82" s="302"/>
      <c r="Q82" s="302"/>
      <c r="R82" s="302"/>
      <c r="S82" s="302"/>
      <c r="T82" s="302"/>
      <c r="U82" s="313"/>
      <c r="V82" s="316"/>
      <c r="W82" s="316"/>
      <c r="X82" s="316"/>
      <c r="Y82" s="316"/>
      <c r="Z82" s="316"/>
    </row>
    <row r="83" spans="1:26" ht="15" customHeight="1" x14ac:dyDescent="0.25">
      <c r="A83" s="311"/>
      <c r="B83" s="311"/>
      <c r="C83" s="302"/>
      <c r="D83" s="302"/>
      <c r="E83" s="10">
        <v>31</v>
      </c>
      <c r="F83" s="302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314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.75" customHeight="1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31</v>
      </c>
      <c r="F84" s="10">
        <v>18</v>
      </c>
      <c r="G84" s="10">
        <v>15</v>
      </c>
      <c r="H84" s="10">
        <v>109</v>
      </c>
      <c r="I84" s="10">
        <v>17</v>
      </c>
      <c r="J84" s="11">
        <v>141</v>
      </c>
      <c r="K84" s="10">
        <v>39</v>
      </c>
      <c r="L84" s="10">
        <v>76</v>
      </c>
      <c r="M84" s="11">
        <v>7</v>
      </c>
      <c r="N84" s="10">
        <v>6</v>
      </c>
      <c r="O84" s="10">
        <v>1</v>
      </c>
      <c r="P84" s="11">
        <v>122</v>
      </c>
      <c r="Q84" s="10">
        <v>574</v>
      </c>
      <c r="R84" s="10">
        <v>2</v>
      </c>
      <c r="S84" s="10">
        <v>669</v>
      </c>
      <c r="T84" s="11">
        <v>19</v>
      </c>
      <c r="U84" s="11">
        <v>83</v>
      </c>
      <c r="V84" s="15">
        <v>21.580645161290324</v>
      </c>
      <c r="W84" s="15">
        <v>119.89247311827957</v>
      </c>
      <c r="X84" s="15">
        <v>8.0602409638554224</v>
      </c>
      <c r="Y84" s="14">
        <v>-1.3373493975903619</v>
      </c>
      <c r="Z84" s="15">
        <v>4.6111111111111107</v>
      </c>
    </row>
    <row r="85" spans="1:26" ht="15.75" customHeight="1" x14ac:dyDescent="0.25">
      <c r="A85" s="247"/>
      <c r="B85" s="246"/>
      <c r="C85" s="17" t="s">
        <v>69</v>
      </c>
      <c r="D85" s="17"/>
      <c r="E85" s="10">
        <v>31</v>
      </c>
      <c r="F85" s="41">
        <v>18</v>
      </c>
      <c r="G85" s="17">
        <v>15</v>
      </c>
      <c r="H85" s="17">
        <v>109</v>
      </c>
      <c r="I85" s="17">
        <v>17</v>
      </c>
      <c r="J85" s="17">
        <v>141</v>
      </c>
      <c r="K85" s="17">
        <v>39</v>
      </c>
      <c r="L85" s="17">
        <v>76</v>
      </c>
      <c r="M85" s="17">
        <v>7</v>
      </c>
      <c r="N85" s="17">
        <v>6</v>
      </c>
      <c r="O85" s="17">
        <v>1</v>
      </c>
      <c r="P85" s="17">
        <v>122</v>
      </c>
      <c r="Q85" s="17">
        <v>574</v>
      </c>
      <c r="R85" s="17">
        <v>2</v>
      </c>
      <c r="S85" s="17">
        <v>669</v>
      </c>
      <c r="T85" s="17">
        <v>19</v>
      </c>
      <c r="U85" s="17">
        <v>83</v>
      </c>
      <c r="V85" s="20">
        <v>21.580645161290324</v>
      </c>
      <c r="W85" s="20">
        <v>119.89247311827957</v>
      </c>
      <c r="X85" s="20">
        <v>8.0602409638554224</v>
      </c>
      <c r="Y85" s="20">
        <v>-1.3373493975903619</v>
      </c>
      <c r="Z85" s="20">
        <v>4.6111111111111107</v>
      </c>
    </row>
    <row r="86" spans="1:26" ht="15.75" customHeight="1" x14ac:dyDescent="0.25">
      <c r="A86" s="141"/>
      <c r="B86" s="246"/>
      <c r="C86" s="112"/>
      <c r="D86" s="17"/>
      <c r="E86" s="10"/>
      <c r="F86" s="4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20"/>
      <c r="W86" s="20"/>
      <c r="X86" s="20"/>
      <c r="Y86" s="20"/>
      <c r="Z86" s="20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31</v>
      </c>
      <c r="F87" s="10">
        <v>2</v>
      </c>
      <c r="G87" s="11">
        <v>0</v>
      </c>
      <c r="H87" s="11">
        <v>0</v>
      </c>
      <c r="I87" s="11">
        <v>1</v>
      </c>
      <c r="J87" s="11">
        <v>1</v>
      </c>
      <c r="K87" s="11">
        <v>0</v>
      </c>
      <c r="L87" s="11">
        <v>1</v>
      </c>
      <c r="M87" s="11">
        <v>0</v>
      </c>
      <c r="N87" s="11">
        <v>0</v>
      </c>
      <c r="O87" s="11">
        <v>0</v>
      </c>
      <c r="P87" s="11">
        <v>1</v>
      </c>
      <c r="Q87" s="11">
        <v>2</v>
      </c>
      <c r="R87" s="11">
        <v>0</v>
      </c>
      <c r="S87" s="11">
        <v>1</v>
      </c>
      <c r="T87" s="11">
        <v>0</v>
      </c>
      <c r="U87" s="11">
        <v>1</v>
      </c>
      <c r="V87" s="15">
        <v>3.2258064516129031E-2</v>
      </c>
      <c r="W87" s="15">
        <v>1.6129032258064515</v>
      </c>
      <c r="X87" s="15">
        <v>1</v>
      </c>
      <c r="Y87" s="14">
        <v>61</v>
      </c>
      <c r="Z87" s="15">
        <v>0.5</v>
      </c>
    </row>
    <row r="88" spans="1:26" ht="15.75" x14ac:dyDescent="0.25">
      <c r="A88" s="246"/>
      <c r="B88" s="246"/>
      <c r="C88" s="249"/>
      <c r="D88" s="10" t="s">
        <v>38</v>
      </c>
      <c r="E88" s="10">
        <v>31</v>
      </c>
      <c r="F88" s="10">
        <v>4</v>
      </c>
      <c r="G88" s="11">
        <v>0</v>
      </c>
      <c r="H88" s="11">
        <v>1</v>
      </c>
      <c r="I88" s="11">
        <v>25</v>
      </c>
      <c r="J88" s="11">
        <v>26</v>
      </c>
      <c r="K88" s="11">
        <v>23</v>
      </c>
      <c r="L88" s="11">
        <v>3</v>
      </c>
      <c r="M88" s="11">
        <v>0</v>
      </c>
      <c r="N88" s="11">
        <v>0</v>
      </c>
      <c r="O88" s="11">
        <v>0</v>
      </c>
      <c r="P88" s="11">
        <v>26</v>
      </c>
      <c r="Q88" s="11">
        <v>4</v>
      </c>
      <c r="R88" s="11">
        <v>0</v>
      </c>
      <c r="S88" s="11">
        <v>26</v>
      </c>
      <c r="T88" s="11">
        <v>0</v>
      </c>
      <c r="U88" s="11">
        <v>3</v>
      </c>
      <c r="V88" s="15">
        <v>0.83870967741935487</v>
      </c>
      <c r="W88" s="15">
        <v>20.967741935483872</v>
      </c>
      <c r="X88" s="15">
        <v>8.6666666666666661</v>
      </c>
      <c r="Y88" s="14">
        <v>32.666666666666664</v>
      </c>
      <c r="Z88" s="15">
        <v>0.75</v>
      </c>
    </row>
    <row r="89" spans="1:26" ht="15.75" x14ac:dyDescent="0.25">
      <c r="A89" s="246"/>
      <c r="B89" s="246"/>
      <c r="C89" s="250"/>
      <c r="D89" s="10" t="s">
        <v>34</v>
      </c>
      <c r="E89" s="10">
        <v>31</v>
      </c>
      <c r="F89" s="10">
        <v>10</v>
      </c>
      <c r="G89" s="11">
        <v>1</v>
      </c>
      <c r="H89" s="11">
        <v>3</v>
      </c>
      <c r="I89" s="11">
        <v>63</v>
      </c>
      <c r="J89" s="11">
        <v>67</v>
      </c>
      <c r="K89" s="11">
        <v>2</v>
      </c>
      <c r="L89" s="11">
        <v>62</v>
      </c>
      <c r="M89" s="11">
        <v>1</v>
      </c>
      <c r="N89" s="11">
        <v>1</v>
      </c>
      <c r="O89" s="11">
        <v>0</v>
      </c>
      <c r="P89" s="11">
        <v>65</v>
      </c>
      <c r="Q89" s="11">
        <v>94</v>
      </c>
      <c r="R89" s="11">
        <v>1</v>
      </c>
      <c r="S89" s="11">
        <v>68</v>
      </c>
      <c r="T89" s="11">
        <v>2</v>
      </c>
      <c r="U89" s="11">
        <v>63</v>
      </c>
      <c r="V89" s="15">
        <v>2.193548387096774</v>
      </c>
      <c r="W89" s="15">
        <v>21.93548387096774</v>
      </c>
      <c r="X89" s="15">
        <v>1.0793650793650793</v>
      </c>
      <c r="Y89" s="14">
        <v>3.8412698412698414</v>
      </c>
      <c r="Z89" s="15">
        <v>6.3</v>
      </c>
    </row>
    <row r="90" spans="1:26" ht="15.75" x14ac:dyDescent="0.25">
      <c r="A90" s="247"/>
      <c r="B90" s="247"/>
      <c r="C90" s="17" t="s">
        <v>73</v>
      </c>
      <c r="D90" s="17"/>
      <c r="E90" s="10">
        <v>31</v>
      </c>
      <c r="F90" s="17">
        <v>16</v>
      </c>
      <c r="G90" s="17">
        <v>1</v>
      </c>
      <c r="H90" s="17">
        <v>4</v>
      </c>
      <c r="I90" s="17">
        <v>89</v>
      </c>
      <c r="J90" s="17">
        <v>94</v>
      </c>
      <c r="K90" s="17">
        <v>25</v>
      </c>
      <c r="L90" s="17">
        <v>66</v>
      </c>
      <c r="M90" s="17">
        <v>1</v>
      </c>
      <c r="N90" s="17">
        <v>1</v>
      </c>
      <c r="O90" s="17">
        <v>0</v>
      </c>
      <c r="P90" s="17">
        <v>92</v>
      </c>
      <c r="Q90" s="17">
        <v>100</v>
      </c>
      <c r="R90" s="17">
        <v>1</v>
      </c>
      <c r="S90" s="17">
        <v>95</v>
      </c>
      <c r="T90" s="17">
        <v>2</v>
      </c>
      <c r="U90" s="17">
        <v>67</v>
      </c>
      <c r="V90" s="20">
        <v>3.064516129032258</v>
      </c>
      <c r="W90" s="20">
        <v>19.153225806451612</v>
      </c>
      <c r="X90" s="20">
        <v>1.4179104477611941</v>
      </c>
      <c r="Y90" s="20">
        <v>5.9850746268656714</v>
      </c>
      <c r="Z90" s="20">
        <v>4.1875</v>
      </c>
    </row>
    <row r="91" spans="1:26" ht="15.75" customHeight="1" x14ac:dyDescent="0.25">
      <c r="A91" s="303" t="s">
        <v>74</v>
      </c>
      <c r="B91" s="304"/>
      <c r="C91" s="304"/>
      <c r="D91" s="305"/>
      <c r="E91" s="10">
        <v>31</v>
      </c>
      <c r="F91" s="29">
        <v>34</v>
      </c>
      <c r="G91" s="29">
        <v>16</v>
      </c>
      <c r="H91" s="29">
        <v>113</v>
      </c>
      <c r="I91" s="29">
        <v>106</v>
      </c>
      <c r="J91" s="28">
        <v>235</v>
      </c>
      <c r="K91" s="29">
        <v>64</v>
      </c>
      <c r="L91" s="29">
        <v>142</v>
      </c>
      <c r="M91" s="28">
        <v>8</v>
      </c>
      <c r="N91" s="29">
        <v>7</v>
      </c>
      <c r="O91" s="29">
        <v>1</v>
      </c>
      <c r="P91" s="28">
        <v>214</v>
      </c>
      <c r="Q91" s="29">
        <v>674</v>
      </c>
      <c r="R91" s="29">
        <v>3</v>
      </c>
      <c r="S91" s="29">
        <v>764</v>
      </c>
      <c r="T91" s="28">
        <v>21</v>
      </c>
      <c r="U91" s="28">
        <v>150</v>
      </c>
      <c r="V91" s="29">
        <v>24.64516129032258</v>
      </c>
      <c r="W91" s="30">
        <v>72.485768500948765</v>
      </c>
      <c r="X91" s="30">
        <v>5.0933333333333337</v>
      </c>
      <c r="Y91" s="30">
        <v>1.9333333333333333</v>
      </c>
      <c r="Z91" s="30">
        <v>4.4117647058823533</v>
      </c>
    </row>
    <row r="92" spans="1:26" ht="15" customHeight="1" x14ac:dyDescent="0.25">
      <c r="A92" s="31"/>
      <c r="D92" s="32"/>
      <c r="E92" s="10">
        <v>31</v>
      </c>
      <c r="G92">
        <v>30</v>
      </c>
    </row>
    <row r="93" spans="1:26" ht="15" customHeight="1" x14ac:dyDescent="0.25">
      <c r="A93" s="309" t="s">
        <v>1</v>
      </c>
      <c r="B93" s="309" t="s">
        <v>2</v>
      </c>
      <c r="C93" s="300" t="s">
        <v>3</v>
      </c>
      <c r="D93" s="300" t="s">
        <v>4</v>
      </c>
      <c r="E93" s="10">
        <v>31</v>
      </c>
      <c r="F93" s="300" t="s">
        <v>67</v>
      </c>
      <c r="G93" s="300" t="s">
        <v>7</v>
      </c>
      <c r="H93" s="300" t="s">
        <v>8</v>
      </c>
      <c r="I93" s="306" t="s">
        <v>9</v>
      </c>
      <c r="J93" s="300" t="s">
        <v>10</v>
      </c>
      <c r="K93" s="300" t="s">
        <v>11</v>
      </c>
      <c r="L93" s="300" t="s">
        <v>12</v>
      </c>
      <c r="M93" s="300" t="s">
        <v>13</v>
      </c>
      <c r="N93" s="300" t="s">
        <v>14</v>
      </c>
      <c r="O93" s="300" t="s">
        <v>15</v>
      </c>
      <c r="P93" s="300" t="s">
        <v>16</v>
      </c>
      <c r="Q93" s="300" t="s">
        <v>17</v>
      </c>
      <c r="R93" s="300" t="s">
        <v>18</v>
      </c>
      <c r="S93" s="300" t="s">
        <v>19</v>
      </c>
      <c r="T93" s="300" t="s">
        <v>20</v>
      </c>
      <c r="U93" s="312" t="s">
        <v>21</v>
      </c>
      <c r="V93" s="8" t="s">
        <v>22</v>
      </c>
      <c r="W93" s="8" t="s">
        <v>68</v>
      </c>
      <c r="X93" s="8" t="s">
        <v>24</v>
      </c>
      <c r="Y93" s="8" t="s">
        <v>25</v>
      </c>
      <c r="Z93" s="8" t="s">
        <v>26</v>
      </c>
    </row>
    <row r="94" spans="1:26" ht="15.75" customHeight="1" x14ac:dyDescent="0.25">
      <c r="A94" s="310"/>
      <c r="B94" s="310"/>
      <c r="C94" s="301"/>
      <c r="D94" s="301"/>
      <c r="E94" s="10">
        <v>31</v>
      </c>
      <c r="F94" s="301"/>
      <c r="G94" s="301"/>
      <c r="H94" s="301"/>
      <c r="I94" s="307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13"/>
      <c r="V94" s="315" t="s">
        <v>27</v>
      </c>
      <c r="W94" s="315" t="s">
        <v>28</v>
      </c>
      <c r="X94" s="315" t="s">
        <v>29</v>
      </c>
      <c r="Y94" s="315" t="s">
        <v>30</v>
      </c>
      <c r="Z94" s="315" t="s">
        <v>31</v>
      </c>
    </row>
    <row r="95" spans="1:26" ht="15.75" customHeight="1" x14ac:dyDescent="0.25">
      <c r="A95" s="310"/>
      <c r="B95" s="310"/>
      <c r="C95" s="301"/>
      <c r="D95" s="301"/>
      <c r="E95" s="10">
        <v>31</v>
      </c>
      <c r="F95" s="301"/>
      <c r="G95" s="302"/>
      <c r="H95" s="302"/>
      <c r="I95" s="308"/>
      <c r="J95" s="302"/>
      <c r="K95" s="302"/>
      <c r="L95" s="302"/>
      <c r="M95" s="302"/>
      <c r="N95" s="302"/>
      <c r="O95" s="302"/>
      <c r="P95" s="302"/>
      <c r="Q95" s="302"/>
      <c r="R95" s="302"/>
      <c r="S95" s="302"/>
      <c r="T95" s="302"/>
      <c r="U95" s="313"/>
      <c r="V95" s="316"/>
      <c r="W95" s="316"/>
      <c r="X95" s="316"/>
      <c r="Y95" s="316"/>
      <c r="Z95" s="316"/>
    </row>
    <row r="96" spans="1:26" ht="15.75" customHeight="1" x14ac:dyDescent="0.25">
      <c r="A96" s="311"/>
      <c r="B96" s="311"/>
      <c r="C96" s="302"/>
      <c r="D96" s="302"/>
      <c r="E96" s="10">
        <v>31</v>
      </c>
      <c r="F96" s="302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314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6" ht="15.75" customHeight="1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31</v>
      </c>
      <c r="F97" s="10">
        <v>14</v>
      </c>
      <c r="G97" s="11">
        <v>9</v>
      </c>
      <c r="H97" s="11">
        <v>7</v>
      </c>
      <c r="I97" s="11">
        <v>86</v>
      </c>
      <c r="J97" s="11">
        <v>102</v>
      </c>
      <c r="K97" s="11">
        <v>83</v>
      </c>
      <c r="L97" s="11">
        <v>0</v>
      </c>
      <c r="M97" s="11">
        <v>9</v>
      </c>
      <c r="N97" s="11">
        <v>1</v>
      </c>
      <c r="O97" s="11">
        <v>8</v>
      </c>
      <c r="P97" s="11">
        <v>92</v>
      </c>
      <c r="Q97" s="11">
        <v>91</v>
      </c>
      <c r="R97" s="11">
        <v>0</v>
      </c>
      <c r="S97" s="11">
        <v>234</v>
      </c>
      <c r="T97" s="11">
        <v>10</v>
      </c>
      <c r="U97" s="11">
        <v>9</v>
      </c>
      <c r="V97" s="15">
        <v>7.5483870967741939</v>
      </c>
      <c r="W97" s="15">
        <v>53.917050691244242</v>
      </c>
      <c r="X97" s="15">
        <v>26</v>
      </c>
      <c r="Y97" s="14">
        <v>22.222222222222221</v>
      </c>
      <c r="Z97" s="15">
        <v>0.6428571428571429</v>
      </c>
    </row>
    <row r="98" spans="1:26" ht="15.75" customHeight="1" x14ac:dyDescent="0.25">
      <c r="A98" s="247"/>
      <c r="B98" s="260"/>
      <c r="C98" s="17" t="s">
        <v>76</v>
      </c>
      <c r="D98" s="17" t="s">
        <v>48</v>
      </c>
      <c r="E98" s="10">
        <v>31</v>
      </c>
      <c r="F98" s="17">
        <v>14</v>
      </c>
      <c r="G98" s="17">
        <v>9</v>
      </c>
      <c r="H98" s="17">
        <v>7</v>
      </c>
      <c r="I98" s="17">
        <v>86</v>
      </c>
      <c r="J98" s="17">
        <v>102</v>
      </c>
      <c r="K98" s="17">
        <v>83</v>
      </c>
      <c r="L98" s="17">
        <v>0</v>
      </c>
      <c r="M98" s="17">
        <v>9</v>
      </c>
      <c r="N98" s="17">
        <v>1</v>
      </c>
      <c r="O98" s="17">
        <v>8</v>
      </c>
      <c r="P98" s="17">
        <v>92</v>
      </c>
      <c r="Q98" s="17">
        <v>91</v>
      </c>
      <c r="R98" s="17">
        <v>0</v>
      </c>
      <c r="S98" s="17">
        <v>234</v>
      </c>
      <c r="T98" s="17">
        <v>10</v>
      </c>
      <c r="U98" s="17">
        <v>9</v>
      </c>
      <c r="V98" s="20">
        <v>7.5483870967741939</v>
      </c>
      <c r="W98" s="20">
        <v>53.917050691244242</v>
      </c>
      <c r="X98" s="20">
        <v>26</v>
      </c>
      <c r="Y98" s="20">
        <v>22.222222222222221</v>
      </c>
      <c r="Z98" s="20">
        <v>0.6428571428571429</v>
      </c>
    </row>
    <row r="99" spans="1:26" ht="15" customHeight="1" x14ac:dyDescent="0.25">
      <c r="A99" s="245">
        <v>2</v>
      </c>
      <c r="B99" s="260"/>
      <c r="C99" s="10" t="s">
        <v>77</v>
      </c>
      <c r="D99" s="10" t="s">
        <v>48</v>
      </c>
      <c r="E99" s="10">
        <v>31</v>
      </c>
      <c r="F99" s="10">
        <v>5</v>
      </c>
      <c r="G99" s="11">
        <v>4</v>
      </c>
      <c r="H99" s="11">
        <v>46</v>
      </c>
      <c r="I99" s="11">
        <v>14</v>
      </c>
      <c r="J99" s="11">
        <v>64</v>
      </c>
      <c r="K99" s="11">
        <v>57</v>
      </c>
      <c r="L99" s="11">
        <v>2</v>
      </c>
      <c r="M99" s="11">
        <v>4</v>
      </c>
      <c r="N99" s="11">
        <v>3</v>
      </c>
      <c r="O99" s="11">
        <v>1</v>
      </c>
      <c r="P99" s="11">
        <v>63</v>
      </c>
      <c r="Q99" s="11">
        <v>15</v>
      </c>
      <c r="R99" s="11">
        <v>3</v>
      </c>
      <c r="S99" s="11">
        <v>87</v>
      </c>
      <c r="T99" s="11">
        <v>1</v>
      </c>
      <c r="U99" s="11">
        <v>6</v>
      </c>
      <c r="V99" s="15">
        <v>2.806451612903226</v>
      </c>
      <c r="W99" s="15">
        <v>56.129032258064512</v>
      </c>
      <c r="X99" s="15">
        <v>14.5</v>
      </c>
      <c r="Y99" s="14">
        <v>11.333333333333334</v>
      </c>
      <c r="Z99" s="15">
        <v>1.2</v>
      </c>
    </row>
    <row r="100" spans="1:26" ht="15" customHeight="1" x14ac:dyDescent="0.25">
      <c r="A100" s="247"/>
      <c r="B100" s="260"/>
      <c r="C100" s="17" t="s">
        <v>77</v>
      </c>
      <c r="D100" s="17" t="s">
        <v>48</v>
      </c>
      <c r="E100" s="10">
        <v>31</v>
      </c>
      <c r="F100" s="17">
        <v>5</v>
      </c>
      <c r="G100" s="17">
        <v>4</v>
      </c>
      <c r="H100" s="17">
        <v>46</v>
      </c>
      <c r="I100" s="17">
        <v>14</v>
      </c>
      <c r="J100" s="17">
        <v>64</v>
      </c>
      <c r="K100" s="17">
        <v>57</v>
      </c>
      <c r="L100" s="17">
        <v>2</v>
      </c>
      <c r="M100" s="17">
        <v>4</v>
      </c>
      <c r="N100" s="17">
        <v>3</v>
      </c>
      <c r="O100" s="17">
        <v>1</v>
      </c>
      <c r="P100" s="17">
        <v>63</v>
      </c>
      <c r="Q100" s="17">
        <v>15</v>
      </c>
      <c r="R100" s="17">
        <v>3</v>
      </c>
      <c r="S100" s="17">
        <v>87</v>
      </c>
      <c r="T100" s="17">
        <v>1</v>
      </c>
      <c r="U100" s="17">
        <v>6</v>
      </c>
      <c r="V100" s="20">
        <v>2.806451612903226</v>
      </c>
      <c r="W100" s="20">
        <v>56.129032258064512</v>
      </c>
      <c r="X100" s="20">
        <v>14.5</v>
      </c>
      <c r="Y100" s="20">
        <v>11.333333333333334</v>
      </c>
      <c r="Z100" s="20">
        <v>1.2</v>
      </c>
    </row>
    <row r="101" spans="1:26" ht="15.75" customHeight="1" x14ac:dyDescent="0.25">
      <c r="A101" s="245">
        <v>3</v>
      </c>
      <c r="B101" s="260"/>
      <c r="C101" s="10" t="s">
        <v>78</v>
      </c>
      <c r="D101" s="10" t="s">
        <v>48</v>
      </c>
      <c r="E101" s="10">
        <v>31</v>
      </c>
      <c r="F101" s="10">
        <v>3</v>
      </c>
      <c r="G101" s="43">
        <v>2</v>
      </c>
      <c r="H101" s="43">
        <v>7</v>
      </c>
      <c r="I101" s="43">
        <v>8</v>
      </c>
      <c r="J101" s="11">
        <v>17</v>
      </c>
      <c r="K101" s="43">
        <v>10</v>
      </c>
      <c r="L101" s="43">
        <v>0</v>
      </c>
      <c r="M101" s="11">
        <v>5</v>
      </c>
      <c r="N101" s="43">
        <v>2</v>
      </c>
      <c r="O101" s="43">
        <v>3</v>
      </c>
      <c r="P101" s="11">
        <v>15</v>
      </c>
      <c r="Q101" s="43">
        <v>19</v>
      </c>
      <c r="R101" s="43">
        <v>0</v>
      </c>
      <c r="S101" s="43">
        <v>51</v>
      </c>
      <c r="T101" s="11">
        <v>2</v>
      </c>
      <c r="U101" s="11">
        <v>5</v>
      </c>
      <c r="V101" s="15">
        <v>1.6451612903225807</v>
      </c>
      <c r="W101" s="15">
        <v>54.838709677419359</v>
      </c>
      <c r="X101" s="15">
        <v>10.199999999999999</v>
      </c>
      <c r="Y101" s="14">
        <v>8.4</v>
      </c>
      <c r="Z101" s="15">
        <v>1.6666666666666667</v>
      </c>
    </row>
    <row r="102" spans="1:26" ht="15.75" customHeight="1" x14ac:dyDescent="0.25">
      <c r="A102" s="247"/>
      <c r="B102" s="260"/>
      <c r="C102" s="17" t="s">
        <v>78</v>
      </c>
      <c r="D102" s="17" t="s">
        <v>48</v>
      </c>
      <c r="E102" s="10">
        <v>31</v>
      </c>
      <c r="F102" s="17">
        <v>3</v>
      </c>
      <c r="G102" s="17">
        <v>2</v>
      </c>
      <c r="H102" s="17">
        <v>7</v>
      </c>
      <c r="I102" s="17">
        <v>8</v>
      </c>
      <c r="J102" s="17">
        <v>17</v>
      </c>
      <c r="K102" s="17">
        <v>10</v>
      </c>
      <c r="L102" s="17">
        <v>0</v>
      </c>
      <c r="M102" s="17">
        <v>5</v>
      </c>
      <c r="N102" s="17">
        <v>2</v>
      </c>
      <c r="O102" s="17">
        <v>3</v>
      </c>
      <c r="P102" s="17">
        <v>15</v>
      </c>
      <c r="Q102" s="17">
        <v>19</v>
      </c>
      <c r="R102" s="17">
        <v>0</v>
      </c>
      <c r="S102" s="17">
        <v>51</v>
      </c>
      <c r="T102" s="17">
        <v>2</v>
      </c>
      <c r="U102" s="17">
        <v>5</v>
      </c>
      <c r="V102" s="20">
        <v>1.6451612903225807</v>
      </c>
      <c r="W102" s="20">
        <v>54.838709677419359</v>
      </c>
      <c r="X102" s="20">
        <v>10.199999999999999</v>
      </c>
      <c r="Y102" s="20">
        <v>8.4</v>
      </c>
      <c r="Z102" s="20">
        <v>1.6666666666666667</v>
      </c>
    </row>
    <row r="103" spans="1:26" ht="15.75" customHeight="1" x14ac:dyDescent="0.25">
      <c r="A103" s="245">
        <v>4</v>
      </c>
      <c r="B103" s="260"/>
      <c r="C103" s="11" t="s">
        <v>79</v>
      </c>
      <c r="D103" s="11" t="s">
        <v>48</v>
      </c>
      <c r="E103" s="10">
        <v>31</v>
      </c>
      <c r="F103" s="11">
        <v>5</v>
      </c>
      <c r="G103" s="11">
        <v>5</v>
      </c>
      <c r="H103" s="11">
        <v>6</v>
      </c>
      <c r="I103" s="11">
        <v>18</v>
      </c>
      <c r="J103" s="11">
        <v>29</v>
      </c>
      <c r="K103" s="11">
        <v>18</v>
      </c>
      <c r="L103" s="11">
        <v>1</v>
      </c>
      <c r="M103" s="11">
        <v>5</v>
      </c>
      <c r="N103" s="11">
        <v>2</v>
      </c>
      <c r="O103" s="11">
        <v>3</v>
      </c>
      <c r="P103" s="11">
        <v>24</v>
      </c>
      <c r="Q103" s="11">
        <v>42</v>
      </c>
      <c r="R103" s="11">
        <v>0</v>
      </c>
      <c r="S103" s="11">
        <v>139</v>
      </c>
      <c r="T103" s="11">
        <v>5</v>
      </c>
      <c r="U103" s="11">
        <v>6</v>
      </c>
      <c r="V103" s="15">
        <v>4.4838709677419351</v>
      </c>
      <c r="W103" s="15">
        <v>89.677419354838705</v>
      </c>
      <c r="X103" s="15">
        <v>23.166666666666668</v>
      </c>
      <c r="Y103" s="14">
        <v>2.6666666666666692</v>
      </c>
      <c r="Z103" s="15">
        <v>1.2</v>
      </c>
    </row>
    <row r="104" spans="1:26" ht="15.75" customHeight="1" x14ac:dyDescent="0.25">
      <c r="A104" s="247"/>
      <c r="B104" s="260"/>
      <c r="C104" s="17" t="s">
        <v>79</v>
      </c>
      <c r="D104" s="17" t="s">
        <v>48</v>
      </c>
      <c r="E104" s="10">
        <v>31</v>
      </c>
      <c r="F104" s="17">
        <v>5</v>
      </c>
      <c r="G104" s="17">
        <v>5</v>
      </c>
      <c r="H104" s="17">
        <v>6</v>
      </c>
      <c r="I104" s="17">
        <v>18</v>
      </c>
      <c r="J104" s="17">
        <v>29</v>
      </c>
      <c r="K104" s="17">
        <v>18</v>
      </c>
      <c r="L104" s="17">
        <v>1</v>
      </c>
      <c r="M104" s="17">
        <v>5</v>
      </c>
      <c r="N104" s="17">
        <v>2</v>
      </c>
      <c r="O104" s="17">
        <v>3</v>
      </c>
      <c r="P104" s="17">
        <v>24</v>
      </c>
      <c r="Q104" s="17">
        <v>42</v>
      </c>
      <c r="R104" s="17">
        <v>0</v>
      </c>
      <c r="S104" s="17">
        <v>139</v>
      </c>
      <c r="T104" s="17">
        <v>5</v>
      </c>
      <c r="U104" s="17">
        <v>6</v>
      </c>
      <c r="V104" s="20">
        <v>4.4838709677419351</v>
      </c>
      <c r="W104" s="20">
        <v>89.677419354838705</v>
      </c>
      <c r="X104" s="20">
        <v>23.166666666666668</v>
      </c>
      <c r="Y104" s="20">
        <v>2.6666666666666692</v>
      </c>
      <c r="Z104" s="20">
        <v>1.2</v>
      </c>
    </row>
    <row r="105" spans="1:26" ht="15.75" x14ac:dyDescent="0.25">
      <c r="A105" s="245">
        <v>5</v>
      </c>
      <c r="B105" s="260"/>
      <c r="C105" s="11" t="s">
        <v>80</v>
      </c>
      <c r="D105" s="11" t="s">
        <v>48</v>
      </c>
      <c r="E105" s="10">
        <v>31</v>
      </c>
      <c r="F105" s="11">
        <v>4</v>
      </c>
      <c r="G105" s="11">
        <v>4</v>
      </c>
      <c r="H105" s="11">
        <v>20</v>
      </c>
      <c r="I105" s="11">
        <v>5</v>
      </c>
      <c r="J105" s="11">
        <v>29</v>
      </c>
      <c r="K105" s="11">
        <v>12</v>
      </c>
      <c r="L105" s="11">
        <v>1</v>
      </c>
      <c r="M105" s="11">
        <v>13</v>
      </c>
      <c r="N105" s="11">
        <v>6</v>
      </c>
      <c r="O105" s="11">
        <v>7</v>
      </c>
      <c r="P105" s="11">
        <v>26</v>
      </c>
      <c r="Q105" s="11">
        <v>60</v>
      </c>
      <c r="R105" s="11">
        <v>0</v>
      </c>
      <c r="S105" s="11">
        <v>72</v>
      </c>
      <c r="T105" s="11">
        <v>3</v>
      </c>
      <c r="U105" s="11">
        <v>14</v>
      </c>
      <c r="V105" s="15">
        <v>2.3225806451612905</v>
      </c>
      <c r="W105" s="35">
        <v>58.064516129032263</v>
      </c>
      <c r="X105" s="35">
        <v>5.1428571428571432</v>
      </c>
      <c r="Y105" s="36">
        <v>3.714285714285714</v>
      </c>
      <c r="Z105" s="35">
        <v>3.5</v>
      </c>
    </row>
    <row r="106" spans="1:26" ht="15.75" x14ac:dyDescent="0.25">
      <c r="A106" s="247"/>
      <c r="B106" s="260"/>
      <c r="C106" s="17" t="s">
        <v>80</v>
      </c>
      <c r="D106" s="17" t="s">
        <v>48</v>
      </c>
      <c r="E106" s="10">
        <v>31</v>
      </c>
      <c r="F106" s="17">
        <v>4</v>
      </c>
      <c r="G106" s="17">
        <v>4</v>
      </c>
      <c r="H106" s="17">
        <v>20</v>
      </c>
      <c r="I106" s="17">
        <v>5</v>
      </c>
      <c r="J106" s="17">
        <v>29</v>
      </c>
      <c r="K106" s="17">
        <v>12</v>
      </c>
      <c r="L106" s="17">
        <v>1</v>
      </c>
      <c r="M106" s="17">
        <v>13</v>
      </c>
      <c r="N106" s="17">
        <v>6</v>
      </c>
      <c r="O106" s="17">
        <v>7</v>
      </c>
      <c r="P106" s="17">
        <v>26</v>
      </c>
      <c r="Q106" s="17">
        <v>60</v>
      </c>
      <c r="R106" s="17">
        <v>0</v>
      </c>
      <c r="S106" s="17">
        <v>72</v>
      </c>
      <c r="T106" s="17">
        <v>3</v>
      </c>
      <c r="U106" s="17">
        <v>14</v>
      </c>
      <c r="V106" s="20">
        <v>2.3225806451612905</v>
      </c>
      <c r="W106" s="37">
        <v>58.064516129032263</v>
      </c>
      <c r="X106" s="37">
        <v>5.1428571428571432</v>
      </c>
      <c r="Y106" s="37">
        <v>3.714285714285714</v>
      </c>
      <c r="Z106" s="37">
        <v>3.5</v>
      </c>
    </row>
    <row r="107" spans="1:26" ht="15.75" customHeight="1" x14ac:dyDescent="0.25">
      <c r="A107" s="245">
        <v>6</v>
      </c>
      <c r="B107" s="260"/>
      <c r="C107" s="11" t="s">
        <v>70</v>
      </c>
      <c r="D107" s="11" t="s">
        <v>48</v>
      </c>
      <c r="E107" s="10">
        <v>31</v>
      </c>
      <c r="F107" s="11">
        <v>2</v>
      </c>
      <c r="G107" s="11">
        <v>2</v>
      </c>
      <c r="H107" s="11">
        <v>5</v>
      </c>
      <c r="I107" s="11">
        <v>1</v>
      </c>
      <c r="J107" s="11">
        <v>8</v>
      </c>
      <c r="K107" s="11">
        <v>5</v>
      </c>
      <c r="L107" s="11">
        <v>1</v>
      </c>
      <c r="M107" s="11">
        <v>2</v>
      </c>
      <c r="N107" s="11">
        <v>1</v>
      </c>
      <c r="O107" s="11">
        <v>1</v>
      </c>
      <c r="P107" s="11">
        <v>8</v>
      </c>
      <c r="Q107" s="11">
        <v>18</v>
      </c>
      <c r="R107" s="11">
        <v>0</v>
      </c>
      <c r="S107" s="11">
        <v>17</v>
      </c>
      <c r="T107" s="11">
        <v>0</v>
      </c>
      <c r="U107" s="11">
        <v>3</v>
      </c>
      <c r="V107" s="44">
        <v>0.54838709677419351</v>
      </c>
      <c r="W107" s="44">
        <v>27.419354838709676</v>
      </c>
      <c r="X107" s="44">
        <v>5.666666666666667</v>
      </c>
      <c r="Y107" s="45">
        <v>15</v>
      </c>
      <c r="Z107" s="44">
        <v>1.5</v>
      </c>
    </row>
    <row r="108" spans="1:26" ht="15.75" customHeight="1" x14ac:dyDescent="0.25">
      <c r="A108" s="247"/>
      <c r="B108" s="260"/>
      <c r="C108" s="17" t="s">
        <v>70</v>
      </c>
      <c r="D108" s="17"/>
      <c r="E108" s="10">
        <v>31</v>
      </c>
      <c r="F108" s="17">
        <v>2</v>
      </c>
      <c r="G108" s="17">
        <v>2</v>
      </c>
      <c r="H108" s="17">
        <v>5</v>
      </c>
      <c r="I108" s="17">
        <v>1</v>
      </c>
      <c r="J108" s="17">
        <v>8</v>
      </c>
      <c r="K108" s="17">
        <v>5</v>
      </c>
      <c r="L108" s="17">
        <v>1</v>
      </c>
      <c r="M108" s="17">
        <v>2</v>
      </c>
      <c r="N108" s="17">
        <v>1</v>
      </c>
      <c r="O108" s="17">
        <v>1</v>
      </c>
      <c r="P108" s="17">
        <v>8</v>
      </c>
      <c r="Q108" s="17">
        <v>18</v>
      </c>
      <c r="R108" s="17">
        <v>0</v>
      </c>
      <c r="S108" s="17">
        <v>17</v>
      </c>
      <c r="T108" s="17">
        <v>0</v>
      </c>
      <c r="U108" s="17">
        <v>3</v>
      </c>
      <c r="V108" s="46">
        <v>0.54838709677419351</v>
      </c>
      <c r="W108" s="46">
        <v>27.419354838709676</v>
      </c>
      <c r="X108" s="46">
        <v>5.666666666666667</v>
      </c>
      <c r="Y108" s="46">
        <v>15</v>
      </c>
      <c r="Z108" s="46">
        <v>1.5</v>
      </c>
    </row>
    <row r="109" spans="1:26" ht="15.75" customHeight="1" x14ac:dyDescent="0.25">
      <c r="A109" s="245">
        <v>7</v>
      </c>
      <c r="B109" s="260"/>
      <c r="C109" s="11" t="s">
        <v>81</v>
      </c>
      <c r="D109" s="11" t="s">
        <v>48</v>
      </c>
      <c r="E109" s="10">
        <v>31</v>
      </c>
      <c r="F109" s="11">
        <v>10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>
        <v>0</v>
      </c>
      <c r="X109" s="15" t="e">
        <v>#DIV/0!</v>
      </c>
      <c r="Y109" s="14" t="e">
        <v>#DIV/0!</v>
      </c>
      <c r="Z109" s="15">
        <v>0</v>
      </c>
    </row>
    <row r="110" spans="1:26" ht="15.75" customHeight="1" x14ac:dyDescent="0.25">
      <c r="A110" s="247"/>
      <c r="B110" s="260"/>
      <c r="C110" s="17" t="s">
        <v>81</v>
      </c>
      <c r="D110" s="17" t="s">
        <v>48</v>
      </c>
      <c r="E110" s="10">
        <v>31</v>
      </c>
      <c r="F110" s="17">
        <v>10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>
        <v>0</v>
      </c>
      <c r="X110" s="20" t="e">
        <v>#DIV/0!</v>
      </c>
      <c r="Y110" s="20" t="e">
        <v>#DIV/0!</v>
      </c>
      <c r="Z110" s="20">
        <v>0</v>
      </c>
    </row>
    <row r="111" spans="1:26" ht="15.75" x14ac:dyDescent="0.25">
      <c r="A111" s="245">
        <v>8</v>
      </c>
      <c r="B111" s="260"/>
      <c r="C111" s="11" t="s">
        <v>82</v>
      </c>
      <c r="D111" s="11" t="s">
        <v>38</v>
      </c>
      <c r="E111" s="10">
        <v>31</v>
      </c>
      <c r="F111" s="11"/>
      <c r="G111" s="11">
        <v>5</v>
      </c>
      <c r="H111" s="11">
        <v>154</v>
      </c>
      <c r="I111" s="11">
        <v>2</v>
      </c>
      <c r="J111" s="11">
        <v>161</v>
      </c>
      <c r="K111" s="11">
        <v>155</v>
      </c>
      <c r="L111" s="11">
        <v>2</v>
      </c>
      <c r="M111" s="11">
        <v>2</v>
      </c>
      <c r="N111" s="11">
        <v>2</v>
      </c>
      <c r="O111" s="11">
        <v>0</v>
      </c>
      <c r="P111" s="11">
        <v>159</v>
      </c>
      <c r="Q111" s="11">
        <v>4</v>
      </c>
      <c r="R111" s="11">
        <v>3</v>
      </c>
      <c r="S111" s="11">
        <v>98</v>
      </c>
      <c r="T111" s="11">
        <v>2</v>
      </c>
      <c r="U111" s="11">
        <v>4</v>
      </c>
      <c r="V111" s="15">
        <v>3.161290322580645</v>
      </c>
      <c r="W111" s="15" t="e">
        <v>#DIV/0!</v>
      </c>
      <c r="X111" s="15">
        <v>24.5</v>
      </c>
      <c r="Y111" s="14">
        <v>-24.5</v>
      </c>
      <c r="Z111" s="15" t="e">
        <v>#DIV/0!</v>
      </c>
    </row>
    <row r="112" spans="1:26" ht="15.75" x14ac:dyDescent="0.25">
      <c r="A112" s="247"/>
      <c r="B112" s="260"/>
      <c r="C112" s="17" t="s">
        <v>82</v>
      </c>
      <c r="D112" s="17" t="s">
        <v>38</v>
      </c>
      <c r="E112" s="10">
        <v>31</v>
      </c>
      <c r="F112" s="17">
        <v>0</v>
      </c>
      <c r="G112" s="17">
        <v>5</v>
      </c>
      <c r="H112" s="17">
        <v>154</v>
      </c>
      <c r="I112" s="17">
        <v>2</v>
      </c>
      <c r="J112" s="17">
        <v>161</v>
      </c>
      <c r="K112" s="17">
        <v>155</v>
      </c>
      <c r="L112" s="17">
        <v>2</v>
      </c>
      <c r="M112" s="17">
        <v>2</v>
      </c>
      <c r="N112" s="17">
        <v>2</v>
      </c>
      <c r="O112" s="17">
        <v>0</v>
      </c>
      <c r="P112" s="17">
        <v>159</v>
      </c>
      <c r="Q112" s="17">
        <v>4</v>
      </c>
      <c r="R112" s="17">
        <v>3</v>
      </c>
      <c r="S112" s="17">
        <v>98</v>
      </c>
      <c r="T112" s="17">
        <v>2</v>
      </c>
      <c r="U112" s="17">
        <v>4</v>
      </c>
      <c r="V112" s="20">
        <v>3.161290322580645</v>
      </c>
      <c r="W112" s="20" t="e">
        <v>#DIV/0!</v>
      </c>
      <c r="X112" s="20">
        <v>24.5</v>
      </c>
      <c r="Y112" s="20">
        <v>-24.5</v>
      </c>
      <c r="Z112" s="20" t="e">
        <v>#DIV/0!</v>
      </c>
    </row>
    <row r="113" spans="1:26" ht="15.75" hidden="1" customHeight="1" x14ac:dyDescent="0.25">
      <c r="A113" s="245">
        <v>9</v>
      </c>
      <c r="B113" s="260"/>
      <c r="C113" s="11" t="s">
        <v>64</v>
      </c>
      <c r="D113" s="11" t="s">
        <v>83</v>
      </c>
      <c r="E113" s="10">
        <v>31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26" ht="15.75" hidden="1" customHeight="1" x14ac:dyDescent="0.25">
      <c r="A114" s="247"/>
      <c r="B114" s="260"/>
      <c r="C114" s="17" t="s">
        <v>64</v>
      </c>
      <c r="D114" s="17" t="s">
        <v>83</v>
      </c>
      <c r="E114" s="10">
        <v>31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26" ht="15.75" hidden="1" customHeight="1" x14ac:dyDescent="0.25">
      <c r="A115" s="245">
        <v>10</v>
      </c>
      <c r="B115" s="260"/>
      <c r="C115" s="10" t="s">
        <v>73</v>
      </c>
      <c r="D115" s="10" t="s">
        <v>83</v>
      </c>
      <c r="E115" s="10">
        <v>31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26" ht="15.75" hidden="1" customHeight="1" x14ac:dyDescent="0.25">
      <c r="A116" s="247"/>
      <c r="B116" s="261"/>
      <c r="C116" s="17" t="s">
        <v>73</v>
      </c>
      <c r="D116" s="17" t="s">
        <v>83</v>
      </c>
      <c r="E116" s="10">
        <v>31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customHeight="1" x14ac:dyDescent="0.25">
      <c r="A117" s="232" t="s">
        <v>84</v>
      </c>
      <c r="B117" s="233"/>
      <c r="C117" s="233"/>
      <c r="D117" s="234"/>
      <c r="E117" s="10">
        <v>31</v>
      </c>
      <c r="F117" s="29">
        <v>41</v>
      </c>
      <c r="G117" s="29">
        <v>31</v>
      </c>
      <c r="H117" s="29">
        <v>245</v>
      </c>
      <c r="I117" s="29">
        <v>134</v>
      </c>
      <c r="J117" s="28">
        <v>410</v>
      </c>
      <c r="K117" s="29">
        <v>340</v>
      </c>
      <c r="L117" s="29">
        <v>7</v>
      </c>
      <c r="M117" s="28">
        <v>40</v>
      </c>
      <c r="N117" s="29">
        <v>17</v>
      </c>
      <c r="O117" s="29">
        <v>23</v>
      </c>
      <c r="P117" s="28">
        <v>387</v>
      </c>
      <c r="Q117" s="29">
        <v>249</v>
      </c>
      <c r="R117" s="29">
        <v>6</v>
      </c>
      <c r="S117" s="29">
        <v>698</v>
      </c>
      <c r="T117" s="28">
        <v>23</v>
      </c>
      <c r="U117" s="28">
        <v>47</v>
      </c>
      <c r="V117" s="47">
        <v>22.516129032258064</v>
      </c>
      <c r="W117" s="30">
        <v>54.917387883556259</v>
      </c>
      <c r="X117" s="30">
        <v>14.851063829787234</v>
      </c>
      <c r="Y117" s="30">
        <v>12.191489361702128</v>
      </c>
      <c r="Z117" s="30">
        <v>1.1463414634146341</v>
      </c>
    </row>
    <row r="118" spans="1:26" ht="16.5" customHeight="1" x14ac:dyDescent="0.25">
      <c r="A118" s="235" t="s">
        <v>85</v>
      </c>
      <c r="B118" s="236"/>
      <c r="C118" s="236"/>
      <c r="D118" s="237"/>
      <c r="E118" s="49">
        <v>31</v>
      </c>
      <c r="F118" s="49">
        <v>388</v>
      </c>
      <c r="G118" s="49">
        <v>220</v>
      </c>
      <c r="H118" s="49">
        <v>1632</v>
      </c>
      <c r="I118" s="49">
        <v>652</v>
      </c>
      <c r="J118" s="48">
        <v>2504</v>
      </c>
      <c r="K118" s="49">
        <v>640</v>
      </c>
      <c r="L118" s="49">
        <v>1526</v>
      </c>
      <c r="M118" s="48">
        <v>186</v>
      </c>
      <c r="N118" s="49">
        <v>96</v>
      </c>
      <c r="O118" s="49">
        <v>90</v>
      </c>
      <c r="P118" s="48">
        <v>2352</v>
      </c>
      <c r="Q118" s="49">
        <v>6195</v>
      </c>
      <c r="R118" s="49">
        <v>47</v>
      </c>
      <c r="S118" s="49">
        <v>6759</v>
      </c>
      <c r="T118" s="49">
        <v>152</v>
      </c>
      <c r="U118" s="48">
        <v>1712</v>
      </c>
      <c r="V118" s="50">
        <v>218.03225806451613</v>
      </c>
      <c r="W118" s="51">
        <v>56.193880944462919</v>
      </c>
      <c r="X118" s="51">
        <v>3.9480140186915889</v>
      </c>
      <c r="Y118" s="51">
        <v>3.0776869158878504</v>
      </c>
      <c r="Z118" s="51">
        <v>4.4123711340206189</v>
      </c>
    </row>
    <row r="119" spans="1:26" x14ac:dyDescent="0.25">
      <c r="H119">
        <f>151+65+7+46+5+6+7+109</f>
        <v>396</v>
      </c>
      <c r="I119">
        <f>22+216+86+14+1+18+8+17</f>
        <v>382</v>
      </c>
      <c r="K119">
        <f>18+99+83+57+5+18+10+39</f>
        <v>329</v>
      </c>
      <c r="L119">
        <f>169+175+2+1+76</f>
        <v>423</v>
      </c>
      <c r="Q119">
        <f>698+475+91+15+18+42+19+574</f>
        <v>1932</v>
      </c>
      <c r="S119">
        <f>669+398+234+87+17+139+51+669</f>
        <v>2264</v>
      </c>
      <c r="T119">
        <f>13+14+10+1+5+2+19</f>
        <v>64</v>
      </c>
    </row>
    <row r="120" spans="1:26" x14ac:dyDescent="0.25">
      <c r="H120">
        <f>H118-H119</f>
        <v>1236</v>
      </c>
      <c r="I120">
        <f>I118-I119</f>
        <v>270</v>
      </c>
      <c r="K120">
        <f>K118-K119</f>
        <v>311</v>
      </c>
      <c r="L120">
        <f>L118-L119</f>
        <v>1103</v>
      </c>
      <c r="Q120">
        <f>Q118-Q119</f>
        <v>4263</v>
      </c>
      <c r="S120">
        <f>S118-S119</f>
        <v>4495</v>
      </c>
      <c r="T120">
        <f>T118-T119</f>
        <v>88</v>
      </c>
    </row>
    <row r="121" spans="1:26" x14ac:dyDescent="0.25">
      <c r="E121">
        <f>142+32+9+9+4+2+5+2+15</f>
        <v>220</v>
      </c>
    </row>
    <row r="122" spans="1:26" x14ac:dyDescent="0.25">
      <c r="E122">
        <f>152+32+9+9+4+2+5+2+15</f>
        <v>230</v>
      </c>
      <c r="Q122">
        <f>6195-698-475-91-15-18-42-19-574</f>
        <v>4263</v>
      </c>
    </row>
    <row r="123" spans="1:26" x14ac:dyDescent="0.25">
      <c r="Q123">
        <f>4263+698+475+91+15+18+42+19+574</f>
        <v>6195</v>
      </c>
    </row>
    <row r="129" spans="3:3" x14ac:dyDescent="0.25">
      <c r="C129">
        <v>107</v>
      </c>
    </row>
    <row r="130" spans="3:3" x14ac:dyDescent="0.25">
      <c r="C130">
        <v>642</v>
      </c>
    </row>
    <row r="131" spans="3:3" x14ac:dyDescent="0.25">
      <c r="C131">
        <v>3</v>
      </c>
    </row>
    <row r="132" spans="3:3" x14ac:dyDescent="0.25">
      <c r="C132">
        <v>234</v>
      </c>
    </row>
    <row r="133" spans="3:3" x14ac:dyDescent="0.25">
      <c r="C133">
        <v>87</v>
      </c>
    </row>
    <row r="134" spans="3:3" x14ac:dyDescent="0.25">
      <c r="C134">
        <v>17</v>
      </c>
    </row>
    <row r="135" spans="3:3" x14ac:dyDescent="0.25">
      <c r="C135">
        <v>139</v>
      </c>
    </row>
    <row r="136" spans="3:3" x14ac:dyDescent="0.25">
      <c r="C136">
        <v>51</v>
      </c>
    </row>
    <row r="137" spans="3:3" x14ac:dyDescent="0.25">
      <c r="C137">
        <v>649</v>
      </c>
    </row>
    <row r="138" spans="3:3" x14ac:dyDescent="0.25">
      <c r="C138">
        <v>49</v>
      </c>
    </row>
    <row r="139" spans="3:3" x14ac:dyDescent="0.25">
      <c r="C139">
        <v>115</v>
      </c>
    </row>
    <row r="140" spans="3:3" x14ac:dyDescent="0.25">
      <c r="C140">
        <v>669</v>
      </c>
    </row>
    <row r="141" spans="3:3" x14ac:dyDescent="0.25">
      <c r="C141">
        <v>3102</v>
      </c>
    </row>
    <row r="142" spans="3:3" x14ac:dyDescent="0.25">
      <c r="C142">
        <v>579</v>
      </c>
    </row>
    <row r="143" spans="3:3" x14ac:dyDescent="0.25">
      <c r="C143">
        <v>275</v>
      </c>
    </row>
    <row r="144" spans="3:3" x14ac:dyDescent="0.25">
      <c r="C144">
        <v>41</v>
      </c>
    </row>
    <row r="145" spans="3:3" x14ac:dyDescent="0.25">
      <c r="C145">
        <f>SUM(C129:C144)</f>
        <v>6759</v>
      </c>
    </row>
  </sheetData>
  <sheetProtection algorithmName="SHA-512" hashValue="Czdjacn/6DJo5VBRd0iw4/3p4RMi1Uqo2zGoWwooqNlD+nzBpqKrW/b7X1HlxAknd8ibUsT0RI50XzPlUFfuQQ==" saltValue="UTeTweuOufaqdxgBVGKajQ==" spinCount="100000" sheet="1" objects="1" scenarios="1"/>
  <mergeCells count="149">
    <mergeCell ref="X94:X95"/>
    <mergeCell ref="A107:A108"/>
    <mergeCell ref="P80:P82"/>
    <mergeCell ref="Q80:Q82"/>
    <mergeCell ref="R80:R82"/>
    <mergeCell ref="S80:S82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9:A110"/>
    <mergeCell ref="A111:A112"/>
    <mergeCell ref="A113:A114"/>
    <mergeCell ref="A115:A116"/>
    <mergeCell ref="P93:P95"/>
    <mergeCell ref="Q93:Q95"/>
    <mergeCell ref="R93:R95"/>
    <mergeCell ref="S93:S95"/>
    <mergeCell ref="T93:T95"/>
    <mergeCell ref="U93:U96"/>
    <mergeCell ref="V94:V95"/>
    <mergeCell ref="W94:W95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A72:A73"/>
    <mergeCell ref="B72:B77"/>
    <mergeCell ref="A74:A75"/>
    <mergeCell ref="A79:D79"/>
    <mergeCell ref="A80:A83"/>
    <mergeCell ref="B80:B83"/>
    <mergeCell ref="C80:C83"/>
    <mergeCell ref="D80:D83"/>
    <mergeCell ref="F80:F83"/>
    <mergeCell ref="R68:R70"/>
    <mergeCell ref="S68:S70"/>
    <mergeCell ref="T68:T70"/>
    <mergeCell ref="U68:U71"/>
    <mergeCell ref="V69:V70"/>
    <mergeCell ref="W69:W70"/>
    <mergeCell ref="X69:X70"/>
    <mergeCell ref="Y69:Y70"/>
    <mergeCell ref="Z69:Z70"/>
    <mergeCell ref="V4:V5"/>
    <mergeCell ref="W4:W5"/>
    <mergeCell ref="X4:X5"/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9:A21"/>
    <mergeCell ref="C19:C20"/>
    <mergeCell ref="A22:A23"/>
    <mergeCell ref="A25:A26"/>
    <mergeCell ref="A27:A28"/>
    <mergeCell ref="A30:A32"/>
    <mergeCell ref="A34:A35"/>
    <mergeCell ref="A38:A42"/>
    <mergeCell ref="C38:C41"/>
    <mergeCell ref="D3:D6"/>
    <mergeCell ref="E3:E6"/>
    <mergeCell ref="F3:F6"/>
    <mergeCell ref="G3:G5"/>
    <mergeCell ref="H3:H5"/>
    <mergeCell ref="I3:I5"/>
    <mergeCell ref="S3:S5"/>
    <mergeCell ref="T3:T5"/>
    <mergeCell ref="U3:U6"/>
    <mergeCell ref="A118:D118"/>
    <mergeCell ref="A93:A96"/>
    <mergeCell ref="A91:D91"/>
    <mergeCell ref="B93:B96"/>
    <mergeCell ref="C93:C96"/>
    <mergeCell ref="D93:D96"/>
    <mergeCell ref="A76:A77"/>
    <mergeCell ref="A44:A46"/>
    <mergeCell ref="C47:C50"/>
    <mergeCell ref="A48:A51"/>
    <mergeCell ref="A53:A54"/>
    <mergeCell ref="A56:A57"/>
    <mergeCell ref="A59:A62"/>
    <mergeCell ref="A63:A64"/>
    <mergeCell ref="A65:D65"/>
    <mergeCell ref="A68:A71"/>
    <mergeCell ref="B68:B71"/>
    <mergeCell ref="A117:D117"/>
    <mergeCell ref="C68:C71"/>
    <mergeCell ref="D68:D71"/>
    <mergeCell ref="U80:U83"/>
    <mergeCell ref="V81:V82"/>
    <mergeCell ref="W81:W82"/>
    <mergeCell ref="X81:X82"/>
    <mergeCell ref="Y81:Y82"/>
    <mergeCell ref="Z81:Z82"/>
    <mergeCell ref="A84:A85"/>
    <mergeCell ref="B84:B90"/>
    <mergeCell ref="A87:A90"/>
    <mergeCell ref="C87:C89"/>
    <mergeCell ref="T80:T82"/>
    <mergeCell ref="G68:G70"/>
    <mergeCell ref="H68:H70"/>
    <mergeCell ref="I68:I70"/>
    <mergeCell ref="J68:J70"/>
    <mergeCell ref="K68:K70"/>
    <mergeCell ref="L68:L70"/>
    <mergeCell ref="M68:M70"/>
    <mergeCell ref="N68:N70"/>
    <mergeCell ref="O68:O70"/>
    <mergeCell ref="P68:P70"/>
    <mergeCell ref="Q68:Q70"/>
    <mergeCell ref="Q3:Q5"/>
    <mergeCell ref="R3:R5"/>
    <mergeCell ref="F68:F71"/>
    <mergeCell ref="A78:D78"/>
    <mergeCell ref="F93:F96"/>
    <mergeCell ref="G93:G95"/>
    <mergeCell ref="H93:H95"/>
    <mergeCell ref="I93:I95"/>
    <mergeCell ref="J93:J95"/>
    <mergeCell ref="K93:K95"/>
    <mergeCell ref="L93:L95"/>
    <mergeCell ref="M93:M95"/>
    <mergeCell ref="N93:N95"/>
    <mergeCell ref="O93:O95"/>
    <mergeCell ref="J3:J5"/>
    <mergeCell ref="K3:K5"/>
    <mergeCell ref="L3:L5"/>
    <mergeCell ref="M3:M5"/>
    <mergeCell ref="N3:N5"/>
    <mergeCell ref="O3:O5"/>
    <mergeCell ref="P3:P5"/>
    <mergeCell ref="A3:A6"/>
    <mergeCell ref="B3:B6"/>
    <mergeCell ref="C3:C6"/>
  </mergeCells>
  <printOptions horizontalCentered="1"/>
  <pageMargins left="0.59055118110236227" right="0.70866141732283472" top="0.39370078740157483" bottom="0.74803149606299213" header="0.31496062992125984" footer="0.31496062992125984"/>
  <pageSetup paperSize="5" scale="6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9"/>
  <sheetViews>
    <sheetView topLeftCell="A86" zoomScale="70" zoomScaleNormal="70" workbookViewId="0">
      <selection activeCell="E41" sqref="E41"/>
    </sheetView>
  </sheetViews>
  <sheetFormatPr defaultRowHeight="15" x14ac:dyDescent="0.25"/>
  <cols>
    <col min="1" max="1" width="5.7109375" customWidth="1"/>
    <col min="2" max="2" width="0" hidden="1" customWidth="1"/>
    <col min="3" max="3" width="18.42578125" customWidth="1"/>
    <col min="4" max="4" width="17.5703125" bestFit="1" customWidth="1"/>
    <col min="5" max="5" width="4.85546875" customWidth="1"/>
    <col min="6" max="6" width="5.7109375" customWidth="1"/>
    <col min="7" max="19" width="9.140625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108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31.5" customHeight="1" x14ac:dyDescent="0.25">
      <c r="A7" s="254">
        <v>1</v>
      </c>
      <c r="B7" s="265" t="s">
        <v>32</v>
      </c>
      <c r="C7" s="97" t="s">
        <v>33</v>
      </c>
      <c r="D7" s="21" t="s">
        <v>34</v>
      </c>
      <c r="E7" s="10">
        <v>30</v>
      </c>
      <c r="F7" s="10">
        <v>20</v>
      </c>
      <c r="G7" s="28">
        <v>7</v>
      </c>
      <c r="H7" s="11">
        <v>70</v>
      </c>
      <c r="I7" s="11">
        <v>3</v>
      </c>
      <c r="J7" s="11">
        <v>80</v>
      </c>
      <c r="K7" s="11">
        <v>6</v>
      </c>
      <c r="L7" s="11">
        <v>61</v>
      </c>
      <c r="M7" s="12">
        <v>1</v>
      </c>
      <c r="N7" s="11">
        <v>1</v>
      </c>
      <c r="O7" s="11">
        <v>0</v>
      </c>
      <c r="P7" s="12">
        <v>68</v>
      </c>
      <c r="Q7" s="11">
        <v>227</v>
      </c>
      <c r="R7" s="11">
        <v>1</v>
      </c>
      <c r="S7" s="11">
        <v>250</v>
      </c>
      <c r="T7" s="12">
        <v>12</v>
      </c>
      <c r="U7" s="12">
        <v>62</v>
      </c>
      <c r="V7" s="13">
        <v>8.3333333333333339</v>
      </c>
      <c r="W7" s="13">
        <v>41.666666666666671</v>
      </c>
      <c r="X7" s="13">
        <v>4.032258064516129</v>
      </c>
      <c r="Y7" s="14">
        <v>5.645161290322581</v>
      </c>
      <c r="Z7" s="15">
        <v>3.1</v>
      </c>
    </row>
    <row r="8" spans="1:26" ht="15.75" x14ac:dyDescent="0.25">
      <c r="A8" s="254"/>
      <c r="B8" s="266"/>
      <c r="C8" s="17" t="s">
        <v>35</v>
      </c>
      <c r="D8" s="16"/>
      <c r="E8" s="103">
        <v>30</v>
      </c>
      <c r="F8" s="17">
        <v>20</v>
      </c>
      <c r="G8" s="17">
        <v>7</v>
      </c>
      <c r="H8" s="17">
        <v>70</v>
      </c>
      <c r="I8" s="17">
        <v>3</v>
      </c>
      <c r="J8" s="17">
        <v>80</v>
      </c>
      <c r="K8" s="17">
        <v>6</v>
      </c>
      <c r="L8" s="17">
        <v>61</v>
      </c>
      <c r="M8" s="18">
        <v>1</v>
      </c>
      <c r="N8" s="17">
        <v>1</v>
      </c>
      <c r="O8" s="17">
        <v>0</v>
      </c>
      <c r="P8" s="18">
        <v>68</v>
      </c>
      <c r="Q8" s="17">
        <v>227</v>
      </c>
      <c r="R8" s="17">
        <v>1</v>
      </c>
      <c r="S8" s="17">
        <v>250</v>
      </c>
      <c r="T8" s="18">
        <v>12</v>
      </c>
      <c r="U8" s="18">
        <v>62</v>
      </c>
      <c r="V8" s="19">
        <v>8.3333333333333339</v>
      </c>
      <c r="W8" s="19">
        <v>41.666666666666671</v>
      </c>
      <c r="X8" s="19">
        <v>4.032258064516129</v>
      </c>
      <c r="Y8" s="20">
        <v>5.645161290322581</v>
      </c>
      <c r="Z8" s="20">
        <v>3.1</v>
      </c>
    </row>
    <row r="9" spans="1:26" ht="15.75" x14ac:dyDescent="0.25">
      <c r="A9" s="256">
        <v>2</v>
      </c>
      <c r="B9" s="266"/>
      <c r="C9" s="11" t="s">
        <v>36</v>
      </c>
      <c r="D9" s="21" t="s">
        <v>34</v>
      </c>
      <c r="E9" s="10">
        <v>30</v>
      </c>
      <c r="F9" s="11">
        <v>16</v>
      </c>
      <c r="G9" s="28">
        <v>8</v>
      </c>
      <c r="H9" s="11">
        <v>87</v>
      </c>
      <c r="I9" s="11">
        <v>36</v>
      </c>
      <c r="J9" s="11">
        <v>131</v>
      </c>
      <c r="K9" s="11">
        <v>12</v>
      </c>
      <c r="L9" s="11">
        <v>93</v>
      </c>
      <c r="M9" s="12">
        <v>14</v>
      </c>
      <c r="N9" s="11">
        <v>8</v>
      </c>
      <c r="O9" s="11">
        <v>6</v>
      </c>
      <c r="P9" s="12">
        <v>119</v>
      </c>
      <c r="Q9" s="11">
        <v>395</v>
      </c>
      <c r="R9" s="11">
        <v>1</v>
      </c>
      <c r="S9" s="11">
        <v>417</v>
      </c>
      <c r="T9" s="12">
        <v>12</v>
      </c>
      <c r="U9" s="12">
        <v>107</v>
      </c>
      <c r="V9" s="13">
        <v>13.9</v>
      </c>
      <c r="W9" s="13">
        <v>86.875</v>
      </c>
      <c r="X9" s="13">
        <v>3.8971962616822431</v>
      </c>
      <c r="Y9" s="14">
        <v>0.58878504672897181</v>
      </c>
      <c r="Z9" s="15">
        <v>6.6875</v>
      </c>
    </row>
    <row r="10" spans="1:26" ht="15.75" x14ac:dyDescent="0.25">
      <c r="A10" s="256"/>
      <c r="B10" s="266"/>
      <c r="C10" s="17" t="s">
        <v>36</v>
      </c>
      <c r="D10" s="16"/>
      <c r="E10" s="103">
        <v>30</v>
      </c>
      <c r="F10" s="17">
        <v>16</v>
      </c>
      <c r="G10" s="17">
        <v>8</v>
      </c>
      <c r="H10" s="17">
        <v>87</v>
      </c>
      <c r="I10" s="17">
        <v>36</v>
      </c>
      <c r="J10" s="17">
        <v>131</v>
      </c>
      <c r="K10" s="17">
        <v>12</v>
      </c>
      <c r="L10" s="17">
        <v>93</v>
      </c>
      <c r="M10" s="18">
        <v>14</v>
      </c>
      <c r="N10" s="17">
        <v>8</v>
      </c>
      <c r="O10" s="17">
        <v>6</v>
      </c>
      <c r="P10" s="18">
        <v>119</v>
      </c>
      <c r="Q10" s="17">
        <v>395</v>
      </c>
      <c r="R10" s="17">
        <v>1</v>
      </c>
      <c r="S10" s="17">
        <v>417</v>
      </c>
      <c r="T10" s="18">
        <v>12</v>
      </c>
      <c r="U10" s="18">
        <v>107</v>
      </c>
      <c r="V10" s="19">
        <v>13.9</v>
      </c>
      <c r="W10" s="19">
        <v>86.875</v>
      </c>
      <c r="X10" s="19">
        <v>3.8971962616822431</v>
      </c>
      <c r="Y10" s="20">
        <v>0.58878504672897181</v>
      </c>
      <c r="Z10" s="20">
        <v>6.6875</v>
      </c>
    </row>
    <row r="11" spans="1:26" ht="15.75" x14ac:dyDescent="0.25">
      <c r="A11" s="256">
        <v>3</v>
      </c>
      <c r="B11" s="266"/>
      <c r="C11" s="256" t="s">
        <v>37</v>
      </c>
      <c r="D11" s="21" t="s">
        <v>38</v>
      </c>
      <c r="E11" s="10">
        <v>30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266"/>
      <c r="C12" s="256"/>
      <c r="D12" s="21" t="s">
        <v>34</v>
      </c>
      <c r="E12" s="10">
        <v>30</v>
      </c>
      <c r="F12" s="11">
        <v>12</v>
      </c>
      <c r="G12" s="28">
        <v>3</v>
      </c>
      <c r="H12" s="11">
        <v>64</v>
      </c>
      <c r="I12" s="11">
        <v>2</v>
      </c>
      <c r="J12" s="11">
        <v>69</v>
      </c>
      <c r="K12" s="11">
        <v>8</v>
      </c>
      <c r="L12" s="11">
        <v>47</v>
      </c>
      <c r="M12" s="12">
        <v>6</v>
      </c>
      <c r="N12" s="11">
        <v>4</v>
      </c>
      <c r="O12" s="11">
        <v>2</v>
      </c>
      <c r="P12" s="12">
        <v>61</v>
      </c>
      <c r="Q12" s="11">
        <v>233</v>
      </c>
      <c r="R12" s="11">
        <v>4</v>
      </c>
      <c r="S12" s="11">
        <v>285</v>
      </c>
      <c r="T12" s="12">
        <v>8</v>
      </c>
      <c r="U12" s="12">
        <v>53</v>
      </c>
      <c r="V12" s="13">
        <v>9.5</v>
      </c>
      <c r="W12" s="13">
        <v>79.166666666666657</v>
      </c>
      <c r="X12" s="13">
        <v>5.3773584905660377</v>
      </c>
      <c r="Y12" s="14">
        <v>1.4150943396226414</v>
      </c>
      <c r="Z12" s="15">
        <v>4.416666666666667</v>
      </c>
    </row>
    <row r="13" spans="1:26" ht="15.75" x14ac:dyDescent="0.25">
      <c r="A13" s="256"/>
      <c r="B13" s="266"/>
      <c r="C13" s="17" t="s">
        <v>37</v>
      </c>
      <c r="D13" s="16"/>
      <c r="E13" s="103">
        <v>30</v>
      </c>
      <c r="F13" s="17">
        <v>12</v>
      </c>
      <c r="G13" s="17">
        <v>3</v>
      </c>
      <c r="H13" s="17">
        <v>64</v>
      </c>
      <c r="I13" s="17">
        <v>2</v>
      </c>
      <c r="J13" s="17">
        <v>69</v>
      </c>
      <c r="K13" s="17">
        <v>8</v>
      </c>
      <c r="L13" s="17">
        <v>47</v>
      </c>
      <c r="M13" s="18">
        <v>6</v>
      </c>
      <c r="N13" s="17">
        <v>4</v>
      </c>
      <c r="O13" s="17">
        <v>2</v>
      </c>
      <c r="P13" s="18">
        <v>61</v>
      </c>
      <c r="Q13" s="17">
        <v>233</v>
      </c>
      <c r="R13" s="17">
        <v>4</v>
      </c>
      <c r="S13" s="17">
        <v>285</v>
      </c>
      <c r="T13" s="18">
        <v>8</v>
      </c>
      <c r="U13" s="18">
        <v>53</v>
      </c>
      <c r="V13" s="19">
        <v>9.5</v>
      </c>
      <c r="W13" s="19">
        <v>79.166666666666657</v>
      </c>
      <c r="X13" s="19">
        <v>5.3773584905660377</v>
      </c>
      <c r="Y13" s="20">
        <v>1.4150943396226414</v>
      </c>
      <c r="Z13" s="20">
        <v>4.416666666666667</v>
      </c>
    </row>
    <row r="14" spans="1:26" ht="15.75" x14ac:dyDescent="0.25">
      <c r="A14" s="256">
        <v>4</v>
      </c>
      <c r="B14" s="266"/>
      <c r="C14" s="254" t="s">
        <v>39</v>
      </c>
      <c r="D14" s="21" t="s">
        <v>38</v>
      </c>
      <c r="E14" s="10">
        <v>30</v>
      </c>
      <c r="F14" s="10">
        <v>2</v>
      </c>
      <c r="G14" s="28">
        <v>1</v>
      </c>
      <c r="H14" s="11">
        <v>6</v>
      </c>
      <c r="I14" s="11">
        <v>6</v>
      </c>
      <c r="J14" s="11">
        <v>13</v>
      </c>
      <c r="K14" s="11">
        <v>4</v>
      </c>
      <c r="L14" s="11">
        <v>8</v>
      </c>
      <c r="M14" s="12">
        <v>0</v>
      </c>
      <c r="N14" s="11">
        <v>0</v>
      </c>
      <c r="O14" s="11">
        <v>0</v>
      </c>
      <c r="P14" s="12">
        <v>12</v>
      </c>
      <c r="Q14" s="11">
        <v>60</v>
      </c>
      <c r="R14" s="11">
        <v>0</v>
      </c>
      <c r="S14" s="11">
        <v>46</v>
      </c>
      <c r="T14" s="12">
        <v>1</v>
      </c>
      <c r="U14" s="12">
        <v>8</v>
      </c>
      <c r="V14" s="13">
        <v>1.5333333333333334</v>
      </c>
      <c r="W14" s="13">
        <v>76.666666666666671</v>
      </c>
      <c r="X14" s="13">
        <v>5.75</v>
      </c>
      <c r="Y14" s="14">
        <v>1.7499999999999996</v>
      </c>
      <c r="Z14" s="15">
        <v>4</v>
      </c>
    </row>
    <row r="15" spans="1:26" ht="15.75" x14ac:dyDescent="0.25">
      <c r="A15" s="256"/>
      <c r="B15" s="266"/>
      <c r="C15" s="254"/>
      <c r="D15" s="21" t="s">
        <v>34</v>
      </c>
      <c r="E15" s="10">
        <v>30</v>
      </c>
      <c r="F15" s="10">
        <v>17</v>
      </c>
      <c r="G15" s="28">
        <v>5</v>
      </c>
      <c r="H15" s="11">
        <v>94</v>
      </c>
      <c r="I15" s="11">
        <v>8</v>
      </c>
      <c r="J15" s="11">
        <v>107</v>
      </c>
      <c r="K15" s="11">
        <v>23</v>
      </c>
      <c r="L15" s="11">
        <v>67</v>
      </c>
      <c r="M15" s="12">
        <v>4</v>
      </c>
      <c r="N15" s="11">
        <v>4</v>
      </c>
      <c r="O15" s="11">
        <v>0</v>
      </c>
      <c r="P15" s="12">
        <v>94</v>
      </c>
      <c r="Q15" s="11">
        <v>289</v>
      </c>
      <c r="R15" s="11">
        <v>2</v>
      </c>
      <c r="S15" s="11">
        <v>350</v>
      </c>
      <c r="T15" s="12">
        <v>13</v>
      </c>
      <c r="U15" s="12">
        <v>71</v>
      </c>
      <c r="V15" s="13">
        <v>11.666666666666666</v>
      </c>
      <c r="W15" s="13">
        <v>68.627450980392155</v>
      </c>
      <c r="X15" s="13">
        <v>4.929577464788732</v>
      </c>
      <c r="Y15" s="14">
        <v>2.2535211267605639</v>
      </c>
      <c r="Z15" s="15">
        <v>4.1764705882352944</v>
      </c>
    </row>
    <row r="16" spans="1:26" ht="15.75" x14ac:dyDescent="0.25">
      <c r="A16" s="256"/>
      <c r="B16" s="266"/>
      <c r="C16" s="254"/>
      <c r="D16" s="21" t="s">
        <v>40</v>
      </c>
      <c r="E16" s="10">
        <v>30</v>
      </c>
      <c r="F16" s="10">
        <v>5</v>
      </c>
      <c r="G16" s="28">
        <v>0</v>
      </c>
      <c r="H16" s="11">
        <v>10</v>
      </c>
      <c r="I16" s="11">
        <v>7</v>
      </c>
      <c r="J16" s="11">
        <v>17</v>
      </c>
      <c r="K16" s="11">
        <v>3</v>
      </c>
      <c r="L16" s="11">
        <v>12</v>
      </c>
      <c r="M16" s="12">
        <v>0</v>
      </c>
      <c r="N16" s="11">
        <v>0</v>
      </c>
      <c r="O16" s="11">
        <v>0</v>
      </c>
      <c r="P16" s="12">
        <v>15</v>
      </c>
      <c r="Q16" s="11">
        <v>50</v>
      </c>
      <c r="R16" s="11">
        <v>0</v>
      </c>
      <c r="S16" s="11">
        <v>52</v>
      </c>
      <c r="T16" s="12">
        <v>2</v>
      </c>
      <c r="U16" s="12">
        <v>12</v>
      </c>
      <c r="V16" s="13">
        <v>1.7333333333333334</v>
      </c>
      <c r="W16" s="13">
        <v>34.666666666666671</v>
      </c>
      <c r="X16" s="13">
        <v>4.333333333333333</v>
      </c>
      <c r="Y16" s="14">
        <v>8.1666666666666661</v>
      </c>
      <c r="Z16" s="15">
        <v>2.4</v>
      </c>
    </row>
    <row r="17" spans="1:26" ht="15.75" x14ac:dyDescent="0.25">
      <c r="A17" s="256"/>
      <c r="B17" s="266"/>
      <c r="C17" s="17" t="s">
        <v>39</v>
      </c>
      <c r="D17" s="16"/>
      <c r="E17" s="103">
        <v>30</v>
      </c>
      <c r="F17" s="17">
        <v>24</v>
      </c>
      <c r="G17" s="17">
        <v>6</v>
      </c>
      <c r="H17" s="17">
        <v>110</v>
      </c>
      <c r="I17" s="17">
        <v>21</v>
      </c>
      <c r="J17" s="17">
        <v>137</v>
      </c>
      <c r="K17" s="17">
        <v>30</v>
      </c>
      <c r="L17" s="17">
        <v>87</v>
      </c>
      <c r="M17" s="18">
        <v>4</v>
      </c>
      <c r="N17" s="17">
        <v>4</v>
      </c>
      <c r="O17" s="17">
        <v>0</v>
      </c>
      <c r="P17" s="18">
        <v>121</v>
      </c>
      <c r="Q17" s="17">
        <v>399</v>
      </c>
      <c r="R17" s="17">
        <v>2</v>
      </c>
      <c r="S17" s="17">
        <v>448</v>
      </c>
      <c r="T17" s="18">
        <v>16</v>
      </c>
      <c r="U17" s="18">
        <v>91</v>
      </c>
      <c r="V17" s="19">
        <v>14.933333333333334</v>
      </c>
      <c r="W17" s="19">
        <v>62.222222222222221</v>
      </c>
      <c r="X17" s="19">
        <v>4.9230769230769234</v>
      </c>
      <c r="Y17" s="20">
        <v>2.9890109890109891</v>
      </c>
      <c r="Z17" s="20">
        <v>3.7916666666666665</v>
      </c>
    </row>
    <row r="18" spans="1:26" ht="15.75" x14ac:dyDescent="0.25">
      <c r="A18" s="53"/>
      <c r="B18" s="266"/>
      <c r="C18" s="17"/>
      <c r="D18" s="16"/>
      <c r="E18" s="103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8"/>
      <c r="Q18" s="17"/>
      <c r="R18" s="17"/>
      <c r="S18" s="17"/>
      <c r="T18" s="18"/>
      <c r="U18" s="18"/>
      <c r="V18" s="19"/>
      <c r="W18" s="19"/>
      <c r="X18" s="19"/>
      <c r="Y18" s="20"/>
      <c r="Z18" s="20"/>
    </row>
    <row r="19" spans="1:26" ht="15.75" x14ac:dyDescent="0.25">
      <c r="A19" s="254">
        <v>5</v>
      </c>
      <c r="B19" s="266"/>
      <c r="C19" s="254" t="s">
        <v>41</v>
      </c>
      <c r="D19" s="98" t="s">
        <v>42</v>
      </c>
      <c r="E19" s="10">
        <v>30</v>
      </c>
      <c r="F19" s="10">
        <v>19</v>
      </c>
      <c r="G19" s="28">
        <v>8</v>
      </c>
      <c r="H19" s="11">
        <v>145</v>
      </c>
      <c r="I19" s="11">
        <v>23</v>
      </c>
      <c r="J19" s="11">
        <v>176</v>
      </c>
      <c r="K19" s="11">
        <v>17</v>
      </c>
      <c r="L19" s="11">
        <v>110</v>
      </c>
      <c r="M19" s="12">
        <v>32</v>
      </c>
      <c r="N19" s="11">
        <v>20</v>
      </c>
      <c r="O19" s="11">
        <v>12</v>
      </c>
      <c r="P19" s="12">
        <v>159</v>
      </c>
      <c r="Q19" s="11">
        <v>445</v>
      </c>
      <c r="R19" s="11">
        <v>8</v>
      </c>
      <c r="S19" s="11">
        <v>489</v>
      </c>
      <c r="T19" s="12">
        <v>17</v>
      </c>
      <c r="U19" s="12">
        <v>142</v>
      </c>
      <c r="V19" s="13">
        <v>16.3</v>
      </c>
      <c r="W19" s="13">
        <v>85.78947368421052</v>
      </c>
      <c r="X19" s="13">
        <v>3.443661971830986</v>
      </c>
      <c r="Y19" s="14">
        <v>0.5704225352112674</v>
      </c>
      <c r="Z19" s="15">
        <v>7.4736842105263159</v>
      </c>
    </row>
    <row r="20" spans="1:26" ht="15.75" x14ac:dyDescent="0.25">
      <c r="A20" s="254"/>
      <c r="B20" s="266"/>
      <c r="C20" s="254"/>
      <c r="D20" s="98" t="s">
        <v>43</v>
      </c>
      <c r="E20" s="10">
        <v>30</v>
      </c>
      <c r="F20" s="10">
        <v>12</v>
      </c>
      <c r="G20" s="28">
        <v>5</v>
      </c>
      <c r="H20" s="11">
        <v>62</v>
      </c>
      <c r="I20" s="11">
        <v>16</v>
      </c>
      <c r="J20" s="11">
        <v>83</v>
      </c>
      <c r="K20" s="11">
        <v>16</v>
      </c>
      <c r="L20" s="11">
        <v>44</v>
      </c>
      <c r="M20" s="12">
        <v>14</v>
      </c>
      <c r="N20" s="11">
        <v>9</v>
      </c>
      <c r="O20" s="11">
        <v>5</v>
      </c>
      <c r="P20" s="12">
        <v>74</v>
      </c>
      <c r="Q20" s="11">
        <v>272</v>
      </c>
      <c r="R20" s="11">
        <v>5</v>
      </c>
      <c r="S20" s="11">
        <v>297</v>
      </c>
      <c r="T20" s="12">
        <v>9</v>
      </c>
      <c r="U20" s="12">
        <v>58</v>
      </c>
      <c r="V20" s="13">
        <v>9.9</v>
      </c>
      <c r="W20" s="13">
        <v>82.5</v>
      </c>
      <c r="X20" s="13">
        <v>5.1206896551724137</v>
      </c>
      <c r="Y20" s="14">
        <v>1.086206896551724</v>
      </c>
      <c r="Z20" s="15">
        <v>4.833333333333333</v>
      </c>
    </row>
    <row r="21" spans="1:26" ht="15.75" x14ac:dyDescent="0.25">
      <c r="A21" s="254"/>
      <c r="B21" s="266"/>
      <c r="C21" s="17" t="s">
        <v>41</v>
      </c>
      <c r="D21" s="16"/>
      <c r="E21" s="103">
        <v>30</v>
      </c>
      <c r="F21" s="17">
        <v>31</v>
      </c>
      <c r="G21" s="17">
        <v>13</v>
      </c>
      <c r="H21" s="17">
        <v>207</v>
      </c>
      <c r="I21" s="17">
        <v>39</v>
      </c>
      <c r="J21" s="17">
        <v>259</v>
      </c>
      <c r="K21" s="17">
        <v>33</v>
      </c>
      <c r="L21" s="17">
        <v>154</v>
      </c>
      <c r="M21" s="18">
        <v>46</v>
      </c>
      <c r="N21" s="17">
        <v>29</v>
      </c>
      <c r="O21" s="17">
        <v>17</v>
      </c>
      <c r="P21" s="18">
        <v>233</v>
      </c>
      <c r="Q21" s="17">
        <v>717</v>
      </c>
      <c r="R21" s="17">
        <v>13</v>
      </c>
      <c r="S21" s="17">
        <v>786</v>
      </c>
      <c r="T21" s="18">
        <v>26</v>
      </c>
      <c r="U21" s="18">
        <v>200</v>
      </c>
      <c r="V21" s="19">
        <v>26.2</v>
      </c>
      <c r="W21" s="19">
        <v>84.516129032258064</v>
      </c>
      <c r="X21" s="19">
        <v>3.93</v>
      </c>
      <c r="Y21" s="20">
        <v>0.72</v>
      </c>
      <c r="Z21" s="20">
        <v>12.307017543859649</v>
      </c>
    </row>
    <row r="22" spans="1:26" ht="15.75" x14ac:dyDescent="0.25">
      <c r="A22" s="254">
        <v>6</v>
      </c>
      <c r="B22" s="266"/>
      <c r="C22" s="10" t="s">
        <v>44</v>
      </c>
      <c r="D22" s="21" t="s">
        <v>34</v>
      </c>
      <c r="E22" s="10">
        <v>30</v>
      </c>
      <c r="F22" s="10">
        <v>18</v>
      </c>
      <c r="G22" s="28">
        <v>2</v>
      </c>
      <c r="H22" s="11">
        <v>113</v>
      </c>
      <c r="I22" s="11">
        <v>10</v>
      </c>
      <c r="J22" s="11">
        <v>125</v>
      </c>
      <c r="K22" s="11">
        <v>7</v>
      </c>
      <c r="L22" s="11">
        <v>94</v>
      </c>
      <c r="M22" s="12">
        <v>7</v>
      </c>
      <c r="N22" s="11">
        <v>3</v>
      </c>
      <c r="O22" s="11">
        <v>4</v>
      </c>
      <c r="P22" s="12">
        <v>108</v>
      </c>
      <c r="Q22" s="11">
        <v>347</v>
      </c>
      <c r="R22" s="11">
        <v>5</v>
      </c>
      <c r="S22" s="11">
        <v>417</v>
      </c>
      <c r="T22" s="12">
        <v>17</v>
      </c>
      <c r="U22" s="12">
        <v>101</v>
      </c>
      <c r="V22" s="13">
        <v>13.9</v>
      </c>
      <c r="W22" s="13">
        <v>77.222222222222229</v>
      </c>
      <c r="X22" s="13">
        <v>4.1287128712871288</v>
      </c>
      <c r="Y22" s="14">
        <v>1.2178217821782176</v>
      </c>
      <c r="Z22" s="15">
        <v>5.6111111111111107</v>
      </c>
    </row>
    <row r="23" spans="1:26" ht="15.75" x14ac:dyDescent="0.25">
      <c r="A23" s="254"/>
      <c r="B23" s="266"/>
      <c r="C23" s="17" t="s">
        <v>44</v>
      </c>
      <c r="D23" s="16"/>
      <c r="E23" s="103">
        <v>30</v>
      </c>
      <c r="F23" s="17">
        <v>18</v>
      </c>
      <c r="G23" s="17">
        <v>2</v>
      </c>
      <c r="H23" s="17">
        <v>113</v>
      </c>
      <c r="I23" s="17">
        <v>10</v>
      </c>
      <c r="J23" s="17">
        <v>125</v>
      </c>
      <c r="K23" s="17">
        <v>7</v>
      </c>
      <c r="L23" s="17">
        <v>94</v>
      </c>
      <c r="M23" s="18">
        <v>7</v>
      </c>
      <c r="N23" s="17">
        <v>3</v>
      </c>
      <c r="O23" s="17">
        <v>4</v>
      </c>
      <c r="P23" s="18">
        <v>108</v>
      </c>
      <c r="Q23" s="17">
        <v>347</v>
      </c>
      <c r="R23" s="17">
        <v>5</v>
      </c>
      <c r="S23" s="17">
        <v>417</v>
      </c>
      <c r="T23" s="18">
        <v>17</v>
      </c>
      <c r="U23" s="18">
        <v>101</v>
      </c>
      <c r="V23" s="19">
        <v>13.9</v>
      </c>
      <c r="W23" s="19">
        <v>77.222222222222229</v>
      </c>
      <c r="X23" s="19">
        <v>4.1287128712871288</v>
      </c>
      <c r="Y23" s="20">
        <v>1.2178217821782176</v>
      </c>
      <c r="Z23" s="20">
        <v>5.6111111111111107</v>
      </c>
    </row>
    <row r="24" spans="1:26" ht="15.75" x14ac:dyDescent="0.25">
      <c r="A24" s="52"/>
      <c r="B24" s="266"/>
      <c r="C24" s="17"/>
      <c r="D24" s="16"/>
      <c r="E24" s="103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8"/>
      <c r="Q24" s="17"/>
      <c r="R24" s="17"/>
      <c r="S24" s="17"/>
      <c r="T24" s="18"/>
      <c r="U24" s="18"/>
      <c r="V24" s="19"/>
      <c r="W24" s="19"/>
      <c r="X24" s="19"/>
      <c r="Y24" s="20"/>
      <c r="Z24" s="20"/>
    </row>
    <row r="25" spans="1:26" ht="15.75" x14ac:dyDescent="0.25">
      <c r="A25" s="254">
        <v>7</v>
      </c>
      <c r="B25" s="266"/>
      <c r="C25" s="10" t="s">
        <v>45</v>
      </c>
      <c r="D25" s="21" t="s">
        <v>34</v>
      </c>
      <c r="E25" s="10">
        <v>30</v>
      </c>
      <c r="F25" s="10">
        <v>20</v>
      </c>
      <c r="G25" s="28">
        <v>10</v>
      </c>
      <c r="H25" s="11">
        <v>123</v>
      </c>
      <c r="I25" s="11">
        <v>12</v>
      </c>
      <c r="J25" s="11">
        <v>145</v>
      </c>
      <c r="K25" s="11">
        <v>12</v>
      </c>
      <c r="L25" s="11">
        <v>112</v>
      </c>
      <c r="M25" s="12">
        <v>5</v>
      </c>
      <c r="N25" s="11">
        <v>4</v>
      </c>
      <c r="O25" s="11">
        <v>1</v>
      </c>
      <c r="P25" s="12">
        <v>129</v>
      </c>
      <c r="Q25" s="11">
        <v>430</v>
      </c>
      <c r="R25" s="11">
        <v>4</v>
      </c>
      <c r="S25" s="11">
        <v>473</v>
      </c>
      <c r="T25" s="12">
        <v>16</v>
      </c>
      <c r="U25" s="12">
        <v>117</v>
      </c>
      <c r="V25" s="13">
        <v>15.766666666666667</v>
      </c>
      <c r="W25" s="13">
        <v>78.833333333333329</v>
      </c>
      <c r="X25" s="13">
        <v>4.0427350427350426</v>
      </c>
      <c r="Y25" s="14">
        <v>1.0854700854700852</v>
      </c>
      <c r="Z25" s="15">
        <v>5.85</v>
      </c>
    </row>
    <row r="26" spans="1:26" ht="15.75" x14ac:dyDescent="0.25">
      <c r="A26" s="254"/>
      <c r="B26" s="266"/>
      <c r="C26" s="17" t="s">
        <v>45</v>
      </c>
      <c r="D26" s="16"/>
      <c r="E26" s="103">
        <v>30</v>
      </c>
      <c r="F26" s="17">
        <v>20</v>
      </c>
      <c r="G26" s="17">
        <v>10</v>
      </c>
      <c r="H26" s="17">
        <v>123</v>
      </c>
      <c r="I26" s="17">
        <v>12</v>
      </c>
      <c r="J26" s="17">
        <v>145</v>
      </c>
      <c r="K26" s="17">
        <v>12</v>
      </c>
      <c r="L26" s="17">
        <v>112</v>
      </c>
      <c r="M26" s="18">
        <v>5</v>
      </c>
      <c r="N26" s="17">
        <v>4</v>
      </c>
      <c r="O26" s="17">
        <v>1</v>
      </c>
      <c r="P26" s="18">
        <v>129</v>
      </c>
      <c r="Q26" s="17">
        <v>430</v>
      </c>
      <c r="R26" s="17">
        <v>4</v>
      </c>
      <c r="S26" s="17">
        <v>473</v>
      </c>
      <c r="T26" s="18">
        <v>16</v>
      </c>
      <c r="U26" s="18">
        <v>117</v>
      </c>
      <c r="V26" s="19">
        <v>15.766666666666667</v>
      </c>
      <c r="W26" s="19">
        <v>78.833333333333329</v>
      </c>
      <c r="X26" s="19">
        <v>4.0427350427350426</v>
      </c>
      <c r="Y26" s="20">
        <v>1.0854700854700852</v>
      </c>
      <c r="Z26" s="20">
        <v>5.85</v>
      </c>
    </row>
    <row r="27" spans="1:26" ht="15.75" x14ac:dyDescent="0.25">
      <c r="A27" s="256">
        <v>8</v>
      </c>
      <c r="B27" s="266"/>
      <c r="C27" s="11" t="s">
        <v>46</v>
      </c>
      <c r="D27" s="21" t="s">
        <v>34</v>
      </c>
      <c r="E27" s="10">
        <v>30</v>
      </c>
      <c r="F27" s="11">
        <v>20</v>
      </c>
      <c r="G27" s="28">
        <v>0</v>
      </c>
      <c r="H27" s="11">
        <v>146</v>
      </c>
      <c r="I27" s="11">
        <v>15</v>
      </c>
      <c r="J27" s="11">
        <v>161</v>
      </c>
      <c r="K27" s="11">
        <v>10</v>
      </c>
      <c r="L27" s="11">
        <v>122</v>
      </c>
      <c r="M27" s="12">
        <v>12</v>
      </c>
      <c r="N27" s="11">
        <v>6</v>
      </c>
      <c r="O27" s="11">
        <v>6</v>
      </c>
      <c r="P27" s="12">
        <v>144</v>
      </c>
      <c r="Q27" s="11">
        <v>392</v>
      </c>
      <c r="R27" s="11">
        <v>5</v>
      </c>
      <c r="S27" s="11">
        <v>467</v>
      </c>
      <c r="T27" s="12">
        <v>17</v>
      </c>
      <c r="U27" s="12">
        <v>134</v>
      </c>
      <c r="V27" s="13">
        <v>15.566666666666666</v>
      </c>
      <c r="W27" s="13">
        <v>77.833333333333329</v>
      </c>
      <c r="X27" s="13">
        <v>3.4850746268656718</v>
      </c>
      <c r="Y27" s="14">
        <v>0.9925373134328358</v>
      </c>
      <c r="Z27" s="15">
        <v>6.7</v>
      </c>
    </row>
    <row r="28" spans="1:26" ht="15.75" x14ac:dyDescent="0.25">
      <c r="A28" s="256"/>
      <c r="B28" s="266"/>
      <c r="C28" s="17" t="s">
        <v>46</v>
      </c>
      <c r="D28" s="16"/>
      <c r="E28" s="103">
        <v>30</v>
      </c>
      <c r="F28" s="17">
        <v>20</v>
      </c>
      <c r="G28" s="17">
        <v>0</v>
      </c>
      <c r="H28" s="17">
        <v>146</v>
      </c>
      <c r="I28" s="17">
        <v>15</v>
      </c>
      <c r="J28" s="17">
        <v>161</v>
      </c>
      <c r="K28" s="17">
        <v>10</v>
      </c>
      <c r="L28" s="17">
        <v>122</v>
      </c>
      <c r="M28" s="18">
        <v>12</v>
      </c>
      <c r="N28" s="17">
        <v>6</v>
      </c>
      <c r="O28" s="17">
        <v>6</v>
      </c>
      <c r="P28" s="18">
        <v>144</v>
      </c>
      <c r="Q28" s="17">
        <v>392</v>
      </c>
      <c r="R28" s="17">
        <v>5</v>
      </c>
      <c r="S28" s="17">
        <v>467</v>
      </c>
      <c r="T28" s="18">
        <v>17</v>
      </c>
      <c r="U28" s="18">
        <v>134</v>
      </c>
      <c r="V28" s="19">
        <v>15.566666666666666</v>
      </c>
      <c r="W28" s="19">
        <v>77.833333333333329</v>
      </c>
      <c r="X28" s="19">
        <v>3.4850746268656718</v>
      </c>
      <c r="Y28" s="20">
        <v>0.9925373134328358</v>
      </c>
      <c r="Z28" s="20">
        <v>6.7</v>
      </c>
    </row>
    <row r="29" spans="1:26" ht="15.75" x14ac:dyDescent="0.25">
      <c r="A29" s="53"/>
      <c r="B29" s="266"/>
      <c r="C29" s="17"/>
      <c r="D29" s="16"/>
      <c r="E29" s="103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8"/>
      <c r="Q29" s="17"/>
      <c r="R29" s="17"/>
      <c r="S29" s="17"/>
      <c r="T29" s="18"/>
      <c r="U29" s="18"/>
      <c r="V29" s="19"/>
      <c r="W29" s="19"/>
      <c r="X29" s="19"/>
      <c r="Y29" s="20"/>
      <c r="Z29" s="20"/>
    </row>
    <row r="30" spans="1:26" ht="15.75" x14ac:dyDescent="0.25">
      <c r="A30" s="256">
        <v>9</v>
      </c>
      <c r="B30" s="266"/>
      <c r="C30" s="11" t="s">
        <v>47</v>
      </c>
      <c r="D30" s="22" t="s">
        <v>48</v>
      </c>
      <c r="E30" s="10">
        <v>30</v>
      </c>
      <c r="F30" s="11">
        <v>12</v>
      </c>
      <c r="G30" s="28">
        <v>2</v>
      </c>
      <c r="H30" s="11">
        <v>66</v>
      </c>
      <c r="I30" s="11">
        <v>20</v>
      </c>
      <c r="J30" s="11">
        <v>88</v>
      </c>
      <c r="K30" s="11">
        <v>5</v>
      </c>
      <c r="L30" s="11">
        <v>71</v>
      </c>
      <c r="M30" s="12">
        <v>1</v>
      </c>
      <c r="N30" s="11">
        <v>0</v>
      </c>
      <c r="O30" s="11">
        <v>1</v>
      </c>
      <c r="P30" s="12">
        <v>77</v>
      </c>
      <c r="Q30" s="11">
        <v>222</v>
      </c>
      <c r="R30" s="11">
        <v>0</v>
      </c>
      <c r="S30" s="11">
        <v>267</v>
      </c>
      <c r="T30" s="12">
        <v>11</v>
      </c>
      <c r="U30" s="12">
        <v>72</v>
      </c>
      <c r="V30" s="13">
        <v>8.9</v>
      </c>
      <c r="W30" s="13">
        <v>74.166666666666671</v>
      </c>
      <c r="X30" s="13">
        <v>3.7083333333333335</v>
      </c>
      <c r="Y30" s="14">
        <v>1.2916666666666665</v>
      </c>
      <c r="Z30" s="15">
        <v>6</v>
      </c>
    </row>
    <row r="31" spans="1:26" ht="15.75" x14ac:dyDescent="0.25">
      <c r="A31" s="256"/>
      <c r="B31" s="266"/>
      <c r="C31" s="11"/>
      <c r="D31" s="22"/>
      <c r="E31" s="10"/>
      <c r="F31" s="11"/>
      <c r="G31" s="28"/>
      <c r="H31" s="11"/>
      <c r="I31" s="11"/>
      <c r="J31" s="11"/>
      <c r="K31" s="11"/>
      <c r="L31" s="11"/>
      <c r="M31" s="12"/>
      <c r="N31" s="11"/>
      <c r="O31" s="11"/>
      <c r="P31" s="12"/>
      <c r="Q31" s="11"/>
      <c r="R31" s="11"/>
      <c r="S31" s="11"/>
      <c r="T31" s="12"/>
      <c r="U31" s="12"/>
      <c r="V31" s="13"/>
      <c r="W31" s="13"/>
      <c r="X31" s="13"/>
      <c r="Y31" s="14"/>
      <c r="Z31" s="15"/>
    </row>
    <row r="32" spans="1:26" ht="15.75" x14ac:dyDescent="0.25">
      <c r="A32" s="256"/>
      <c r="B32" s="266"/>
      <c r="C32" s="17" t="s">
        <v>47</v>
      </c>
      <c r="D32" s="16"/>
      <c r="E32" s="103">
        <v>30</v>
      </c>
      <c r="F32" s="17">
        <v>12</v>
      </c>
      <c r="G32" s="17">
        <v>2</v>
      </c>
      <c r="H32" s="17">
        <v>66</v>
      </c>
      <c r="I32" s="17">
        <v>20</v>
      </c>
      <c r="J32" s="17">
        <v>88</v>
      </c>
      <c r="K32" s="17">
        <v>5</v>
      </c>
      <c r="L32" s="17">
        <v>71</v>
      </c>
      <c r="M32" s="18">
        <v>1</v>
      </c>
      <c r="N32" s="17">
        <v>0</v>
      </c>
      <c r="O32" s="17">
        <v>1</v>
      </c>
      <c r="P32" s="18">
        <v>77</v>
      </c>
      <c r="Q32" s="17">
        <v>222</v>
      </c>
      <c r="R32" s="17">
        <v>0</v>
      </c>
      <c r="S32" s="17">
        <v>267</v>
      </c>
      <c r="T32" s="18">
        <v>11</v>
      </c>
      <c r="U32" s="18">
        <v>72</v>
      </c>
      <c r="V32" s="19">
        <v>8.9</v>
      </c>
      <c r="W32" s="19">
        <v>74.166666666666671</v>
      </c>
      <c r="X32" s="19">
        <v>3.7083333333333335</v>
      </c>
      <c r="Y32" s="20">
        <v>1.2916666666666665</v>
      </c>
      <c r="Z32" s="20">
        <v>6</v>
      </c>
    </row>
    <row r="33" spans="1:26" ht="15.75" x14ac:dyDescent="0.25">
      <c r="A33" s="53"/>
      <c r="B33" s="266"/>
      <c r="C33" s="17"/>
      <c r="D33" s="16"/>
      <c r="E33" s="103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8"/>
      <c r="Q33" s="17"/>
      <c r="R33" s="17"/>
      <c r="S33" s="17"/>
      <c r="T33" s="18"/>
      <c r="U33" s="18"/>
      <c r="V33" s="19"/>
      <c r="W33" s="19"/>
      <c r="X33" s="19"/>
      <c r="Y33" s="20"/>
      <c r="Z33" s="20"/>
    </row>
    <row r="34" spans="1:26" ht="15.75" x14ac:dyDescent="0.25">
      <c r="A34" s="256">
        <v>10</v>
      </c>
      <c r="B34" s="266"/>
      <c r="C34" s="11" t="s">
        <v>49</v>
      </c>
      <c r="D34" s="22" t="s">
        <v>48</v>
      </c>
      <c r="E34" s="10">
        <v>30</v>
      </c>
      <c r="F34" s="11">
        <v>3</v>
      </c>
      <c r="G34" s="28">
        <v>5</v>
      </c>
      <c r="H34" s="11">
        <v>41</v>
      </c>
      <c r="I34" s="11">
        <v>14</v>
      </c>
      <c r="J34" s="11">
        <v>60</v>
      </c>
      <c r="K34" s="11">
        <v>20</v>
      </c>
      <c r="L34" s="11">
        <v>38</v>
      </c>
      <c r="M34" s="12">
        <v>1</v>
      </c>
      <c r="N34" s="11">
        <v>1</v>
      </c>
      <c r="O34" s="11">
        <v>0</v>
      </c>
      <c r="P34" s="12">
        <v>59</v>
      </c>
      <c r="Q34" s="11">
        <v>123</v>
      </c>
      <c r="R34" s="11">
        <v>1</v>
      </c>
      <c r="S34" s="11">
        <v>139</v>
      </c>
      <c r="T34" s="12">
        <v>1</v>
      </c>
      <c r="U34" s="12">
        <v>39</v>
      </c>
      <c r="V34" s="13">
        <v>4.6333333333333337</v>
      </c>
      <c r="W34" s="13">
        <v>154.44444444444446</v>
      </c>
      <c r="X34" s="13">
        <v>3.5641025641025643</v>
      </c>
      <c r="Y34" s="14">
        <v>-1.2564102564102568</v>
      </c>
      <c r="Z34" s="15">
        <v>13</v>
      </c>
    </row>
    <row r="35" spans="1:26" ht="15.75" x14ac:dyDescent="0.25">
      <c r="A35" s="256"/>
      <c r="B35" s="266"/>
      <c r="C35" s="11"/>
      <c r="D35" s="22" t="s">
        <v>38</v>
      </c>
      <c r="E35" s="10">
        <v>13</v>
      </c>
      <c r="F35" s="11">
        <v>4</v>
      </c>
      <c r="G35" s="28">
        <v>0</v>
      </c>
      <c r="H35" s="11">
        <v>10</v>
      </c>
      <c r="I35" s="11">
        <v>4</v>
      </c>
      <c r="J35" s="11">
        <v>14</v>
      </c>
      <c r="K35" s="11">
        <v>1</v>
      </c>
      <c r="L35" s="11">
        <v>10</v>
      </c>
      <c r="M35" s="12">
        <v>0</v>
      </c>
      <c r="N35" s="11">
        <v>0</v>
      </c>
      <c r="O35" s="11">
        <v>0</v>
      </c>
      <c r="P35" s="12">
        <v>11</v>
      </c>
      <c r="Q35" s="11">
        <v>33</v>
      </c>
      <c r="R35" s="11">
        <v>0</v>
      </c>
      <c r="S35" s="11">
        <v>40</v>
      </c>
      <c r="T35" s="12">
        <v>3</v>
      </c>
      <c r="U35" s="12">
        <v>10</v>
      </c>
      <c r="V35" s="13">
        <v>3.0769230769230771</v>
      </c>
      <c r="W35" s="13">
        <v>76.923076923076934</v>
      </c>
      <c r="X35" s="13">
        <v>4</v>
      </c>
      <c r="Y35" s="14">
        <v>1.1999999999999997</v>
      </c>
      <c r="Z35" s="15">
        <v>2.5</v>
      </c>
    </row>
    <row r="36" spans="1:26" ht="15.75" x14ac:dyDescent="0.25">
      <c r="A36" s="256"/>
      <c r="B36" s="266"/>
      <c r="C36" s="11"/>
      <c r="D36" s="22" t="s">
        <v>34</v>
      </c>
      <c r="E36" s="10">
        <v>13</v>
      </c>
      <c r="F36" s="11">
        <v>12</v>
      </c>
      <c r="G36" s="28">
        <v>0</v>
      </c>
      <c r="H36" s="11">
        <v>17</v>
      </c>
      <c r="I36" s="11">
        <v>15</v>
      </c>
      <c r="J36" s="11">
        <v>32</v>
      </c>
      <c r="K36" s="11">
        <v>2</v>
      </c>
      <c r="L36" s="11">
        <v>26</v>
      </c>
      <c r="M36" s="12">
        <v>1</v>
      </c>
      <c r="N36" s="11">
        <v>0</v>
      </c>
      <c r="O36" s="11">
        <v>1</v>
      </c>
      <c r="P36" s="12">
        <v>29</v>
      </c>
      <c r="Q36" s="11">
        <v>105</v>
      </c>
      <c r="R36" s="11">
        <v>0</v>
      </c>
      <c r="S36" s="11">
        <v>101</v>
      </c>
      <c r="T36" s="12">
        <v>3</v>
      </c>
      <c r="U36" s="12">
        <v>27</v>
      </c>
      <c r="V36" s="13">
        <v>7.7692307692307692</v>
      </c>
      <c r="W36" s="13">
        <v>64.743589743589752</v>
      </c>
      <c r="X36" s="13">
        <v>3.7407407407407409</v>
      </c>
      <c r="Y36" s="14">
        <v>2.0370370370370372</v>
      </c>
      <c r="Z36" s="15">
        <v>2.25</v>
      </c>
    </row>
    <row r="37" spans="1:26" ht="15.75" x14ac:dyDescent="0.25">
      <c r="A37" s="256"/>
      <c r="B37" s="266"/>
      <c r="C37" s="17" t="s">
        <v>49</v>
      </c>
      <c r="D37" s="16"/>
      <c r="E37" s="103">
        <v>30</v>
      </c>
      <c r="F37" s="17">
        <v>19</v>
      </c>
      <c r="G37" s="17">
        <v>5</v>
      </c>
      <c r="H37" s="17">
        <v>68</v>
      </c>
      <c r="I37" s="17">
        <v>33</v>
      </c>
      <c r="J37" s="17">
        <v>106</v>
      </c>
      <c r="K37" s="17">
        <v>23</v>
      </c>
      <c r="L37" s="17">
        <v>74</v>
      </c>
      <c r="M37" s="18">
        <v>2</v>
      </c>
      <c r="N37" s="17">
        <v>1</v>
      </c>
      <c r="O37" s="17">
        <v>1</v>
      </c>
      <c r="P37" s="18">
        <v>99</v>
      </c>
      <c r="Q37" s="17">
        <v>261</v>
      </c>
      <c r="R37" s="17">
        <v>1</v>
      </c>
      <c r="S37" s="17">
        <v>280</v>
      </c>
      <c r="T37" s="18">
        <v>7</v>
      </c>
      <c r="U37" s="18">
        <v>76</v>
      </c>
      <c r="V37" s="19" t="e">
        <v>#DIV/0!</v>
      </c>
      <c r="W37" s="19" t="e">
        <v>#DIV/0!</v>
      </c>
      <c r="X37" s="19">
        <v>3.6842105263157894</v>
      </c>
      <c r="Y37" s="20" t="e">
        <v>#DIV/0!</v>
      </c>
      <c r="Z37" s="20">
        <v>4</v>
      </c>
    </row>
    <row r="38" spans="1:26" ht="15.75" x14ac:dyDescent="0.25">
      <c r="A38" s="231">
        <v>11</v>
      </c>
      <c r="B38" s="266"/>
      <c r="C38" s="254" t="s">
        <v>50</v>
      </c>
      <c r="D38" s="22" t="s">
        <v>51</v>
      </c>
      <c r="E38" s="10">
        <v>30</v>
      </c>
      <c r="F38" s="10">
        <v>6</v>
      </c>
      <c r="G38" s="28">
        <v>1</v>
      </c>
      <c r="H38" s="11">
        <v>41</v>
      </c>
      <c r="I38" s="11">
        <v>2</v>
      </c>
      <c r="J38" s="11">
        <v>44</v>
      </c>
      <c r="K38" s="11">
        <v>12</v>
      </c>
      <c r="L38" s="11">
        <v>26</v>
      </c>
      <c r="M38" s="12">
        <v>2</v>
      </c>
      <c r="N38" s="11">
        <v>1</v>
      </c>
      <c r="O38" s="11">
        <v>1</v>
      </c>
      <c r="P38" s="12">
        <v>40</v>
      </c>
      <c r="Q38" s="11">
        <v>83</v>
      </c>
      <c r="R38" s="11">
        <v>1</v>
      </c>
      <c r="S38" s="11">
        <v>93</v>
      </c>
      <c r="T38" s="12">
        <v>4</v>
      </c>
      <c r="U38" s="12">
        <v>28</v>
      </c>
      <c r="V38" s="13">
        <v>3.1</v>
      </c>
      <c r="W38" s="13">
        <v>51.666666666666671</v>
      </c>
      <c r="X38" s="13">
        <v>3.3214285714285716</v>
      </c>
      <c r="Y38" s="14">
        <v>3.1071428571428572</v>
      </c>
      <c r="Z38" s="15">
        <v>4.666666666666667</v>
      </c>
    </row>
    <row r="39" spans="1:26" ht="15.75" customHeight="1" x14ac:dyDescent="0.25">
      <c r="A39" s="231"/>
      <c r="B39" s="266"/>
      <c r="C39" s="254"/>
      <c r="D39" s="22" t="s">
        <v>52</v>
      </c>
      <c r="E39" s="10">
        <v>30</v>
      </c>
      <c r="F39" s="10">
        <v>6</v>
      </c>
      <c r="G39" s="28">
        <v>3</v>
      </c>
      <c r="H39" s="11">
        <v>32</v>
      </c>
      <c r="I39" s="11">
        <v>5</v>
      </c>
      <c r="J39" s="11">
        <v>40</v>
      </c>
      <c r="K39" s="11">
        <v>5</v>
      </c>
      <c r="L39" s="11">
        <v>29</v>
      </c>
      <c r="M39" s="12">
        <v>1</v>
      </c>
      <c r="N39" s="11">
        <v>1</v>
      </c>
      <c r="O39" s="11">
        <v>0</v>
      </c>
      <c r="P39" s="12">
        <v>35</v>
      </c>
      <c r="Q39" s="11">
        <v>90</v>
      </c>
      <c r="R39" s="11">
        <v>2</v>
      </c>
      <c r="S39" s="11">
        <v>126</v>
      </c>
      <c r="T39" s="12">
        <v>5</v>
      </c>
      <c r="U39" s="12">
        <v>30</v>
      </c>
      <c r="V39" s="13">
        <v>4.2</v>
      </c>
      <c r="W39" s="13">
        <v>70</v>
      </c>
      <c r="X39" s="13">
        <v>4.2</v>
      </c>
      <c r="Y39" s="14">
        <v>1.7999999999999998</v>
      </c>
      <c r="Z39" s="15">
        <v>5</v>
      </c>
    </row>
    <row r="40" spans="1:26" ht="15.75" x14ac:dyDescent="0.25">
      <c r="A40" s="231"/>
      <c r="B40" s="266"/>
      <c r="C40" s="254"/>
      <c r="D40" s="22" t="s">
        <v>53</v>
      </c>
      <c r="E40" s="10">
        <v>30</v>
      </c>
      <c r="F40" s="10">
        <v>14</v>
      </c>
      <c r="G40" s="28">
        <v>5</v>
      </c>
      <c r="H40" s="11">
        <v>73</v>
      </c>
      <c r="I40" s="11">
        <v>11</v>
      </c>
      <c r="J40" s="11">
        <v>89</v>
      </c>
      <c r="K40" s="11">
        <v>11</v>
      </c>
      <c r="L40" s="11">
        <v>58</v>
      </c>
      <c r="M40" s="12">
        <v>12</v>
      </c>
      <c r="N40" s="11">
        <v>9</v>
      </c>
      <c r="O40" s="11">
        <v>3</v>
      </c>
      <c r="P40" s="12">
        <v>81</v>
      </c>
      <c r="Q40" s="11">
        <v>234</v>
      </c>
      <c r="R40" s="11">
        <v>4</v>
      </c>
      <c r="S40" s="11">
        <v>255</v>
      </c>
      <c r="T40" s="12">
        <v>8</v>
      </c>
      <c r="U40" s="12">
        <v>70</v>
      </c>
      <c r="V40" s="13">
        <v>8.5</v>
      </c>
      <c r="W40" s="13">
        <v>60.714285714285708</v>
      </c>
      <c r="X40" s="13">
        <v>3.6428571428571428</v>
      </c>
      <c r="Y40" s="23">
        <v>2.3571428571428572</v>
      </c>
      <c r="Z40" s="24">
        <v>5</v>
      </c>
    </row>
    <row r="41" spans="1:26" ht="15.75" x14ac:dyDescent="0.25">
      <c r="A41" s="231"/>
      <c r="B41" s="266"/>
      <c r="C41" s="254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3">
        <v>30</v>
      </c>
      <c r="F42" s="17">
        <v>26</v>
      </c>
      <c r="G42" s="17">
        <v>9</v>
      </c>
      <c r="H42" s="17">
        <v>146</v>
      </c>
      <c r="I42" s="17">
        <v>18</v>
      </c>
      <c r="J42" s="17">
        <v>173</v>
      </c>
      <c r="K42" s="17">
        <v>28</v>
      </c>
      <c r="L42" s="17">
        <v>113</v>
      </c>
      <c r="M42" s="18">
        <v>15</v>
      </c>
      <c r="N42" s="17">
        <v>11</v>
      </c>
      <c r="O42" s="17">
        <v>4</v>
      </c>
      <c r="P42" s="18">
        <v>156</v>
      </c>
      <c r="Q42" s="17">
        <v>407</v>
      </c>
      <c r="R42" s="17">
        <v>7</v>
      </c>
      <c r="S42" s="17">
        <v>474</v>
      </c>
      <c r="T42" s="18">
        <v>17</v>
      </c>
      <c r="U42" s="18">
        <v>128</v>
      </c>
      <c r="V42" s="19">
        <v>15.8</v>
      </c>
      <c r="W42" s="19">
        <v>60.769230769230774</v>
      </c>
      <c r="X42" s="19">
        <v>3.703125</v>
      </c>
      <c r="Y42" s="20">
        <v>2.390625</v>
      </c>
      <c r="Z42" s="20">
        <v>4.9230769230769234</v>
      </c>
    </row>
    <row r="43" spans="1:26" ht="15.75" x14ac:dyDescent="0.25">
      <c r="A43" s="59"/>
      <c r="B43" s="266"/>
      <c r="C43" s="17"/>
      <c r="D43" s="16"/>
      <c r="E43" s="103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8"/>
      <c r="Q43" s="17"/>
      <c r="R43" s="17"/>
      <c r="S43" s="17"/>
      <c r="T43" s="18"/>
      <c r="U43" s="18"/>
      <c r="V43" s="19"/>
      <c r="W43" s="19"/>
      <c r="X43" s="19"/>
      <c r="Y43" s="20"/>
      <c r="Z43" s="20"/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30</v>
      </c>
      <c r="F44" s="10">
        <v>15</v>
      </c>
      <c r="G44" s="28">
        <v>4</v>
      </c>
      <c r="H44" s="11">
        <v>79</v>
      </c>
      <c r="I44" s="11">
        <v>16</v>
      </c>
      <c r="J44" s="11">
        <v>99</v>
      </c>
      <c r="K44" s="11">
        <v>15</v>
      </c>
      <c r="L44" s="11">
        <v>66</v>
      </c>
      <c r="M44" s="12">
        <v>6</v>
      </c>
      <c r="N44" s="11">
        <v>1</v>
      </c>
      <c r="O44" s="11">
        <v>5</v>
      </c>
      <c r="P44" s="12">
        <v>87</v>
      </c>
      <c r="Q44" s="11">
        <v>245</v>
      </c>
      <c r="R44" s="11">
        <v>1</v>
      </c>
      <c r="S44" s="11">
        <v>277</v>
      </c>
      <c r="T44" s="12">
        <v>12</v>
      </c>
      <c r="U44" s="12">
        <v>72</v>
      </c>
      <c r="V44" s="13">
        <v>9.2333333333333325</v>
      </c>
      <c r="W44" s="13">
        <v>61.55555555555555</v>
      </c>
      <c r="X44" s="13">
        <v>3.8472222222222223</v>
      </c>
      <c r="Y44" s="14">
        <v>2.4027777777777781</v>
      </c>
      <c r="Z44" s="15">
        <v>4.8</v>
      </c>
    </row>
    <row r="45" spans="1:26" ht="15.75" x14ac:dyDescent="0.25">
      <c r="A45" s="231"/>
      <c r="B45" s="266"/>
      <c r="C45" s="10"/>
      <c r="D45" s="21" t="s">
        <v>55</v>
      </c>
      <c r="E45" s="10">
        <v>30</v>
      </c>
      <c r="F45" s="10">
        <v>2</v>
      </c>
      <c r="G45" s="28">
        <v>1</v>
      </c>
      <c r="H45" s="11">
        <v>3</v>
      </c>
      <c r="I45" s="11">
        <v>5</v>
      </c>
      <c r="J45" s="11">
        <v>9</v>
      </c>
      <c r="K45" s="11">
        <v>0</v>
      </c>
      <c r="L45" s="11">
        <v>8</v>
      </c>
      <c r="M45" s="12">
        <v>1</v>
      </c>
      <c r="N45" s="11">
        <v>0</v>
      </c>
      <c r="O45" s="11">
        <v>1</v>
      </c>
      <c r="P45" s="12">
        <v>9</v>
      </c>
      <c r="Q45" s="11">
        <v>34</v>
      </c>
      <c r="R45" s="11">
        <v>0</v>
      </c>
      <c r="S45" s="11">
        <v>32</v>
      </c>
      <c r="T45" s="12">
        <v>0</v>
      </c>
      <c r="U45" s="12">
        <v>9</v>
      </c>
      <c r="V45" s="13">
        <v>1.0666666666666667</v>
      </c>
      <c r="W45" s="13">
        <v>53.333333333333336</v>
      </c>
      <c r="X45" s="13">
        <v>3.5555555555555554</v>
      </c>
      <c r="Y45" s="14">
        <v>3.1111111111111112</v>
      </c>
      <c r="Z45" s="15">
        <v>4.5</v>
      </c>
    </row>
    <row r="46" spans="1:26" ht="15.75" x14ac:dyDescent="0.25">
      <c r="A46" s="231"/>
      <c r="B46" s="266"/>
      <c r="C46" s="17" t="s">
        <v>54</v>
      </c>
      <c r="D46" s="16"/>
      <c r="E46" s="103">
        <v>30</v>
      </c>
      <c r="F46" s="17">
        <v>17</v>
      </c>
      <c r="G46" s="17">
        <v>5</v>
      </c>
      <c r="H46" s="17">
        <v>82</v>
      </c>
      <c r="I46" s="17">
        <v>21</v>
      </c>
      <c r="J46" s="17">
        <v>108</v>
      </c>
      <c r="K46" s="17">
        <v>15</v>
      </c>
      <c r="L46" s="17">
        <v>74</v>
      </c>
      <c r="M46" s="18">
        <v>7</v>
      </c>
      <c r="N46" s="17">
        <v>1</v>
      </c>
      <c r="O46" s="17">
        <v>6</v>
      </c>
      <c r="P46" s="18">
        <v>96</v>
      </c>
      <c r="Q46" s="17">
        <v>279</v>
      </c>
      <c r="R46" s="17">
        <v>1</v>
      </c>
      <c r="S46" s="17">
        <v>309</v>
      </c>
      <c r="T46" s="18">
        <v>12</v>
      </c>
      <c r="U46" s="18">
        <v>81</v>
      </c>
      <c r="V46" s="25">
        <v>10.3</v>
      </c>
      <c r="W46" s="19">
        <v>60.588235294117652</v>
      </c>
      <c r="X46" s="19">
        <v>3.8148148148148149</v>
      </c>
      <c r="Y46" s="20">
        <v>2.481481481481481</v>
      </c>
      <c r="Z46" s="20">
        <v>4.7647058823529411</v>
      </c>
    </row>
    <row r="47" spans="1:26" ht="15.75" customHeight="1" x14ac:dyDescent="0.25">
      <c r="A47" s="245">
        <v>13</v>
      </c>
      <c r="B47" s="266"/>
      <c r="C47" s="257" t="s">
        <v>56</v>
      </c>
      <c r="D47" s="22" t="s">
        <v>57</v>
      </c>
      <c r="E47" s="10">
        <v>30</v>
      </c>
      <c r="F47" s="11">
        <v>2</v>
      </c>
      <c r="G47" s="28">
        <v>0</v>
      </c>
      <c r="H47" s="11">
        <v>1</v>
      </c>
      <c r="I47" s="11">
        <v>3</v>
      </c>
      <c r="J47" s="11">
        <v>4</v>
      </c>
      <c r="K47" s="11">
        <v>2</v>
      </c>
      <c r="L47" s="11">
        <v>2</v>
      </c>
      <c r="M47" s="12">
        <v>0</v>
      </c>
      <c r="N47" s="11">
        <v>0</v>
      </c>
      <c r="O47" s="11">
        <v>0</v>
      </c>
      <c r="P47" s="12">
        <v>4</v>
      </c>
      <c r="Q47" s="11">
        <v>14</v>
      </c>
      <c r="R47" s="11">
        <v>0</v>
      </c>
      <c r="S47" s="11">
        <v>13</v>
      </c>
      <c r="T47" s="12">
        <v>0</v>
      </c>
      <c r="U47" s="12">
        <v>2</v>
      </c>
      <c r="V47" s="13">
        <v>0.43333333333333335</v>
      </c>
      <c r="W47" s="13">
        <v>21.666666666666668</v>
      </c>
      <c r="X47" s="13">
        <v>6.5</v>
      </c>
      <c r="Y47" s="14">
        <v>23.5</v>
      </c>
      <c r="Z47" s="15">
        <v>1</v>
      </c>
    </row>
    <row r="48" spans="1:26" ht="15.75" x14ac:dyDescent="0.25">
      <c r="A48" s="246"/>
      <c r="B48" s="266"/>
      <c r="C48" s="257"/>
      <c r="D48" s="99" t="s">
        <v>58</v>
      </c>
      <c r="E48" s="10">
        <v>30</v>
      </c>
      <c r="F48" s="26">
        <v>3</v>
      </c>
      <c r="G48" s="56">
        <v>0</v>
      </c>
      <c r="H48" s="26">
        <v>3</v>
      </c>
      <c r="I48" s="26">
        <v>3</v>
      </c>
      <c r="J48" s="11">
        <v>6</v>
      </c>
      <c r="K48" s="26">
        <v>4</v>
      </c>
      <c r="L48" s="26">
        <v>1</v>
      </c>
      <c r="M48" s="12">
        <v>1</v>
      </c>
      <c r="N48" s="26">
        <v>1</v>
      </c>
      <c r="O48" s="26">
        <v>0</v>
      </c>
      <c r="P48" s="12">
        <v>6</v>
      </c>
      <c r="Q48" s="26">
        <v>7</v>
      </c>
      <c r="R48" s="26">
        <v>0</v>
      </c>
      <c r="S48" s="26">
        <v>19</v>
      </c>
      <c r="T48" s="12">
        <v>0</v>
      </c>
      <c r="U48" s="12">
        <v>2</v>
      </c>
      <c r="V48" s="13">
        <v>0.6333333333333333</v>
      </c>
      <c r="W48" s="13">
        <v>21.111111111111111</v>
      </c>
      <c r="X48" s="13">
        <v>9.5</v>
      </c>
      <c r="Y48" s="14">
        <v>35.5</v>
      </c>
      <c r="Z48" s="15">
        <v>0.66666666666666663</v>
      </c>
    </row>
    <row r="49" spans="1:26" ht="15.75" x14ac:dyDescent="0.25">
      <c r="A49" s="246"/>
      <c r="B49" s="266"/>
      <c r="C49" s="257"/>
      <c r="D49" s="99" t="s">
        <v>59</v>
      </c>
      <c r="E49" s="10">
        <v>30</v>
      </c>
      <c r="F49" s="26">
        <v>2</v>
      </c>
      <c r="G49" s="56">
        <v>0</v>
      </c>
      <c r="H49" s="26">
        <v>2</v>
      </c>
      <c r="I49" s="26">
        <v>1</v>
      </c>
      <c r="J49" s="11">
        <v>3</v>
      </c>
      <c r="K49" s="26">
        <v>0</v>
      </c>
      <c r="L49" s="26">
        <v>2</v>
      </c>
      <c r="M49" s="12">
        <v>1</v>
      </c>
      <c r="N49" s="26">
        <v>0</v>
      </c>
      <c r="O49" s="26">
        <v>1</v>
      </c>
      <c r="P49" s="12">
        <v>3</v>
      </c>
      <c r="Q49" s="26">
        <v>23</v>
      </c>
      <c r="R49" s="26">
        <v>0</v>
      </c>
      <c r="S49" s="26">
        <v>28</v>
      </c>
      <c r="T49" s="12">
        <v>0</v>
      </c>
      <c r="U49" s="12">
        <v>3</v>
      </c>
      <c r="V49" s="13">
        <v>0.93333333333333335</v>
      </c>
      <c r="W49" s="13">
        <v>46.666666666666664</v>
      </c>
      <c r="X49" s="13">
        <v>9.3333333333333339</v>
      </c>
      <c r="Y49" s="14">
        <v>10.666666666666666</v>
      </c>
      <c r="Z49" s="15">
        <v>1.5</v>
      </c>
    </row>
    <row r="50" spans="1:26" ht="15.75" x14ac:dyDescent="0.25">
      <c r="A50" s="246"/>
      <c r="B50" s="266"/>
      <c r="C50" s="257"/>
      <c r="D50" s="99" t="s">
        <v>60</v>
      </c>
      <c r="E50" s="10">
        <v>30</v>
      </c>
      <c r="F50" s="26">
        <v>10</v>
      </c>
      <c r="G50" s="56">
        <v>4</v>
      </c>
      <c r="H50" s="26">
        <v>47</v>
      </c>
      <c r="I50" s="26">
        <v>9</v>
      </c>
      <c r="J50" s="11">
        <v>60</v>
      </c>
      <c r="K50" s="26">
        <v>3</v>
      </c>
      <c r="L50" s="26">
        <v>32</v>
      </c>
      <c r="M50" s="12">
        <v>17</v>
      </c>
      <c r="N50" s="26">
        <v>7</v>
      </c>
      <c r="O50" s="26">
        <v>10</v>
      </c>
      <c r="P50" s="12">
        <v>52</v>
      </c>
      <c r="Q50" s="26">
        <v>248</v>
      </c>
      <c r="R50" s="26">
        <v>1</v>
      </c>
      <c r="S50" s="26">
        <v>227</v>
      </c>
      <c r="T50" s="12">
        <v>8</v>
      </c>
      <c r="U50" s="12">
        <v>49</v>
      </c>
      <c r="V50" s="13">
        <v>7.5666666666666664</v>
      </c>
      <c r="W50" s="13">
        <v>75.666666666666657</v>
      </c>
      <c r="X50" s="13">
        <v>4.6326530612244898</v>
      </c>
      <c r="Y50" s="14">
        <v>1.489795918367347</v>
      </c>
      <c r="Z50" s="15">
        <v>4.9000000000000004</v>
      </c>
    </row>
    <row r="51" spans="1:26" ht="15.75" x14ac:dyDescent="0.25">
      <c r="A51" s="247"/>
      <c r="B51" s="266"/>
      <c r="C51" s="17" t="s">
        <v>61</v>
      </c>
      <c r="D51" s="16"/>
      <c r="E51" s="103">
        <v>30</v>
      </c>
      <c r="F51" s="17">
        <v>17</v>
      </c>
      <c r="G51" s="17">
        <v>4</v>
      </c>
      <c r="H51" s="17">
        <v>53</v>
      </c>
      <c r="I51" s="17">
        <v>16</v>
      </c>
      <c r="J51" s="17">
        <v>73</v>
      </c>
      <c r="K51" s="17">
        <v>9</v>
      </c>
      <c r="L51" s="17">
        <v>37</v>
      </c>
      <c r="M51" s="18">
        <v>19</v>
      </c>
      <c r="N51" s="17">
        <v>8</v>
      </c>
      <c r="O51" s="17">
        <v>11</v>
      </c>
      <c r="P51" s="18">
        <v>65</v>
      </c>
      <c r="Q51" s="17">
        <v>292</v>
      </c>
      <c r="R51" s="17">
        <v>1</v>
      </c>
      <c r="S51" s="17">
        <v>287</v>
      </c>
      <c r="T51" s="18">
        <v>8</v>
      </c>
      <c r="U51" s="18">
        <v>56</v>
      </c>
      <c r="V51" s="19">
        <v>9.5666666666666664</v>
      </c>
      <c r="W51" s="19">
        <v>56.274509803921568</v>
      </c>
      <c r="X51" s="19">
        <v>5.125</v>
      </c>
      <c r="Y51" s="20">
        <v>3.9821428571428572</v>
      </c>
      <c r="Z51" s="20">
        <v>3.2941176470588234</v>
      </c>
    </row>
    <row r="52" spans="1:26" ht="15.75" x14ac:dyDescent="0.25">
      <c r="A52" s="145"/>
      <c r="B52" s="266"/>
      <c r="C52" s="17"/>
      <c r="D52" s="16"/>
      <c r="E52" s="103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30</v>
      </c>
      <c r="F53" s="11">
        <v>8</v>
      </c>
      <c r="G53" s="28">
        <v>4</v>
      </c>
      <c r="H53" s="11">
        <v>32</v>
      </c>
      <c r="I53" s="11">
        <v>9</v>
      </c>
      <c r="J53" s="11">
        <v>45</v>
      </c>
      <c r="K53" s="11">
        <v>7</v>
      </c>
      <c r="L53" s="11">
        <v>30</v>
      </c>
      <c r="M53" s="12">
        <v>4</v>
      </c>
      <c r="N53" s="11">
        <v>2</v>
      </c>
      <c r="O53" s="11">
        <v>2</v>
      </c>
      <c r="P53" s="12">
        <v>41</v>
      </c>
      <c r="Q53" s="11">
        <v>102</v>
      </c>
      <c r="R53" s="11">
        <v>1</v>
      </c>
      <c r="S53" s="11">
        <v>104</v>
      </c>
      <c r="T53" s="12">
        <v>4</v>
      </c>
      <c r="U53" s="12">
        <v>34</v>
      </c>
      <c r="V53" s="13">
        <v>3.4666666666666668</v>
      </c>
      <c r="W53" s="24">
        <v>43.333333333333336</v>
      </c>
      <c r="X53" s="24">
        <v>3.0588235294117645</v>
      </c>
      <c r="Y53" s="23">
        <v>4</v>
      </c>
      <c r="Z53" s="24">
        <v>4.25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3">
        <v>30</v>
      </c>
      <c r="F54" s="17">
        <v>8</v>
      </c>
      <c r="G54" s="17">
        <v>4</v>
      </c>
      <c r="H54" s="17">
        <v>32</v>
      </c>
      <c r="I54" s="17">
        <v>9</v>
      </c>
      <c r="J54" s="17">
        <v>45</v>
      </c>
      <c r="K54" s="17">
        <v>7</v>
      </c>
      <c r="L54" s="17">
        <v>30</v>
      </c>
      <c r="M54" s="18">
        <v>4</v>
      </c>
      <c r="N54" s="17">
        <v>2</v>
      </c>
      <c r="O54" s="17">
        <v>2</v>
      </c>
      <c r="P54" s="18">
        <v>41</v>
      </c>
      <c r="Q54" s="17">
        <v>102</v>
      </c>
      <c r="R54" s="17">
        <v>1</v>
      </c>
      <c r="S54" s="17">
        <v>104</v>
      </c>
      <c r="T54" s="18">
        <v>4</v>
      </c>
      <c r="U54" s="18">
        <v>34</v>
      </c>
      <c r="V54" s="19">
        <v>3.4666666666666668</v>
      </c>
      <c r="W54" s="27">
        <v>43.333333333333336</v>
      </c>
      <c r="X54" s="27">
        <v>3.0588235294117645</v>
      </c>
      <c r="Y54" s="27">
        <v>4</v>
      </c>
      <c r="Z54" s="27">
        <v>4.25</v>
      </c>
    </row>
    <row r="55" spans="1:26" ht="15.75" x14ac:dyDescent="0.25">
      <c r="A55" s="59"/>
      <c r="B55" s="266"/>
      <c r="C55" s="17"/>
      <c r="D55" s="16"/>
      <c r="E55" s="103"/>
      <c r="F55" s="17"/>
      <c r="G55" s="17"/>
      <c r="H55" s="17"/>
      <c r="I55" s="17"/>
      <c r="J55" s="17"/>
      <c r="K55" s="17"/>
      <c r="L55" s="17"/>
      <c r="M55" s="18"/>
      <c r="N55" s="17"/>
      <c r="O55" s="17"/>
      <c r="P55" s="18"/>
      <c r="Q55" s="17"/>
      <c r="R55" s="17"/>
      <c r="S55" s="17"/>
      <c r="T55" s="18"/>
      <c r="U55" s="18"/>
      <c r="V55" s="19"/>
      <c r="W55" s="27"/>
      <c r="X55" s="27"/>
      <c r="Y55" s="27"/>
      <c r="Z55" s="27"/>
    </row>
    <row r="56" spans="1:26" ht="15.75" x14ac:dyDescent="0.25">
      <c r="A56" s="231">
        <v>15</v>
      </c>
      <c r="B56" s="266"/>
      <c r="C56" s="11" t="s">
        <v>63</v>
      </c>
      <c r="D56" s="22" t="s">
        <v>34</v>
      </c>
      <c r="E56" s="10">
        <v>30</v>
      </c>
      <c r="F56" s="11">
        <v>16</v>
      </c>
      <c r="G56" s="28">
        <v>16</v>
      </c>
      <c r="H56" s="11">
        <v>89</v>
      </c>
      <c r="I56" s="11">
        <v>23</v>
      </c>
      <c r="J56" s="11">
        <v>128</v>
      </c>
      <c r="K56" s="11">
        <v>7</v>
      </c>
      <c r="L56" s="11">
        <v>84</v>
      </c>
      <c r="M56" s="11">
        <v>23</v>
      </c>
      <c r="N56" s="11">
        <v>10</v>
      </c>
      <c r="O56" s="11">
        <v>13</v>
      </c>
      <c r="P56" s="11">
        <v>114</v>
      </c>
      <c r="Q56" s="11">
        <v>428</v>
      </c>
      <c r="R56" s="11">
        <v>1</v>
      </c>
      <c r="S56" s="11">
        <v>428</v>
      </c>
      <c r="T56" s="11">
        <v>14</v>
      </c>
      <c r="U56" s="11">
        <v>107</v>
      </c>
      <c r="V56" s="15">
        <v>14.266666666666667</v>
      </c>
      <c r="W56" s="15">
        <v>89.166666666666671</v>
      </c>
      <c r="X56" s="15">
        <v>4</v>
      </c>
      <c r="Y56" s="14">
        <v>0.48598130841121467</v>
      </c>
      <c r="Z56" s="15">
        <v>6.6875</v>
      </c>
    </row>
    <row r="57" spans="1:26" ht="15.75" x14ac:dyDescent="0.25">
      <c r="A57" s="231"/>
      <c r="B57" s="266"/>
      <c r="C57" s="17" t="s">
        <v>63</v>
      </c>
      <c r="D57" s="16"/>
      <c r="E57" s="103">
        <v>30</v>
      </c>
      <c r="F57" s="17">
        <v>16</v>
      </c>
      <c r="G57" s="17">
        <v>16</v>
      </c>
      <c r="H57" s="17">
        <v>89</v>
      </c>
      <c r="I57" s="17">
        <v>23</v>
      </c>
      <c r="J57" s="17">
        <v>128</v>
      </c>
      <c r="K57" s="17">
        <v>7</v>
      </c>
      <c r="L57" s="17">
        <v>84</v>
      </c>
      <c r="M57" s="17">
        <v>23</v>
      </c>
      <c r="N57" s="17">
        <v>10</v>
      </c>
      <c r="O57" s="17">
        <v>13</v>
      </c>
      <c r="P57" s="17">
        <v>114</v>
      </c>
      <c r="Q57" s="17">
        <v>428</v>
      </c>
      <c r="R57" s="17">
        <v>1</v>
      </c>
      <c r="S57" s="17">
        <v>428</v>
      </c>
      <c r="T57" s="17">
        <v>14</v>
      </c>
      <c r="U57" s="17">
        <v>107</v>
      </c>
      <c r="V57" s="20">
        <v>14.266666666666667</v>
      </c>
      <c r="W57" s="20">
        <v>89.166666666666671</v>
      </c>
      <c r="X57" s="20">
        <v>4</v>
      </c>
      <c r="Y57" s="20">
        <v>0.48598130841121467</v>
      </c>
      <c r="Z57" s="20">
        <v>6.6875</v>
      </c>
    </row>
    <row r="58" spans="1:26" ht="15.75" x14ac:dyDescent="0.25">
      <c r="A58" s="59"/>
      <c r="B58" s="266"/>
      <c r="C58" s="17"/>
      <c r="D58" s="16"/>
      <c r="E58" s="103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0"/>
      <c r="W58" s="20"/>
      <c r="X58" s="20"/>
      <c r="Y58" s="20"/>
      <c r="Z58" s="20"/>
    </row>
    <row r="59" spans="1:26" ht="15.75" x14ac:dyDescent="0.25">
      <c r="A59" s="253">
        <v>16</v>
      </c>
      <c r="B59" s="266"/>
      <c r="C59" s="10" t="s">
        <v>64</v>
      </c>
      <c r="D59" s="21" t="s">
        <v>48</v>
      </c>
      <c r="E59" s="10">
        <v>30</v>
      </c>
      <c r="F59" s="10">
        <v>2</v>
      </c>
      <c r="G59" s="28">
        <v>0</v>
      </c>
      <c r="H59" s="10">
        <v>3</v>
      </c>
      <c r="I59" s="10">
        <v>5</v>
      </c>
      <c r="J59" s="11">
        <v>8</v>
      </c>
      <c r="K59" s="10">
        <v>3</v>
      </c>
      <c r="L59" s="10">
        <v>4</v>
      </c>
      <c r="M59" s="11">
        <v>0</v>
      </c>
      <c r="N59" s="10">
        <v>0</v>
      </c>
      <c r="O59" s="10">
        <v>0</v>
      </c>
      <c r="P59" s="11">
        <v>7</v>
      </c>
      <c r="Q59" s="10">
        <v>25</v>
      </c>
      <c r="R59" s="10">
        <v>0</v>
      </c>
      <c r="S59" s="10">
        <v>15</v>
      </c>
      <c r="T59" s="12">
        <v>1</v>
      </c>
      <c r="U59" s="12">
        <v>4</v>
      </c>
      <c r="V59" s="13">
        <v>0.5</v>
      </c>
      <c r="W59" s="24">
        <v>25</v>
      </c>
      <c r="X59" s="24">
        <v>3.75</v>
      </c>
      <c r="Y59" s="23">
        <v>11.25</v>
      </c>
      <c r="Z59" s="24">
        <v>2</v>
      </c>
    </row>
    <row r="60" spans="1:26" ht="15.75" x14ac:dyDescent="0.25">
      <c r="A60" s="253"/>
      <c r="B60" s="266"/>
      <c r="C60" s="10"/>
      <c r="D60" s="21" t="s">
        <v>38</v>
      </c>
      <c r="E60" s="10">
        <v>30</v>
      </c>
      <c r="F60" s="10">
        <v>10</v>
      </c>
      <c r="G60" s="28">
        <v>4</v>
      </c>
      <c r="H60" s="10">
        <v>22</v>
      </c>
      <c r="I60" s="10">
        <v>114</v>
      </c>
      <c r="J60" s="11">
        <v>140</v>
      </c>
      <c r="K60" s="10">
        <v>115</v>
      </c>
      <c r="L60" s="10">
        <v>15</v>
      </c>
      <c r="M60" s="11">
        <v>0</v>
      </c>
      <c r="N60" s="10">
        <v>0</v>
      </c>
      <c r="O60" s="10">
        <v>0</v>
      </c>
      <c r="P60" s="11">
        <v>130</v>
      </c>
      <c r="Q60" s="10">
        <v>29</v>
      </c>
      <c r="R60" s="10">
        <v>0</v>
      </c>
      <c r="S60" s="10">
        <v>170</v>
      </c>
      <c r="T60" s="12">
        <v>10</v>
      </c>
      <c r="U60" s="12">
        <v>15</v>
      </c>
      <c r="V60" s="13">
        <v>5.666666666666667</v>
      </c>
      <c r="W60" s="24">
        <v>56.666666666666664</v>
      </c>
      <c r="X60" s="24">
        <v>11.333333333333334</v>
      </c>
      <c r="Y60" s="23">
        <v>8.6666666666666661</v>
      </c>
      <c r="Z60" s="24">
        <v>1.5</v>
      </c>
    </row>
    <row r="61" spans="1:26" ht="15.75" x14ac:dyDescent="0.25">
      <c r="A61" s="253"/>
      <c r="B61" s="266"/>
      <c r="C61" s="10"/>
      <c r="D61" s="21" t="s">
        <v>34</v>
      </c>
      <c r="E61" s="10">
        <v>30</v>
      </c>
      <c r="F61" s="10">
        <v>21</v>
      </c>
      <c r="G61" s="28">
        <v>10</v>
      </c>
      <c r="H61" s="10">
        <v>75</v>
      </c>
      <c r="I61" s="10">
        <v>234</v>
      </c>
      <c r="J61" s="11">
        <v>319</v>
      </c>
      <c r="K61" s="10">
        <v>38</v>
      </c>
      <c r="L61" s="10">
        <v>268</v>
      </c>
      <c r="M61" s="11">
        <v>0</v>
      </c>
      <c r="N61" s="10">
        <v>0</v>
      </c>
      <c r="O61" s="10">
        <v>0</v>
      </c>
      <c r="P61" s="11">
        <v>306</v>
      </c>
      <c r="Q61" s="10">
        <v>693</v>
      </c>
      <c r="R61" s="10">
        <v>1</v>
      </c>
      <c r="S61" s="10">
        <v>419</v>
      </c>
      <c r="T61" s="12">
        <v>13</v>
      </c>
      <c r="U61" s="12">
        <v>268</v>
      </c>
      <c r="V61" s="13">
        <v>13.966666666666667</v>
      </c>
      <c r="W61" s="24">
        <v>66.507936507936506</v>
      </c>
      <c r="X61" s="24">
        <v>1.5634328358208955</v>
      </c>
      <c r="Y61" s="23">
        <v>0.78731343283582089</v>
      </c>
      <c r="Z61" s="24">
        <v>12.761904761904763</v>
      </c>
    </row>
    <row r="62" spans="1:26" ht="25.5" customHeight="1" x14ac:dyDescent="0.25">
      <c r="A62" s="253"/>
      <c r="B62" s="266"/>
      <c r="C62" s="17" t="s">
        <v>64</v>
      </c>
      <c r="D62" s="16"/>
      <c r="E62" s="103">
        <v>30</v>
      </c>
      <c r="F62" s="17">
        <v>33</v>
      </c>
      <c r="G62" s="17">
        <v>14</v>
      </c>
      <c r="H62" s="17">
        <v>100</v>
      </c>
      <c r="I62" s="17">
        <v>353</v>
      </c>
      <c r="J62" s="17">
        <v>467</v>
      </c>
      <c r="K62" s="17">
        <v>156</v>
      </c>
      <c r="L62" s="17">
        <v>287</v>
      </c>
      <c r="M62" s="17">
        <v>0</v>
      </c>
      <c r="N62" s="17">
        <v>0</v>
      </c>
      <c r="O62" s="17">
        <v>0</v>
      </c>
      <c r="P62" s="17">
        <v>443</v>
      </c>
      <c r="Q62" s="17">
        <v>747</v>
      </c>
      <c r="R62" s="17">
        <v>1</v>
      </c>
      <c r="S62" s="17">
        <v>604</v>
      </c>
      <c r="T62" s="17">
        <v>24</v>
      </c>
      <c r="U62" s="17">
        <v>287</v>
      </c>
      <c r="V62" s="20">
        <v>20.133333333333333</v>
      </c>
      <c r="W62" s="20">
        <v>61.010101010101003</v>
      </c>
      <c r="X62" s="20">
        <v>2.1045296167247387</v>
      </c>
      <c r="Y62" s="20">
        <v>1.3449477351916377</v>
      </c>
      <c r="Z62" s="20">
        <v>8.6969696969696972</v>
      </c>
    </row>
    <row r="63" spans="1:26" ht="15.75" x14ac:dyDescent="0.25">
      <c r="A63" s="253">
        <v>17</v>
      </c>
      <c r="B63" s="266"/>
      <c r="C63" s="11" t="s">
        <v>81</v>
      </c>
      <c r="D63" s="21" t="s">
        <v>38</v>
      </c>
      <c r="E63" s="10">
        <v>30</v>
      </c>
      <c r="F63" s="10">
        <v>2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323"/>
      <c r="C64" s="17" t="s">
        <v>81</v>
      </c>
      <c r="D64" s="16" t="s">
        <v>38</v>
      </c>
      <c r="E64" s="103">
        <v>30</v>
      </c>
      <c r="F64" s="17">
        <v>2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>
        <v>0</v>
      </c>
      <c r="X64" s="20" t="e">
        <v>#DIV/0!</v>
      </c>
      <c r="Y64" s="20" t="e">
        <v>#DIV/0!</v>
      </c>
      <c r="Z64" s="20">
        <v>0</v>
      </c>
    </row>
    <row r="65" spans="1:26" ht="15.75" x14ac:dyDescent="0.25">
      <c r="A65" s="255" t="s">
        <v>65</v>
      </c>
      <c r="B65" s="255"/>
      <c r="C65" s="255"/>
      <c r="D65" s="255"/>
      <c r="E65" s="28">
        <v>30</v>
      </c>
      <c r="F65" s="29">
        <v>311</v>
      </c>
      <c r="G65" s="29">
        <v>108</v>
      </c>
      <c r="H65" s="29">
        <v>1556</v>
      </c>
      <c r="I65" s="29">
        <v>631</v>
      </c>
      <c r="J65" s="28">
        <v>2295</v>
      </c>
      <c r="K65" s="29">
        <v>368</v>
      </c>
      <c r="L65" s="29">
        <v>1540</v>
      </c>
      <c r="M65" s="28">
        <v>166</v>
      </c>
      <c r="N65" s="29">
        <v>92</v>
      </c>
      <c r="O65" s="29">
        <v>74</v>
      </c>
      <c r="P65" s="28">
        <v>2074</v>
      </c>
      <c r="Q65" s="29">
        <v>5878</v>
      </c>
      <c r="R65" s="29">
        <v>48</v>
      </c>
      <c r="S65" s="29">
        <v>6296</v>
      </c>
      <c r="T65" s="28">
        <v>221</v>
      </c>
      <c r="U65" s="28">
        <v>1706</v>
      </c>
      <c r="V65" s="30">
        <v>209.86666666666667</v>
      </c>
      <c r="W65" s="30">
        <v>67.481243301178992</v>
      </c>
      <c r="X65" s="30">
        <v>3.6905041031652988</v>
      </c>
      <c r="Y65" s="30">
        <v>1.7784290738569755</v>
      </c>
      <c r="Z65" s="30">
        <v>5.485530546623794</v>
      </c>
    </row>
    <row r="66" spans="1:26" ht="15.75" x14ac:dyDescent="0.25">
      <c r="A66" s="31"/>
      <c r="B66" s="108"/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x14ac:dyDescent="0.25">
      <c r="A67" s="33" t="s">
        <v>66</v>
      </c>
      <c r="B67" s="34"/>
      <c r="C67" s="32"/>
      <c r="D67" s="32"/>
      <c r="E67" s="1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customHeight="1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23</v>
      </c>
      <c r="X68" s="8" t="s">
        <v>24</v>
      </c>
      <c r="Y68" s="8" t="s">
        <v>25</v>
      </c>
      <c r="Z68" s="8" t="s">
        <v>26</v>
      </c>
    </row>
    <row r="69" spans="1:26" ht="15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.75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30</v>
      </c>
      <c r="F72" s="11">
        <v>2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>
        <v>0</v>
      </c>
      <c r="X72" s="35" t="e">
        <v>#DIV/0!</v>
      </c>
      <c r="Y72" s="36" t="e">
        <v>#DIV/0!</v>
      </c>
      <c r="Z72" s="35">
        <v>0</v>
      </c>
    </row>
    <row r="73" spans="1:26" ht="15.75" x14ac:dyDescent="0.25">
      <c r="A73" s="247"/>
      <c r="B73" s="246"/>
      <c r="C73" s="17" t="s">
        <v>69</v>
      </c>
      <c r="D73" s="17"/>
      <c r="E73" s="103">
        <v>30</v>
      </c>
      <c r="F73" s="17">
        <v>2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>
        <v>0</v>
      </c>
    </row>
    <row r="74" spans="1:26" ht="15.75" x14ac:dyDescent="0.25">
      <c r="A74" s="245">
        <v>2</v>
      </c>
      <c r="B74" s="246"/>
      <c r="C74" s="11" t="s">
        <v>70</v>
      </c>
      <c r="D74" s="11" t="s">
        <v>48</v>
      </c>
      <c r="E74" s="10">
        <v>30</v>
      </c>
      <c r="F74" s="11">
        <v>2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>
        <v>0</v>
      </c>
      <c r="X74" s="15" t="e">
        <v>#DIV/0!</v>
      </c>
      <c r="Y74" s="14" t="e">
        <v>#DIV/0!</v>
      </c>
      <c r="Z74" s="15">
        <v>0</v>
      </c>
    </row>
    <row r="75" spans="1:26" ht="15.75" x14ac:dyDescent="0.25">
      <c r="A75" s="247"/>
      <c r="B75" s="246"/>
      <c r="C75" s="17" t="s">
        <v>70</v>
      </c>
      <c r="D75" s="17"/>
      <c r="E75" s="103">
        <v>30</v>
      </c>
      <c r="F75" s="17">
        <v>2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>
        <v>0</v>
      </c>
      <c r="X75" s="20" t="e">
        <v>#DIV/0!</v>
      </c>
      <c r="Y75" s="20" t="e">
        <v>#DIV/0!</v>
      </c>
      <c r="Z75" s="20">
        <v>0</v>
      </c>
    </row>
    <row r="76" spans="1:26" ht="15.75" x14ac:dyDescent="0.25">
      <c r="A76" s="245">
        <v>3</v>
      </c>
      <c r="B76" s="246"/>
      <c r="C76" s="11" t="s">
        <v>63</v>
      </c>
      <c r="D76" s="11"/>
      <c r="E76" s="10">
        <v>30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x14ac:dyDescent="0.25">
      <c r="A77" s="247"/>
      <c r="B77" s="247"/>
      <c r="C77" s="17" t="s">
        <v>63</v>
      </c>
      <c r="D77" s="17"/>
      <c r="E77" s="103">
        <v>30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x14ac:dyDescent="0.25">
      <c r="A78" s="105" t="s">
        <v>71</v>
      </c>
      <c r="B78" s="105"/>
      <c r="C78" s="105"/>
      <c r="D78" s="105"/>
      <c r="E78" s="28">
        <v>30</v>
      </c>
      <c r="F78" s="29">
        <v>4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>
        <v>0</v>
      </c>
      <c r="X78" s="30" t="e">
        <v>#DIV/0!</v>
      </c>
      <c r="Y78" s="30" t="e">
        <v>#DIV/0!</v>
      </c>
      <c r="Z78" s="30">
        <v>0</v>
      </c>
    </row>
    <row r="79" spans="1:26" ht="18.75" x14ac:dyDescent="0.25">
      <c r="A79" s="106"/>
      <c r="B79" s="106"/>
      <c r="C79" s="106"/>
      <c r="D79" s="106"/>
      <c r="E79" s="1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23</v>
      </c>
      <c r="X80" s="8" t="s">
        <v>24</v>
      </c>
      <c r="Y80" s="8" t="s">
        <v>25</v>
      </c>
      <c r="Z80" s="8" t="s">
        <v>26</v>
      </c>
    </row>
    <row r="81" spans="1:26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26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26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.75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30</v>
      </c>
      <c r="F84" s="10">
        <v>18</v>
      </c>
      <c r="G84" s="10">
        <v>19</v>
      </c>
      <c r="H84" s="10">
        <v>164</v>
      </c>
      <c r="I84" s="10">
        <v>25</v>
      </c>
      <c r="J84" s="11">
        <v>208</v>
      </c>
      <c r="K84" s="10">
        <v>71</v>
      </c>
      <c r="L84" s="10">
        <v>98</v>
      </c>
      <c r="M84" s="11">
        <v>13</v>
      </c>
      <c r="N84" s="10">
        <v>6</v>
      </c>
      <c r="O84" s="10">
        <v>7</v>
      </c>
      <c r="P84" s="11">
        <v>182</v>
      </c>
      <c r="Q84" s="10">
        <v>651</v>
      </c>
      <c r="R84" s="10">
        <v>2</v>
      </c>
      <c r="S84" s="10">
        <v>707</v>
      </c>
      <c r="T84" s="11">
        <v>26</v>
      </c>
      <c r="U84" s="11">
        <v>111</v>
      </c>
      <c r="V84" s="15">
        <v>23.566666666666666</v>
      </c>
      <c r="W84" s="15">
        <v>130.92592592592592</v>
      </c>
      <c r="X84" s="15">
        <v>6.3693693693693696</v>
      </c>
      <c r="Y84" s="14">
        <v>-1.5045045045045045</v>
      </c>
      <c r="Z84" s="15">
        <v>6.166666666666667</v>
      </c>
    </row>
    <row r="85" spans="1:26" ht="15.75" x14ac:dyDescent="0.25">
      <c r="A85" s="247"/>
      <c r="B85" s="246"/>
      <c r="C85" s="17" t="s">
        <v>69</v>
      </c>
      <c r="D85" s="17"/>
      <c r="E85" s="103">
        <v>30</v>
      </c>
      <c r="F85" s="41">
        <v>18</v>
      </c>
      <c r="G85" s="17">
        <v>19</v>
      </c>
      <c r="H85" s="17">
        <v>164</v>
      </c>
      <c r="I85" s="17">
        <v>25</v>
      </c>
      <c r="J85" s="17">
        <v>208</v>
      </c>
      <c r="K85" s="17">
        <v>71</v>
      </c>
      <c r="L85" s="17">
        <v>98</v>
      </c>
      <c r="M85" s="17">
        <v>13</v>
      </c>
      <c r="N85" s="17">
        <v>6</v>
      </c>
      <c r="O85" s="17">
        <v>7</v>
      </c>
      <c r="P85" s="17">
        <v>182</v>
      </c>
      <c r="Q85" s="17">
        <v>651</v>
      </c>
      <c r="R85" s="17">
        <v>2</v>
      </c>
      <c r="S85" s="17">
        <v>707</v>
      </c>
      <c r="T85" s="17">
        <v>26</v>
      </c>
      <c r="U85" s="17">
        <v>111</v>
      </c>
      <c r="V85" s="20">
        <v>23.566666666666666</v>
      </c>
      <c r="W85" s="20">
        <v>130.92592592592592</v>
      </c>
      <c r="X85" s="20">
        <v>6.3693693693693696</v>
      </c>
      <c r="Y85" s="20">
        <v>-1.5045045045045045</v>
      </c>
      <c r="Z85" s="20">
        <v>6.166666666666667</v>
      </c>
    </row>
    <row r="86" spans="1:26" ht="15.75" x14ac:dyDescent="0.25">
      <c r="A86" s="141"/>
      <c r="B86" s="246"/>
      <c r="C86" s="112"/>
      <c r="D86" s="17"/>
      <c r="E86" s="103"/>
      <c r="F86" s="4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20"/>
      <c r="W86" s="20"/>
      <c r="X86" s="20"/>
      <c r="Y86" s="20"/>
      <c r="Z86" s="20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30</v>
      </c>
      <c r="F87" s="10">
        <v>2</v>
      </c>
      <c r="G87" s="11">
        <v>0</v>
      </c>
      <c r="H87" s="11">
        <v>0</v>
      </c>
      <c r="I87" s="11">
        <v>1</v>
      </c>
      <c r="J87" s="11">
        <v>1</v>
      </c>
      <c r="K87" s="11">
        <v>0</v>
      </c>
      <c r="L87" s="11">
        <v>1</v>
      </c>
      <c r="M87" s="11">
        <v>0</v>
      </c>
      <c r="N87" s="11">
        <v>0</v>
      </c>
      <c r="O87" s="11">
        <v>0</v>
      </c>
      <c r="P87" s="11">
        <v>1</v>
      </c>
      <c r="Q87" s="11">
        <v>2</v>
      </c>
      <c r="R87" s="11">
        <v>0</v>
      </c>
      <c r="S87" s="11">
        <v>1</v>
      </c>
      <c r="T87" s="11">
        <v>0</v>
      </c>
      <c r="U87" s="11">
        <v>1</v>
      </c>
      <c r="V87" s="15">
        <v>3.3333333333333333E-2</v>
      </c>
      <c r="W87" s="15">
        <v>1.6666666666666667</v>
      </c>
      <c r="X87" s="15">
        <v>1</v>
      </c>
      <c r="Y87" s="14">
        <v>59</v>
      </c>
      <c r="Z87" s="15">
        <v>0.5</v>
      </c>
    </row>
    <row r="88" spans="1:26" ht="15.75" x14ac:dyDescent="0.25">
      <c r="A88" s="246"/>
      <c r="B88" s="246"/>
      <c r="C88" s="249"/>
      <c r="D88" s="10" t="s">
        <v>38</v>
      </c>
      <c r="E88" s="10">
        <v>30</v>
      </c>
      <c r="F88" s="10">
        <v>4</v>
      </c>
      <c r="G88" s="11">
        <v>0</v>
      </c>
      <c r="H88" s="11">
        <v>0</v>
      </c>
      <c r="I88" s="11">
        <v>50</v>
      </c>
      <c r="J88" s="11">
        <v>50</v>
      </c>
      <c r="K88" s="11">
        <v>40</v>
      </c>
      <c r="L88" s="11">
        <v>5</v>
      </c>
      <c r="M88" s="11">
        <v>0</v>
      </c>
      <c r="N88" s="11">
        <v>0</v>
      </c>
      <c r="O88" s="11">
        <v>0</v>
      </c>
      <c r="P88" s="11">
        <v>45</v>
      </c>
      <c r="Q88" s="11">
        <v>5</v>
      </c>
      <c r="R88" s="11">
        <v>0</v>
      </c>
      <c r="S88" s="11">
        <v>52</v>
      </c>
      <c r="T88" s="11">
        <v>5</v>
      </c>
      <c r="U88" s="11">
        <v>5</v>
      </c>
      <c r="V88" s="15">
        <v>1.7333333333333334</v>
      </c>
      <c r="W88" s="15">
        <v>43.333333333333336</v>
      </c>
      <c r="X88" s="15">
        <v>10.4</v>
      </c>
      <c r="Y88" s="14">
        <v>13.6</v>
      </c>
      <c r="Z88" s="15">
        <v>1.25</v>
      </c>
    </row>
    <row r="89" spans="1:26" ht="15.75" x14ac:dyDescent="0.25">
      <c r="A89" s="246"/>
      <c r="B89" s="246"/>
      <c r="C89" s="250"/>
      <c r="D89" s="10" t="s">
        <v>34</v>
      </c>
      <c r="E89" s="10">
        <v>30</v>
      </c>
      <c r="F89" s="10">
        <v>10</v>
      </c>
      <c r="G89" s="11">
        <v>2</v>
      </c>
      <c r="H89" s="11">
        <v>2</v>
      </c>
      <c r="I89" s="11">
        <v>100</v>
      </c>
      <c r="J89" s="11">
        <v>104</v>
      </c>
      <c r="K89" s="11">
        <v>3</v>
      </c>
      <c r="L89" s="11">
        <v>98</v>
      </c>
      <c r="M89" s="11">
        <v>0</v>
      </c>
      <c r="N89" s="11">
        <v>0</v>
      </c>
      <c r="O89" s="11">
        <v>0</v>
      </c>
      <c r="P89" s="11">
        <v>101</v>
      </c>
      <c r="Q89" s="11">
        <v>154</v>
      </c>
      <c r="R89" s="11">
        <v>0</v>
      </c>
      <c r="S89" s="11">
        <v>112</v>
      </c>
      <c r="T89" s="11">
        <v>3</v>
      </c>
      <c r="U89" s="11">
        <v>98</v>
      </c>
      <c r="V89" s="15">
        <v>3.7333333333333334</v>
      </c>
      <c r="W89" s="15">
        <v>37.333333333333336</v>
      </c>
      <c r="X89" s="15">
        <v>1.1428571428571428</v>
      </c>
      <c r="Y89" s="14">
        <v>1.9183673469387754</v>
      </c>
      <c r="Z89" s="15">
        <v>9.8000000000000007</v>
      </c>
    </row>
    <row r="90" spans="1:26" ht="15.75" x14ac:dyDescent="0.25">
      <c r="A90" s="247"/>
      <c r="B90" s="247"/>
      <c r="C90" s="17" t="s">
        <v>73</v>
      </c>
      <c r="D90" s="17"/>
      <c r="E90" s="103">
        <v>30</v>
      </c>
      <c r="F90" s="17">
        <v>16</v>
      </c>
      <c r="G90" s="17">
        <v>2</v>
      </c>
      <c r="H90" s="17">
        <v>2</v>
      </c>
      <c r="I90" s="17">
        <v>151</v>
      </c>
      <c r="J90" s="17">
        <v>155</v>
      </c>
      <c r="K90" s="17">
        <v>43</v>
      </c>
      <c r="L90" s="17">
        <v>104</v>
      </c>
      <c r="M90" s="17">
        <v>0</v>
      </c>
      <c r="N90" s="17">
        <v>0</v>
      </c>
      <c r="O90" s="17">
        <v>0</v>
      </c>
      <c r="P90" s="17">
        <v>147</v>
      </c>
      <c r="Q90" s="17">
        <v>161</v>
      </c>
      <c r="R90" s="17">
        <v>0</v>
      </c>
      <c r="S90" s="17">
        <v>165</v>
      </c>
      <c r="T90" s="17">
        <v>8</v>
      </c>
      <c r="U90" s="17">
        <v>104</v>
      </c>
      <c r="V90" s="20">
        <v>5.5</v>
      </c>
      <c r="W90" s="20">
        <v>34.375</v>
      </c>
      <c r="X90" s="20">
        <v>1.5865384615384615</v>
      </c>
      <c r="Y90" s="20">
        <v>3.0288461538461537</v>
      </c>
      <c r="Z90" s="20">
        <v>6.5</v>
      </c>
    </row>
    <row r="91" spans="1:26" ht="15.75" x14ac:dyDescent="0.25">
      <c r="A91" s="105" t="s">
        <v>74</v>
      </c>
      <c r="B91" s="105"/>
      <c r="C91" s="105"/>
      <c r="D91" s="105"/>
      <c r="E91" s="28">
        <v>30</v>
      </c>
      <c r="F91" s="29">
        <v>34</v>
      </c>
      <c r="G91" s="29">
        <v>21</v>
      </c>
      <c r="H91" s="29">
        <v>166</v>
      </c>
      <c r="I91" s="29">
        <v>176</v>
      </c>
      <c r="J91" s="28">
        <v>363</v>
      </c>
      <c r="K91" s="29">
        <v>114</v>
      </c>
      <c r="L91" s="29">
        <v>202</v>
      </c>
      <c r="M91" s="28">
        <v>13</v>
      </c>
      <c r="N91" s="29">
        <v>6</v>
      </c>
      <c r="O91" s="29">
        <v>7</v>
      </c>
      <c r="P91" s="28">
        <v>329</v>
      </c>
      <c r="Q91" s="29">
        <v>812</v>
      </c>
      <c r="R91" s="29">
        <v>2</v>
      </c>
      <c r="S91" s="29">
        <v>872</v>
      </c>
      <c r="T91" s="28">
        <v>34</v>
      </c>
      <c r="U91" s="28">
        <v>215</v>
      </c>
      <c r="V91" s="29">
        <v>29.066666666666666</v>
      </c>
      <c r="W91" s="30">
        <v>85.490196078431367</v>
      </c>
      <c r="X91" s="30">
        <v>4.0558139534883724</v>
      </c>
      <c r="Y91" s="30">
        <v>0.68837209302325586</v>
      </c>
      <c r="Z91" s="30">
        <v>6.3235294117647056</v>
      </c>
    </row>
    <row r="92" spans="1:26" ht="15.75" x14ac:dyDescent="0.25">
      <c r="A92" s="31"/>
      <c r="D92" s="32"/>
      <c r="E92" s="10"/>
      <c r="G92">
        <v>37</v>
      </c>
    </row>
    <row r="93" spans="1:26" ht="15" customHeight="1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23</v>
      </c>
      <c r="X93" s="8" t="s">
        <v>24</v>
      </c>
      <c r="Y93" s="8" t="s">
        <v>25</v>
      </c>
      <c r="Z93" s="8" t="s">
        <v>26</v>
      </c>
    </row>
    <row r="94" spans="1:26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26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26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6" ht="15.75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30</v>
      </c>
      <c r="F97" s="10">
        <v>14</v>
      </c>
      <c r="G97" s="11">
        <v>10</v>
      </c>
      <c r="H97" s="11">
        <v>9</v>
      </c>
      <c r="I97" s="11">
        <v>98</v>
      </c>
      <c r="J97" s="11">
        <v>117</v>
      </c>
      <c r="K97" s="11">
        <v>91</v>
      </c>
      <c r="L97" s="11">
        <v>0</v>
      </c>
      <c r="M97" s="11">
        <v>18</v>
      </c>
      <c r="N97" s="11">
        <v>4</v>
      </c>
      <c r="O97" s="11">
        <v>14</v>
      </c>
      <c r="P97" s="11">
        <v>109</v>
      </c>
      <c r="Q97" s="11">
        <v>130</v>
      </c>
      <c r="R97" s="11">
        <v>1</v>
      </c>
      <c r="S97" s="11">
        <v>252</v>
      </c>
      <c r="T97" s="11">
        <v>8</v>
      </c>
      <c r="U97" s="11">
        <v>18</v>
      </c>
      <c r="V97" s="15">
        <v>8.4</v>
      </c>
      <c r="W97" s="15">
        <v>60</v>
      </c>
      <c r="X97" s="15">
        <v>14</v>
      </c>
      <c r="Y97" s="14">
        <v>9.3333333333333339</v>
      </c>
      <c r="Z97" s="15">
        <v>1.2857142857142858</v>
      </c>
    </row>
    <row r="98" spans="1:26" ht="15.75" hidden="1" x14ac:dyDescent="0.25">
      <c r="A98" s="247"/>
      <c r="B98" s="260"/>
      <c r="C98" s="17" t="s">
        <v>76</v>
      </c>
      <c r="D98" s="17" t="s">
        <v>48</v>
      </c>
      <c r="E98" s="103">
        <v>30</v>
      </c>
      <c r="F98" s="17">
        <v>14</v>
      </c>
      <c r="G98" s="17">
        <v>10</v>
      </c>
      <c r="H98" s="17">
        <v>9</v>
      </c>
      <c r="I98" s="17">
        <v>98</v>
      </c>
      <c r="J98" s="17">
        <v>117</v>
      </c>
      <c r="K98" s="17">
        <v>91</v>
      </c>
      <c r="L98" s="17">
        <v>0</v>
      </c>
      <c r="M98" s="17">
        <v>18</v>
      </c>
      <c r="N98" s="17">
        <v>4</v>
      </c>
      <c r="O98" s="17">
        <v>14</v>
      </c>
      <c r="P98" s="17">
        <v>109</v>
      </c>
      <c r="Q98" s="17">
        <v>130</v>
      </c>
      <c r="R98" s="17">
        <v>1</v>
      </c>
      <c r="S98" s="17">
        <v>252</v>
      </c>
      <c r="T98" s="17">
        <v>8</v>
      </c>
      <c r="U98" s="17">
        <v>18</v>
      </c>
      <c r="V98" s="20">
        <v>8.4</v>
      </c>
      <c r="W98" s="20">
        <v>60</v>
      </c>
      <c r="X98" s="20">
        <v>14</v>
      </c>
      <c r="Y98" s="20">
        <v>9.3333333333333339</v>
      </c>
      <c r="Z98" s="20">
        <v>1.2857142857142858</v>
      </c>
    </row>
    <row r="99" spans="1:26" ht="15.75" x14ac:dyDescent="0.25">
      <c r="A99" s="245">
        <v>2</v>
      </c>
      <c r="B99" s="260"/>
      <c r="C99" s="10" t="s">
        <v>77</v>
      </c>
      <c r="D99" s="10" t="s">
        <v>48</v>
      </c>
      <c r="E99" s="10">
        <v>30</v>
      </c>
      <c r="F99" s="10">
        <v>5</v>
      </c>
      <c r="G99" s="11">
        <v>1</v>
      </c>
      <c r="H99" s="11">
        <v>58</v>
      </c>
      <c r="I99" s="11">
        <v>13</v>
      </c>
      <c r="J99" s="11">
        <v>72</v>
      </c>
      <c r="K99" s="11">
        <v>61</v>
      </c>
      <c r="L99" s="11">
        <v>0</v>
      </c>
      <c r="M99" s="11">
        <v>6</v>
      </c>
      <c r="N99" s="11">
        <v>6</v>
      </c>
      <c r="O99" s="11">
        <v>0</v>
      </c>
      <c r="P99" s="11">
        <v>67</v>
      </c>
      <c r="Q99" s="11">
        <v>6</v>
      </c>
      <c r="R99" s="11">
        <v>1</v>
      </c>
      <c r="S99" s="11">
        <v>102</v>
      </c>
      <c r="T99" s="11">
        <v>5</v>
      </c>
      <c r="U99" s="11">
        <v>6</v>
      </c>
      <c r="V99" s="15">
        <v>3.4</v>
      </c>
      <c r="W99" s="15">
        <v>68</v>
      </c>
      <c r="X99" s="15">
        <v>17</v>
      </c>
      <c r="Y99" s="14">
        <v>8</v>
      </c>
      <c r="Z99" s="15">
        <v>1.2</v>
      </c>
    </row>
    <row r="100" spans="1:26" ht="15.75" hidden="1" x14ac:dyDescent="0.25">
      <c r="A100" s="247"/>
      <c r="B100" s="260"/>
      <c r="C100" s="17" t="s">
        <v>77</v>
      </c>
      <c r="D100" s="17" t="s">
        <v>48</v>
      </c>
      <c r="E100" s="103">
        <v>30</v>
      </c>
      <c r="F100" s="17">
        <v>5</v>
      </c>
      <c r="G100" s="17">
        <v>1</v>
      </c>
      <c r="H100" s="17">
        <v>58</v>
      </c>
      <c r="I100" s="17">
        <v>13</v>
      </c>
      <c r="J100" s="17">
        <v>72</v>
      </c>
      <c r="K100" s="17">
        <v>61</v>
      </c>
      <c r="L100" s="17">
        <v>0</v>
      </c>
      <c r="M100" s="17">
        <v>6</v>
      </c>
      <c r="N100" s="17">
        <v>6</v>
      </c>
      <c r="O100" s="17">
        <v>0</v>
      </c>
      <c r="P100" s="17">
        <v>67</v>
      </c>
      <c r="Q100" s="17">
        <v>6</v>
      </c>
      <c r="R100" s="17">
        <v>1</v>
      </c>
      <c r="S100" s="17">
        <v>102</v>
      </c>
      <c r="T100" s="17">
        <v>5</v>
      </c>
      <c r="U100" s="17">
        <v>6</v>
      </c>
      <c r="V100" s="20">
        <v>3.4</v>
      </c>
      <c r="W100" s="20">
        <v>68</v>
      </c>
      <c r="X100" s="20">
        <v>17</v>
      </c>
      <c r="Y100" s="20">
        <v>8</v>
      </c>
      <c r="Z100" s="20">
        <v>1.2</v>
      </c>
    </row>
    <row r="101" spans="1:26" ht="15.75" x14ac:dyDescent="0.25">
      <c r="A101" s="245">
        <v>3</v>
      </c>
      <c r="B101" s="260"/>
      <c r="C101" s="10" t="s">
        <v>78</v>
      </c>
      <c r="D101" s="10" t="s">
        <v>48</v>
      </c>
      <c r="E101" s="10">
        <v>30</v>
      </c>
      <c r="F101" s="10">
        <v>3</v>
      </c>
      <c r="G101" s="43">
        <v>2</v>
      </c>
      <c r="H101" s="43">
        <v>12</v>
      </c>
      <c r="I101" s="43">
        <v>9</v>
      </c>
      <c r="J101" s="11">
        <v>23</v>
      </c>
      <c r="K101" s="43">
        <v>15</v>
      </c>
      <c r="L101" s="43">
        <v>0</v>
      </c>
      <c r="M101" s="11">
        <v>5</v>
      </c>
      <c r="N101" s="43">
        <v>3</v>
      </c>
      <c r="O101" s="43">
        <v>2</v>
      </c>
      <c r="P101" s="11">
        <v>20</v>
      </c>
      <c r="Q101" s="43">
        <v>11</v>
      </c>
      <c r="R101" s="43">
        <v>0</v>
      </c>
      <c r="S101" s="43">
        <v>50</v>
      </c>
      <c r="T101" s="11">
        <v>3</v>
      </c>
      <c r="U101" s="11">
        <v>5</v>
      </c>
      <c r="V101" s="15">
        <v>1.6666666666666667</v>
      </c>
      <c r="W101" s="15">
        <v>55.555555555555557</v>
      </c>
      <c r="X101" s="15">
        <v>10</v>
      </c>
      <c r="Y101" s="14">
        <v>8</v>
      </c>
      <c r="Z101" s="15">
        <v>1.6666666666666667</v>
      </c>
    </row>
    <row r="102" spans="1:26" ht="15.75" hidden="1" x14ac:dyDescent="0.25">
      <c r="A102" s="247"/>
      <c r="B102" s="260"/>
      <c r="C102" s="17" t="s">
        <v>78</v>
      </c>
      <c r="D102" s="17" t="s">
        <v>48</v>
      </c>
      <c r="E102" s="103">
        <v>30</v>
      </c>
      <c r="F102" s="17">
        <v>3</v>
      </c>
      <c r="G102" s="17">
        <v>2</v>
      </c>
      <c r="H102" s="17">
        <v>12</v>
      </c>
      <c r="I102" s="17">
        <v>9</v>
      </c>
      <c r="J102" s="17">
        <v>23</v>
      </c>
      <c r="K102" s="17">
        <v>15</v>
      </c>
      <c r="L102" s="17">
        <v>0</v>
      </c>
      <c r="M102" s="17">
        <v>5</v>
      </c>
      <c r="N102" s="17">
        <v>3</v>
      </c>
      <c r="O102" s="17">
        <v>2</v>
      </c>
      <c r="P102" s="17">
        <v>20</v>
      </c>
      <c r="Q102" s="17">
        <v>11</v>
      </c>
      <c r="R102" s="17">
        <v>0</v>
      </c>
      <c r="S102" s="17">
        <v>50</v>
      </c>
      <c r="T102" s="17">
        <v>3</v>
      </c>
      <c r="U102" s="17">
        <v>5</v>
      </c>
      <c r="V102" s="20">
        <v>1.6666666666666667</v>
      </c>
      <c r="W102" s="20">
        <v>55.555555555555557</v>
      </c>
      <c r="X102" s="20">
        <v>10</v>
      </c>
      <c r="Y102" s="20">
        <v>8</v>
      </c>
      <c r="Z102" s="20">
        <v>1.6666666666666667</v>
      </c>
    </row>
    <row r="103" spans="1:26" ht="15.75" x14ac:dyDescent="0.25">
      <c r="A103" s="245">
        <v>4</v>
      </c>
      <c r="B103" s="260"/>
      <c r="C103" s="11" t="s">
        <v>79</v>
      </c>
      <c r="D103" s="11" t="s">
        <v>48</v>
      </c>
      <c r="E103" s="10">
        <v>30</v>
      </c>
      <c r="F103" s="11">
        <v>5</v>
      </c>
      <c r="G103" s="11">
        <v>5</v>
      </c>
      <c r="H103" s="11">
        <v>6</v>
      </c>
      <c r="I103" s="11">
        <v>18</v>
      </c>
      <c r="J103" s="11">
        <v>29</v>
      </c>
      <c r="K103" s="11">
        <v>18</v>
      </c>
      <c r="L103" s="11">
        <v>0</v>
      </c>
      <c r="M103" s="11">
        <v>6</v>
      </c>
      <c r="N103" s="11">
        <v>4</v>
      </c>
      <c r="O103" s="11">
        <v>2</v>
      </c>
      <c r="P103" s="11">
        <v>24</v>
      </c>
      <c r="Q103" s="11">
        <v>21</v>
      </c>
      <c r="R103" s="11">
        <v>2</v>
      </c>
      <c r="S103" s="11">
        <v>121</v>
      </c>
      <c r="T103" s="11">
        <v>5</v>
      </c>
      <c r="U103" s="11">
        <v>6</v>
      </c>
      <c r="V103" s="15">
        <v>4.0333333333333332</v>
      </c>
      <c r="W103" s="15">
        <v>80.666666666666657</v>
      </c>
      <c r="X103" s="15">
        <v>20.166666666666668</v>
      </c>
      <c r="Y103" s="14">
        <v>4.8333333333333339</v>
      </c>
      <c r="Z103" s="15">
        <v>1.2</v>
      </c>
    </row>
    <row r="104" spans="1:26" ht="15.75" hidden="1" x14ac:dyDescent="0.25">
      <c r="A104" s="247"/>
      <c r="B104" s="260"/>
      <c r="C104" s="17" t="s">
        <v>79</v>
      </c>
      <c r="D104" s="17" t="s">
        <v>48</v>
      </c>
      <c r="E104" s="103">
        <v>30</v>
      </c>
      <c r="F104" s="17">
        <v>5</v>
      </c>
      <c r="G104" s="17">
        <v>5</v>
      </c>
      <c r="H104" s="17">
        <v>6</v>
      </c>
      <c r="I104" s="17">
        <v>18</v>
      </c>
      <c r="J104" s="17">
        <v>29</v>
      </c>
      <c r="K104" s="17">
        <v>18</v>
      </c>
      <c r="L104" s="17">
        <v>0</v>
      </c>
      <c r="M104" s="17">
        <v>6</v>
      </c>
      <c r="N104" s="17">
        <v>4</v>
      </c>
      <c r="O104" s="17">
        <v>2</v>
      </c>
      <c r="P104" s="17">
        <v>24</v>
      </c>
      <c r="Q104" s="17">
        <v>21</v>
      </c>
      <c r="R104" s="17">
        <v>2</v>
      </c>
      <c r="S104" s="17">
        <v>121</v>
      </c>
      <c r="T104" s="17">
        <v>5</v>
      </c>
      <c r="U104" s="17">
        <v>6</v>
      </c>
      <c r="V104" s="20">
        <v>4.0333333333333332</v>
      </c>
      <c r="W104" s="20">
        <v>80.666666666666657</v>
      </c>
      <c r="X104" s="20">
        <v>20.166666666666668</v>
      </c>
      <c r="Y104" s="20">
        <v>4.8333333333333339</v>
      </c>
      <c r="Z104" s="20">
        <v>1.2</v>
      </c>
    </row>
    <row r="105" spans="1:26" ht="15.75" x14ac:dyDescent="0.25">
      <c r="A105" s="245">
        <v>5</v>
      </c>
      <c r="B105" s="260"/>
      <c r="C105" s="11" t="s">
        <v>80</v>
      </c>
      <c r="D105" s="11" t="s">
        <v>48</v>
      </c>
      <c r="E105" s="10">
        <v>30</v>
      </c>
      <c r="F105" s="11">
        <v>4</v>
      </c>
      <c r="G105" s="11">
        <v>3</v>
      </c>
      <c r="H105" s="11">
        <v>20</v>
      </c>
      <c r="I105" s="11">
        <v>14</v>
      </c>
      <c r="J105" s="11">
        <v>37</v>
      </c>
      <c r="K105" s="11">
        <v>22</v>
      </c>
      <c r="L105" s="11">
        <v>0</v>
      </c>
      <c r="M105" s="11">
        <v>12</v>
      </c>
      <c r="N105" s="11">
        <v>7</v>
      </c>
      <c r="O105" s="11">
        <v>5</v>
      </c>
      <c r="P105" s="11">
        <v>34</v>
      </c>
      <c r="Q105" s="11">
        <v>40</v>
      </c>
      <c r="R105" s="11">
        <v>2</v>
      </c>
      <c r="S105" s="11">
        <v>77</v>
      </c>
      <c r="T105" s="11">
        <v>3</v>
      </c>
      <c r="U105" s="11">
        <v>12</v>
      </c>
      <c r="V105" s="15">
        <v>2.5666666666666669</v>
      </c>
      <c r="W105" s="15">
        <v>64.166666666666671</v>
      </c>
      <c r="X105" s="15">
        <v>6.416666666666667</v>
      </c>
      <c r="Y105" s="14">
        <v>3.5833333333333326</v>
      </c>
      <c r="Z105" s="15">
        <v>3</v>
      </c>
    </row>
    <row r="106" spans="1:26" ht="15.75" hidden="1" x14ac:dyDescent="0.25">
      <c r="A106" s="247"/>
      <c r="B106" s="260"/>
      <c r="C106" s="17" t="s">
        <v>80</v>
      </c>
      <c r="D106" s="17" t="s">
        <v>48</v>
      </c>
      <c r="E106" s="103">
        <v>30</v>
      </c>
      <c r="F106" s="17">
        <v>4</v>
      </c>
      <c r="G106" s="17">
        <v>3</v>
      </c>
      <c r="H106" s="17">
        <v>20</v>
      </c>
      <c r="I106" s="17">
        <v>14</v>
      </c>
      <c r="J106" s="17">
        <v>37</v>
      </c>
      <c r="K106" s="17">
        <v>22</v>
      </c>
      <c r="L106" s="17">
        <v>0</v>
      </c>
      <c r="M106" s="17">
        <v>12</v>
      </c>
      <c r="N106" s="17">
        <v>7</v>
      </c>
      <c r="O106" s="17">
        <v>5</v>
      </c>
      <c r="P106" s="17">
        <v>34</v>
      </c>
      <c r="Q106" s="17">
        <v>40</v>
      </c>
      <c r="R106" s="17">
        <v>2</v>
      </c>
      <c r="S106" s="17">
        <v>77</v>
      </c>
      <c r="T106" s="17">
        <v>3</v>
      </c>
      <c r="U106" s="17">
        <v>12</v>
      </c>
      <c r="V106" s="20">
        <v>2.5666666666666669</v>
      </c>
      <c r="W106" s="20">
        <v>64.166666666666671</v>
      </c>
      <c r="X106" s="20">
        <v>6.416666666666667</v>
      </c>
      <c r="Y106" s="20">
        <v>3.5833333333333326</v>
      </c>
      <c r="Z106" s="20">
        <v>3</v>
      </c>
    </row>
    <row r="107" spans="1:26" ht="15.75" x14ac:dyDescent="0.25">
      <c r="A107" s="245">
        <v>6</v>
      </c>
      <c r="B107" s="260"/>
      <c r="C107" s="11" t="s">
        <v>70</v>
      </c>
      <c r="D107" s="11" t="s">
        <v>48</v>
      </c>
      <c r="E107" s="10">
        <v>30</v>
      </c>
      <c r="F107" s="11">
        <v>2</v>
      </c>
      <c r="G107" s="11">
        <v>0</v>
      </c>
      <c r="H107" s="11">
        <v>8</v>
      </c>
      <c r="I107" s="11">
        <v>5</v>
      </c>
      <c r="J107" s="11">
        <v>13</v>
      </c>
      <c r="K107" s="11">
        <v>6</v>
      </c>
      <c r="L107" s="11">
        <v>0</v>
      </c>
      <c r="M107" s="11">
        <v>5</v>
      </c>
      <c r="N107" s="11">
        <v>2</v>
      </c>
      <c r="O107" s="11">
        <v>3</v>
      </c>
      <c r="P107" s="11">
        <v>11</v>
      </c>
      <c r="Q107" s="11">
        <v>17</v>
      </c>
      <c r="R107" s="11">
        <v>0</v>
      </c>
      <c r="S107" s="11">
        <v>25</v>
      </c>
      <c r="T107" s="11">
        <v>2</v>
      </c>
      <c r="U107" s="11">
        <v>5</v>
      </c>
      <c r="V107" s="44">
        <v>0.83333333333333337</v>
      </c>
      <c r="W107" s="44">
        <v>41.666666666666671</v>
      </c>
      <c r="X107" s="44">
        <v>5</v>
      </c>
      <c r="Y107" s="45">
        <v>6.9999999999999982</v>
      </c>
      <c r="Z107" s="44">
        <v>2.5</v>
      </c>
    </row>
    <row r="108" spans="1:26" ht="15.75" hidden="1" x14ac:dyDescent="0.25">
      <c r="A108" s="247"/>
      <c r="B108" s="260"/>
      <c r="C108" s="17" t="s">
        <v>70</v>
      </c>
      <c r="D108" s="17"/>
      <c r="E108" s="103">
        <v>30</v>
      </c>
      <c r="F108" s="17">
        <v>2</v>
      </c>
      <c r="G108" s="17">
        <v>0</v>
      </c>
      <c r="H108" s="17">
        <v>8</v>
      </c>
      <c r="I108" s="17">
        <v>5</v>
      </c>
      <c r="J108" s="17">
        <v>13</v>
      </c>
      <c r="K108" s="17">
        <v>6</v>
      </c>
      <c r="L108" s="17">
        <v>0</v>
      </c>
      <c r="M108" s="17">
        <v>5</v>
      </c>
      <c r="N108" s="17">
        <v>2</v>
      </c>
      <c r="O108" s="17">
        <v>3</v>
      </c>
      <c r="P108" s="17">
        <v>11</v>
      </c>
      <c r="Q108" s="17">
        <v>17</v>
      </c>
      <c r="R108" s="17">
        <v>0</v>
      </c>
      <c r="S108" s="17">
        <v>25</v>
      </c>
      <c r="T108" s="17">
        <v>2</v>
      </c>
      <c r="U108" s="17">
        <v>5</v>
      </c>
      <c r="V108" s="46">
        <v>0.83333333333333337</v>
      </c>
      <c r="W108" s="46">
        <v>41.666666666666671</v>
      </c>
      <c r="X108" s="46">
        <v>5</v>
      </c>
      <c r="Y108" s="46">
        <v>6.9999999999999982</v>
      </c>
      <c r="Z108" s="46">
        <v>2.5</v>
      </c>
    </row>
    <row r="109" spans="1:26" ht="15.75" x14ac:dyDescent="0.25">
      <c r="A109" s="245">
        <v>7</v>
      </c>
      <c r="B109" s="260"/>
      <c r="C109" s="11" t="s">
        <v>81</v>
      </c>
      <c r="D109" s="11" t="s">
        <v>48</v>
      </c>
      <c r="E109" s="10">
        <v>30</v>
      </c>
      <c r="F109" s="11">
        <v>10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>
        <v>0</v>
      </c>
      <c r="X109" s="15" t="e">
        <v>#DIV/0!</v>
      </c>
      <c r="Y109" s="14" t="e">
        <v>#DIV/0!</v>
      </c>
      <c r="Z109" s="15">
        <v>0</v>
      </c>
    </row>
    <row r="110" spans="1:26" ht="15.75" hidden="1" x14ac:dyDescent="0.25">
      <c r="A110" s="247"/>
      <c r="B110" s="260"/>
      <c r="C110" s="17" t="s">
        <v>81</v>
      </c>
      <c r="D110" s="17" t="s">
        <v>48</v>
      </c>
      <c r="E110" s="103">
        <v>30</v>
      </c>
      <c r="F110" s="17">
        <v>10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>
        <v>0</v>
      </c>
      <c r="X110" s="20" t="e">
        <v>#DIV/0!</v>
      </c>
      <c r="Y110" s="20" t="e">
        <v>#DIV/0!</v>
      </c>
      <c r="Z110" s="20">
        <v>0</v>
      </c>
    </row>
    <row r="111" spans="1:26" ht="15.75" x14ac:dyDescent="0.25">
      <c r="A111" s="245">
        <v>8</v>
      </c>
      <c r="B111" s="260"/>
      <c r="C111" s="11" t="s">
        <v>82</v>
      </c>
      <c r="D111" s="11" t="s">
        <v>38</v>
      </c>
      <c r="E111" s="10">
        <v>30</v>
      </c>
      <c r="F111" s="11"/>
      <c r="G111" s="11">
        <v>2</v>
      </c>
      <c r="H111" s="11">
        <v>229</v>
      </c>
      <c r="I111" s="11">
        <v>3</v>
      </c>
      <c r="J111" s="11">
        <v>234</v>
      </c>
      <c r="K111" s="11">
        <v>224</v>
      </c>
      <c r="L111" s="11">
        <v>1</v>
      </c>
      <c r="M111" s="11">
        <v>3</v>
      </c>
      <c r="N111" s="11">
        <v>3</v>
      </c>
      <c r="O111" s="11">
        <v>0</v>
      </c>
      <c r="P111" s="11">
        <v>228</v>
      </c>
      <c r="Q111" s="11">
        <v>4</v>
      </c>
      <c r="R111" s="11">
        <v>4</v>
      </c>
      <c r="S111" s="11">
        <v>141</v>
      </c>
      <c r="T111" s="11">
        <v>6</v>
      </c>
      <c r="U111" s="11">
        <v>4</v>
      </c>
      <c r="V111" s="15">
        <v>4.7</v>
      </c>
      <c r="W111" s="15" t="e">
        <v>#DIV/0!</v>
      </c>
      <c r="X111" s="15">
        <v>35.25</v>
      </c>
      <c r="Y111" s="14">
        <v>-35.25</v>
      </c>
      <c r="Z111" s="15" t="e">
        <v>#DIV/0!</v>
      </c>
    </row>
    <row r="112" spans="1:26" ht="15.75" x14ac:dyDescent="0.25">
      <c r="A112" s="247"/>
      <c r="B112" s="260"/>
      <c r="C112" s="17" t="s">
        <v>82</v>
      </c>
      <c r="D112" s="17" t="s">
        <v>38</v>
      </c>
      <c r="E112" s="103">
        <v>30</v>
      </c>
      <c r="F112" s="17">
        <v>0</v>
      </c>
      <c r="G112" s="17">
        <v>2</v>
      </c>
      <c r="H112" s="17">
        <v>229</v>
      </c>
      <c r="I112" s="17">
        <v>3</v>
      </c>
      <c r="J112" s="17">
        <v>234</v>
      </c>
      <c r="K112" s="17">
        <v>224</v>
      </c>
      <c r="L112" s="17">
        <v>1</v>
      </c>
      <c r="M112" s="17">
        <v>3</v>
      </c>
      <c r="N112" s="17">
        <v>3</v>
      </c>
      <c r="O112" s="17">
        <v>0</v>
      </c>
      <c r="P112" s="17">
        <v>228</v>
      </c>
      <c r="Q112" s="17">
        <v>4</v>
      </c>
      <c r="R112" s="17">
        <v>4</v>
      </c>
      <c r="S112" s="17">
        <v>141</v>
      </c>
      <c r="T112" s="17">
        <v>6</v>
      </c>
      <c r="U112" s="17">
        <v>4</v>
      </c>
      <c r="V112" s="20">
        <v>4.7</v>
      </c>
      <c r="W112" s="20" t="e">
        <v>#DIV/0!</v>
      </c>
      <c r="X112" s="20">
        <v>35.25</v>
      </c>
      <c r="Y112" s="20">
        <v>-35.25</v>
      </c>
      <c r="Z112" s="20" t="e">
        <v>#DIV/0!</v>
      </c>
    </row>
    <row r="113" spans="1:26" ht="15.75" hidden="1" x14ac:dyDescent="0.25">
      <c r="A113" s="245">
        <v>9</v>
      </c>
      <c r="B113" s="260"/>
      <c r="C113" s="11" t="s">
        <v>64</v>
      </c>
      <c r="D113" s="11" t="s">
        <v>83</v>
      </c>
      <c r="E113" s="10">
        <v>30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26" ht="15.75" hidden="1" x14ac:dyDescent="0.25">
      <c r="A114" s="247"/>
      <c r="B114" s="260"/>
      <c r="C114" s="17" t="s">
        <v>64</v>
      </c>
      <c r="D114" s="17" t="s">
        <v>83</v>
      </c>
      <c r="E114" s="103">
        <v>30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26" ht="15.75" hidden="1" x14ac:dyDescent="0.25">
      <c r="A115" s="245">
        <v>10</v>
      </c>
      <c r="B115" s="260"/>
      <c r="C115" s="10" t="s">
        <v>73</v>
      </c>
      <c r="D115" s="10" t="s">
        <v>83</v>
      </c>
      <c r="E115" s="10">
        <v>30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26" ht="15.75" hidden="1" x14ac:dyDescent="0.25">
      <c r="A116" s="247"/>
      <c r="B116" s="261"/>
      <c r="C116" s="17" t="s">
        <v>73</v>
      </c>
      <c r="D116" s="17" t="s">
        <v>83</v>
      </c>
      <c r="E116" s="103">
        <v>30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x14ac:dyDescent="0.25">
      <c r="A117" s="232" t="s">
        <v>84</v>
      </c>
      <c r="B117" s="233"/>
      <c r="C117" s="233"/>
      <c r="D117" s="234"/>
      <c r="E117" s="28">
        <v>30</v>
      </c>
      <c r="F117" s="29">
        <v>41</v>
      </c>
      <c r="G117" s="29">
        <v>23</v>
      </c>
      <c r="H117" s="29">
        <v>342</v>
      </c>
      <c r="I117" s="29">
        <v>160</v>
      </c>
      <c r="J117" s="28">
        <v>525</v>
      </c>
      <c r="K117" s="29">
        <v>437</v>
      </c>
      <c r="L117" s="29">
        <v>1</v>
      </c>
      <c r="M117" s="28">
        <v>55</v>
      </c>
      <c r="N117" s="29">
        <v>29</v>
      </c>
      <c r="O117" s="29">
        <v>26</v>
      </c>
      <c r="P117" s="28">
        <v>493</v>
      </c>
      <c r="Q117" s="29">
        <v>229</v>
      </c>
      <c r="R117" s="29">
        <v>10</v>
      </c>
      <c r="S117" s="29">
        <v>768</v>
      </c>
      <c r="T117" s="28">
        <v>32</v>
      </c>
      <c r="U117" s="28">
        <v>56</v>
      </c>
      <c r="V117" s="47">
        <v>25.6</v>
      </c>
      <c r="W117" s="30">
        <v>62.439024390243901</v>
      </c>
      <c r="X117" s="30">
        <v>13.714285714285714</v>
      </c>
      <c r="Y117" s="30">
        <v>8.2499999999999982</v>
      </c>
      <c r="Z117" s="30">
        <v>1.3658536585365855</v>
      </c>
    </row>
    <row r="118" spans="1:26" ht="15.75" x14ac:dyDescent="0.25">
      <c r="A118" s="235" t="s">
        <v>85</v>
      </c>
      <c r="B118" s="236"/>
      <c r="C118" s="236"/>
      <c r="D118" s="237"/>
      <c r="E118" s="49">
        <v>30</v>
      </c>
      <c r="F118" s="49">
        <v>388</v>
      </c>
      <c r="G118" s="49">
        <v>152</v>
      </c>
      <c r="H118" s="49">
        <v>2064</v>
      </c>
      <c r="I118" s="49">
        <v>967</v>
      </c>
      <c r="J118" s="48">
        <v>3183</v>
      </c>
      <c r="K118" s="49">
        <v>919</v>
      </c>
      <c r="L118" s="49">
        <v>1743</v>
      </c>
      <c r="M118" s="48">
        <v>234</v>
      </c>
      <c r="N118" s="49">
        <v>127</v>
      </c>
      <c r="O118" s="49">
        <v>107</v>
      </c>
      <c r="P118" s="48">
        <v>2896</v>
      </c>
      <c r="Q118" s="49">
        <v>6919</v>
      </c>
      <c r="R118" s="49">
        <v>60</v>
      </c>
      <c r="S118" s="49">
        <v>7936</v>
      </c>
      <c r="T118" s="49">
        <v>287</v>
      </c>
      <c r="U118" s="48">
        <v>1977</v>
      </c>
      <c r="V118" s="50">
        <v>264.53333333333336</v>
      </c>
      <c r="W118" s="51">
        <v>68.178694158075601</v>
      </c>
      <c r="X118" s="51">
        <v>4.0141628730399592</v>
      </c>
      <c r="Y118" s="51">
        <v>1.8735457764289323</v>
      </c>
      <c r="Z118" s="51">
        <v>5.0953608247422677</v>
      </c>
    </row>
    <row r="119" spans="1:26" x14ac:dyDescent="0.25">
      <c r="F119">
        <f>+F7+F9+F12+F14+F15+F16+F19+F20+F22+F25+F27+F30+F44+F56+F63+F72+F74+F84+F87+F88+F89+F97+F99+F101+F103+F105+F107+F109</f>
        <v>287</v>
      </c>
    </row>
  </sheetData>
  <sheetProtection algorithmName="SHA-512" hashValue="VwuGbwspFFeGio4sr01XHlY4bQUTOqXYFyOque05b1WT+W8k/tZIUaIB3fQnj44Et+qIeykfBP/vpXQ0YbnK0Q==" saltValue="N0Xo6IqtwTwQbmv1JHtxBw==" spinCount="100000" sheet="1" objects="1" scenarios="1"/>
  <mergeCells count="149"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9:A21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A38:A42"/>
    <mergeCell ref="C38:C41"/>
    <mergeCell ref="A44:A46"/>
    <mergeCell ref="A47:A51"/>
    <mergeCell ref="C47:C50"/>
    <mergeCell ref="A53:A54"/>
    <mergeCell ref="C19:C20"/>
    <mergeCell ref="A22:A23"/>
    <mergeCell ref="A25:A26"/>
    <mergeCell ref="A27:A28"/>
    <mergeCell ref="A30:A32"/>
    <mergeCell ref="A34:A37"/>
    <mergeCell ref="I68:I70"/>
    <mergeCell ref="J68:J70"/>
    <mergeCell ref="A56:A57"/>
    <mergeCell ref="A59:A62"/>
    <mergeCell ref="A63:A64"/>
    <mergeCell ref="A65:D65"/>
    <mergeCell ref="A68:A71"/>
    <mergeCell ref="B68:B71"/>
    <mergeCell ref="C68:C71"/>
    <mergeCell ref="D68:D71"/>
    <mergeCell ref="W69:W70"/>
    <mergeCell ref="X69:X70"/>
    <mergeCell ref="Y69:Y70"/>
    <mergeCell ref="Z69:Z70"/>
    <mergeCell ref="A72:A73"/>
    <mergeCell ref="B72:B77"/>
    <mergeCell ref="A74:A75"/>
    <mergeCell ref="A76:A77"/>
    <mergeCell ref="Q68:Q70"/>
    <mergeCell ref="R68:R70"/>
    <mergeCell ref="S68:S70"/>
    <mergeCell ref="T68:T70"/>
    <mergeCell ref="U68:U71"/>
    <mergeCell ref="V69:V70"/>
    <mergeCell ref="K68:K70"/>
    <mergeCell ref="L68:L70"/>
    <mergeCell ref="M68:M70"/>
    <mergeCell ref="N68:N70"/>
    <mergeCell ref="O68:O70"/>
    <mergeCell ref="P68:P70"/>
    <mergeCell ref="E68:E71"/>
    <mergeCell ref="F68:F71"/>
    <mergeCell ref="G68:G70"/>
    <mergeCell ref="H68:H70"/>
    <mergeCell ref="G80:G82"/>
    <mergeCell ref="H80:H82"/>
    <mergeCell ref="I80:I82"/>
    <mergeCell ref="J80:J82"/>
    <mergeCell ref="K80:K82"/>
    <mergeCell ref="L80:L82"/>
    <mergeCell ref="A80:A83"/>
    <mergeCell ref="B80:B83"/>
    <mergeCell ref="C80:C83"/>
    <mergeCell ref="D80:D83"/>
    <mergeCell ref="E80:E83"/>
    <mergeCell ref="F80:F83"/>
    <mergeCell ref="A93:A96"/>
    <mergeCell ref="B93:B96"/>
    <mergeCell ref="C93:C96"/>
    <mergeCell ref="D93:D96"/>
    <mergeCell ref="E93:E96"/>
    <mergeCell ref="F93:F96"/>
    <mergeCell ref="Y81:Y82"/>
    <mergeCell ref="Z81:Z82"/>
    <mergeCell ref="A84:A85"/>
    <mergeCell ref="B84:B90"/>
    <mergeCell ref="A87:A90"/>
    <mergeCell ref="C87:C89"/>
    <mergeCell ref="S80:S82"/>
    <mergeCell ref="T80:T82"/>
    <mergeCell ref="U80:U83"/>
    <mergeCell ref="V81:V82"/>
    <mergeCell ref="W81:W82"/>
    <mergeCell ref="X81:X82"/>
    <mergeCell ref="M80:M82"/>
    <mergeCell ref="N80:N82"/>
    <mergeCell ref="O80:O82"/>
    <mergeCell ref="P80:P82"/>
    <mergeCell ref="Q80:Q82"/>
    <mergeCell ref="R80:R82"/>
    <mergeCell ref="P93:P95"/>
    <mergeCell ref="Q93:Q95"/>
    <mergeCell ref="R93:R95"/>
    <mergeCell ref="G93:G95"/>
    <mergeCell ref="H93:H95"/>
    <mergeCell ref="I93:I95"/>
    <mergeCell ref="J93:J95"/>
    <mergeCell ref="K93:K95"/>
    <mergeCell ref="L93:L95"/>
    <mergeCell ref="A111:A112"/>
    <mergeCell ref="A113:A114"/>
    <mergeCell ref="A115:A116"/>
    <mergeCell ref="A117:D117"/>
    <mergeCell ref="A118:D118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7:A108"/>
    <mergeCell ref="A109:A110"/>
    <mergeCell ref="S93:S95"/>
    <mergeCell ref="T93:T95"/>
    <mergeCell ref="U93:U96"/>
    <mergeCell ref="V94:V95"/>
    <mergeCell ref="W94:W95"/>
    <mergeCell ref="X94:X95"/>
    <mergeCell ref="M93:M95"/>
    <mergeCell ref="N93:N95"/>
    <mergeCell ref="O93:O95"/>
  </mergeCells>
  <printOptions horizontalCentered="1"/>
  <pageMargins left="0.70866141732283472" right="0.70866141732283472" top="0.39370078740157483" bottom="0.39370078740157483" header="0.31496062992125984" footer="0.31496062992125984"/>
  <pageSetup paperSize="5" scale="65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7"/>
  <sheetViews>
    <sheetView topLeftCell="A78" zoomScale="70" zoomScaleNormal="70" workbookViewId="0">
      <selection sqref="A1:Z117"/>
    </sheetView>
  </sheetViews>
  <sheetFormatPr defaultRowHeight="15" x14ac:dyDescent="0.25"/>
  <cols>
    <col min="1" max="1" width="4.85546875" style="89" customWidth="1"/>
    <col min="2" max="2" width="11.5703125" style="89" customWidth="1"/>
    <col min="3" max="3" width="14.28515625" style="89" customWidth="1"/>
    <col min="4" max="4" width="17.5703125" style="89" bestFit="1" customWidth="1"/>
    <col min="5" max="5" width="6.28515625" style="89" customWidth="1"/>
    <col min="6" max="6" width="7.85546875" style="89" customWidth="1"/>
    <col min="7" max="12" width="9.140625" style="89"/>
    <col min="13" max="13" width="0" style="89" hidden="1" customWidth="1"/>
    <col min="14" max="16384" width="9.140625" style="89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133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31.5" customHeight="1" x14ac:dyDescent="0.25">
      <c r="A7" s="254">
        <v>1</v>
      </c>
      <c r="B7" s="190" t="s">
        <v>32</v>
      </c>
      <c r="C7" s="97" t="s">
        <v>35</v>
      </c>
      <c r="D7" s="21" t="s">
        <v>34</v>
      </c>
      <c r="E7" s="10">
        <v>31</v>
      </c>
      <c r="F7" s="10">
        <v>20</v>
      </c>
      <c r="G7" s="11">
        <v>22</v>
      </c>
      <c r="H7" s="11">
        <v>177</v>
      </c>
      <c r="I7" s="11">
        <v>13</v>
      </c>
      <c r="J7" s="11">
        <v>212</v>
      </c>
      <c r="K7" s="11">
        <v>7</v>
      </c>
      <c r="L7" s="11">
        <v>175</v>
      </c>
      <c r="M7" s="12">
        <v>17</v>
      </c>
      <c r="N7" s="11">
        <v>6</v>
      </c>
      <c r="O7" s="11">
        <v>11</v>
      </c>
      <c r="P7" s="12">
        <v>199</v>
      </c>
      <c r="Q7" s="11">
        <v>721</v>
      </c>
      <c r="R7" s="11">
        <v>1</v>
      </c>
      <c r="S7" s="11">
        <v>629</v>
      </c>
      <c r="T7" s="12">
        <v>13</v>
      </c>
      <c r="U7" s="12">
        <v>192</v>
      </c>
      <c r="V7" s="13">
        <v>20.29032258064516</v>
      </c>
      <c r="W7" s="13">
        <v>101.45161290322579</v>
      </c>
      <c r="X7" s="13">
        <v>3.2760416666666665</v>
      </c>
      <c r="Y7" s="14">
        <v>-4.6874999999999813E-2</v>
      </c>
      <c r="Z7" s="15">
        <v>9.6</v>
      </c>
    </row>
    <row r="8" spans="1:26" ht="15.75" x14ac:dyDescent="0.25">
      <c r="A8" s="254"/>
      <c r="B8" s="191"/>
      <c r="C8" s="17" t="s">
        <v>35</v>
      </c>
      <c r="D8" s="16"/>
      <c r="E8" s="10">
        <v>31</v>
      </c>
      <c r="F8" s="17">
        <v>20</v>
      </c>
      <c r="G8" s="103">
        <v>22</v>
      </c>
      <c r="H8" s="17">
        <v>177</v>
      </c>
      <c r="I8" s="17">
        <v>13</v>
      </c>
      <c r="J8" s="17">
        <v>212</v>
      </c>
      <c r="K8" s="17">
        <v>7</v>
      </c>
      <c r="L8" s="17">
        <v>175</v>
      </c>
      <c r="M8" s="18">
        <v>17</v>
      </c>
      <c r="N8" s="17">
        <v>6</v>
      </c>
      <c r="O8" s="17">
        <v>11</v>
      </c>
      <c r="P8" s="18">
        <v>199</v>
      </c>
      <c r="Q8" s="17">
        <v>721</v>
      </c>
      <c r="R8" s="17">
        <v>1</v>
      </c>
      <c r="S8" s="17">
        <v>629</v>
      </c>
      <c r="T8" s="18">
        <v>13</v>
      </c>
      <c r="U8" s="18">
        <v>192</v>
      </c>
      <c r="V8" s="19">
        <v>20.29032258064516</v>
      </c>
      <c r="W8" s="19">
        <v>101.45161290322579</v>
      </c>
      <c r="X8" s="19">
        <v>3.2760416666666665</v>
      </c>
      <c r="Y8" s="20">
        <v>-4.6874999999999813E-2</v>
      </c>
      <c r="Z8" s="20">
        <v>9.6</v>
      </c>
    </row>
    <row r="9" spans="1:26" ht="15.75" x14ac:dyDescent="0.25">
      <c r="A9" s="256">
        <v>2</v>
      </c>
      <c r="B9" s="191"/>
      <c r="C9" s="11" t="s">
        <v>36</v>
      </c>
      <c r="D9" s="21" t="s">
        <v>34</v>
      </c>
      <c r="E9" s="10">
        <v>31</v>
      </c>
      <c r="F9" s="11">
        <v>16</v>
      </c>
      <c r="G9" s="11">
        <v>16</v>
      </c>
      <c r="H9" s="11">
        <v>105</v>
      </c>
      <c r="I9" s="11">
        <v>47</v>
      </c>
      <c r="J9" s="11">
        <v>168</v>
      </c>
      <c r="K9" s="11">
        <v>11</v>
      </c>
      <c r="L9" s="11">
        <v>127</v>
      </c>
      <c r="M9" s="12">
        <v>18</v>
      </c>
      <c r="N9" s="11">
        <v>9</v>
      </c>
      <c r="O9" s="11">
        <v>9</v>
      </c>
      <c r="P9" s="12">
        <v>156</v>
      </c>
      <c r="Q9" s="11">
        <v>572</v>
      </c>
      <c r="R9" s="11">
        <v>1</v>
      </c>
      <c r="S9" s="11">
        <v>463</v>
      </c>
      <c r="T9" s="12">
        <v>12</v>
      </c>
      <c r="U9" s="12">
        <v>145</v>
      </c>
      <c r="V9" s="13">
        <v>14.935483870967742</v>
      </c>
      <c r="W9" s="13">
        <v>93.346774193548384</v>
      </c>
      <c r="X9" s="13">
        <v>3.193103448275862</v>
      </c>
      <c r="Y9" s="14">
        <v>0.22758620689655173</v>
      </c>
      <c r="Z9" s="15">
        <v>9.0625</v>
      </c>
    </row>
    <row r="10" spans="1:26" ht="15.75" x14ac:dyDescent="0.25">
      <c r="A10" s="256"/>
      <c r="B10" s="191"/>
      <c r="C10" s="17" t="s">
        <v>36</v>
      </c>
      <c r="D10" s="16"/>
      <c r="E10" s="10">
        <v>31</v>
      </c>
      <c r="F10" s="17">
        <v>16</v>
      </c>
      <c r="G10" s="103">
        <v>16</v>
      </c>
      <c r="H10" s="17">
        <v>105</v>
      </c>
      <c r="I10" s="17">
        <v>47</v>
      </c>
      <c r="J10" s="17">
        <v>168</v>
      </c>
      <c r="K10" s="17">
        <v>11</v>
      </c>
      <c r="L10" s="17">
        <v>127</v>
      </c>
      <c r="M10" s="18">
        <v>18</v>
      </c>
      <c r="N10" s="17">
        <v>9</v>
      </c>
      <c r="O10" s="17">
        <v>9</v>
      </c>
      <c r="P10" s="18">
        <v>156</v>
      </c>
      <c r="Q10" s="17">
        <v>572</v>
      </c>
      <c r="R10" s="17">
        <v>1</v>
      </c>
      <c r="S10" s="17">
        <v>463</v>
      </c>
      <c r="T10" s="18">
        <v>12</v>
      </c>
      <c r="U10" s="18">
        <v>145</v>
      </c>
      <c r="V10" s="19">
        <v>14.935483870967742</v>
      </c>
      <c r="W10" s="19">
        <v>93.346774193548384</v>
      </c>
      <c r="X10" s="19">
        <v>3.193103448275862</v>
      </c>
      <c r="Y10" s="20">
        <v>0.22758620689655173</v>
      </c>
      <c r="Z10" s="20">
        <v>9.0625</v>
      </c>
    </row>
    <row r="11" spans="1:26" ht="15.75" hidden="1" customHeight="1" x14ac:dyDescent="0.25">
      <c r="A11" s="256">
        <v>3</v>
      </c>
      <c r="B11" s="191"/>
      <c r="C11"/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191"/>
      <c r="C12" s="53" t="s">
        <v>37</v>
      </c>
      <c r="D12" s="21" t="s">
        <v>34</v>
      </c>
      <c r="E12" s="10">
        <v>31</v>
      </c>
      <c r="F12" s="11">
        <v>12</v>
      </c>
      <c r="G12" s="11">
        <v>12</v>
      </c>
      <c r="H12" s="11">
        <v>102</v>
      </c>
      <c r="I12" s="11">
        <v>5</v>
      </c>
      <c r="J12" s="11">
        <v>119</v>
      </c>
      <c r="K12" s="11">
        <v>7</v>
      </c>
      <c r="L12" s="11">
        <v>92</v>
      </c>
      <c r="M12" s="12">
        <v>10</v>
      </c>
      <c r="N12" s="11">
        <v>6</v>
      </c>
      <c r="O12" s="11">
        <v>4</v>
      </c>
      <c r="P12" s="12">
        <v>109</v>
      </c>
      <c r="Q12" s="11">
        <v>345</v>
      </c>
      <c r="R12" s="11">
        <v>0</v>
      </c>
      <c r="S12" s="11">
        <v>314</v>
      </c>
      <c r="T12" s="12">
        <v>10</v>
      </c>
      <c r="U12" s="12">
        <v>102</v>
      </c>
      <c r="V12" s="13">
        <v>10.129032258064516</v>
      </c>
      <c r="W12" s="13">
        <v>84.408602150537632</v>
      </c>
      <c r="X12" s="13">
        <v>3.0784313725490198</v>
      </c>
      <c r="Y12" s="14">
        <v>0.56862745098039214</v>
      </c>
      <c r="Z12" s="15">
        <v>8.5</v>
      </c>
    </row>
    <row r="13" spans="1:26" ht="15.75" x14ac:dyDescent="0.25">
      <c r="A13" s="256"/>
      <c r="B13" s="191"/>
      <c r="C13" s="17" t="s">
        <v>37</v>
      </c>
      <c r="D13" s="16"/>
      <c r="E13" s="10">
        <v>31</v>
      </c>
      <c r="F13" s="17">
        <v>12</v>
      </c>
      <c r="G13" s="103">
        <v>12</v>
      </c>
      <c r="H13" s="17">
        <v>102</v>
      </c>
      <c r="I13" s="17">
        <v>5</v>
      </c>
      <c r="J13" s="17">
        <v>119</v>
      </c>
      <c r="K13" s="17">
        <v>7</v>
      </c>
      <c r="L13" s="17">
        <v>92</v>
      </c>
      <c r="M13" s="18">
        <v>10</v>
      </c>
      <c r="N13" s="17">
        <v>6</v>
      </c>
      <c r="O13" s="17">
        <v>4</v>
      </c>
      <c r="P13" s="18">
        <v>109</v>
      </c>
      <c r="Q13" s="17">
        <v>345</v>
      </c>
      <c r="R13" s="17">
        <v>0</v>
      </c>
      <c r="S13" s="17">
        <v>314</v>
      </c>
      <c r="T13" s="18">
        <v>10</v>
      </c>
      <c r="U13" s="18">
        <v>102</v>
      </c>
      <c r="V13" s="19">
        <v>10.129032258064516</v>
      </c>
      <c r="W13" s="19">
        <v>84.408602150537632</v>
      </c>
      <c r="X13" s="19">
        <v>3.0784313725490198</v>
      </c>
      <c r="Y13" s="20">
        <v>0.56862745098039214</v>
      </c>
      <c r="Z13" s="20">
        <v>8.5</v>
      </c>
    </row>
    <row r="14" spans="1:26" ht="15.75" x14ac:dyDescent="0.25">
      <c r="A14" s="256">
        <v>4</v>
      </c>
      <c r="B14" s="191"/>
      <c r="C14" s="198" t="s">
        <v>39</v>
      </c>
      <c r="D14" s="21" t="s">
        <v>38</v>
      </c>
      <c r="E14" s="10">
        <v>31</v>
      </c>
      <c r="F14" s="10">
        <v>2</v>
      </c>
      <c r="G14" s="11">
        <v>2</v>
      </c>
      <c r="H14" s="11">
        <v>11</v>
      </c>
      <c r="I14" s="11">
        <v>2</v>
      </c>
      <c r="J14" s="11">
        <v>15</v>
      </c>
      <c r="K14" s="11">
        <v>3</v>
      </c>
      <c r="L14" s="11">
        <v>10</v>
      </c>
      <c r="M14" s="12">
        <v>0</v>
      </c>
      <c r="N14" s="11">
        <v>0</v>
      </c>
      <c r="O14" s="11">
        <v>0</v>
      </c>
      <c r="P14" s="12">
        <v>13</v>
      </c>
      <c r="Q14" s="11">
        <v>40</v>
      </c>
      <c r="R14" s="11">
        <v>0</v>
      </c>
      <c r="S14" s="11">
        <v>46</v>
      </c>
      <c r="T14" s="12">
        <v>2</v>
      </c>
      <c r="U14" s="12">
        <v>10</v>
      </c>
      <c r="V14" s="13">
        <v>1.4838709677419355</v>
      </c>
      <c r="W14" s="13">
        <v>74.193548387096769</v>
      </c>
      <c r="X14" s="13">
        <v>4.5999999999999996</v>
      </c>
      <c r="Y14" s="14">
        <v>1.6</v>
      </c>
      <c r="Z14" s="15">
        <v>5</v>
      </c>
    </row>
    <row r="15" spans="1:26" ht="15.75" x14ac:dyDescent="0.25">
      <c r="A15" s="256"/>
      <c r="B15" s="191"/>
      <c r="C15" s="52" t="s">
        <v>39</v>
      </c>
      <c r="D15" s="21" t="s">
        <v>34</v>
      </c>
      <c r="E15" s="10">
        <v>31</v>
      </c>
      <c r="F15" s="10">
        <v>17</v>
      </c>
      <c r="G15" s="11">
        <v>13</v>
      </c>
      <c r="H15" s="11">
        <v>122</v>
      </c>
      <c r="I15" s="11">
        <v>17</v>
      </c>
      <c r="J15" s="11">
        <v>152</v>
      </c>
      <c r="K15" s="11">
        <v>12</v>
      </c>
      <c r="L15" s="11">
        <v>123</v>
      </c>
      <c r="M15" s="12">
        <v>3</v>
      </c>
      <c r="N15" s="11">
        <v>2</v>
      </c>
      <c r="O15" s="11">
        <v>1</v>
      </c>
      <c r="P15" s="12">
        <v>138</v>
      </c>
      <c r="Q15" s="11">
        <v>559</v>
      </c>
      <c r="R15" s="11">
        <v>0</v>
      </c>
      <c r="S15" s="11">
        <v>474</v>
      </c>
      <c r="T15" s="12">
        <v>14</v>
      </c>
      <c r="U15" s="12">
        <v>126</v>
      </c>
      <c r="V15" s="13">
        <v>15.290322580645162</v>
      </c>
      <c r="W15" s="13">
        <v>89.943074003795061</v>
      </c>
      <c r="X15" s="13">
        <v>3.7619047619047619</v>
      </c>
      <c r="Y15" s="14">
        <v>0.42063492063492047</v>
      </c>
      <c r="Z15" s="15">
        <v>7.4117647058823533</v>
      </c>
    </row>
    <row r="16" spans="1:26" ht="15.75" x14ac:dyDescent="0.25">
      <c r="A16" s="256"/>
      <c r="B16" s="191"/>
      <c r="C16" s="198" t="s">
        <v>39</v>
      </c>
      <c r="D16" s="21" t="s">
        <v>40</v>
      </c>
      <c r="E16" s="10">
        <v>31</v>
      </c>
      <c r="F16" s="10">
        <v>5</v>
      </c>
      <c r="G16" s="11">
        <v>4</v>
      </c>
      <c r="H16" s="11">
        <v>23</v>
      </c>
      <c r="I16" s="11">
        <v>6</v>
      </c>
      <c r="J16" s="11">
        <v>33</v>
      </c>
      <c r="K16" s="11">
        <v>4</v>
      </c>
      <c r="L16" s="11">
        <v>28</v>
      </c>
      <c r="M16" s="12">
        <v>1</v>
      </c>
      <c r="N16" s="11">
        <v>1</v>
      </c>
      <c r="O16" s="11">
        <v>0</v>
      </c>
      <c r="P16" s="12">
        <v>33</v>
      </c>
      <c r="Q16" s="11">
        <v>123</v>
      </c>
      <c r="R16" s="11">
        <v>0</v>
      </c>
      <c r="S16" s="11">
        <v>100</v>
      </c>
      <c r="T16" s="12">
        <v>0</v>
      </c>
      <c r="U16" s="12">
        <v>29</v>
      </c>
      <c r="V16" s="13">
        <v>3.225806451612903</v>
      </c>
      <c r="W16" s="13">
        <v>64.516129032258064</v>
      </c>
      <c r="X16" s="13">
        <v>3.4482758620689653</v>
      </c>
      <c r="Y16" s="14">
        <v>1.8965517241379313</v>
      </c>
      <c r="Z16" s="15">
        <v>5.8</v>
      </c>
    </row>
    <row r="17" spans="1:26" ht="15.75" x14ac:dyDescent="0.25">
      <c r="A17" s="256"/>
      <c r="B17" s="191"/>
      <c r="C17" s="17" t="s">
        <v>39</v>
      </c>
      <c r="D17" s="16"/>
      <c r="E17" s="10">
        <v>31</v>
      </c>
      <c r="F17" s="17">
        <v>24</v>
      </c>
      <c r="G17" s="103">
        <v>19</v>
      </c>
      <c r="H17" s="17">
        <v>156</v>
      </c>
      <c r="I17" s="17">
        <v>25</v>
      </c>
      <c r="J17" s="17">
        <v>200</v>
      </c>
      <c r="K17" s="17">
        <v>19</v>
      </c>
      <c r="L17" s="17">
        <v>161</v>
      </c>
      <c r="M17" s="18">
        <v>4</v>
      </c>
      <c r="N17" s="17">
        <v>3</v>
      </c>
      <c r="O17" s="17">
        <v>1</v>
      </c>
      <c r="P17" s="18">
        <v>184</v>
      </c>
      <c r="Q17" s="17">
        <v>722</v>
      </c>
      <c r="R17" s="17">
        <v>0</v>
      </c>
      <c r="S17" s="17">
        <v>620</v>
      </c>
      <c r="T17" s="18">
        <v>16</v>
      </c>
      <c r="U17" s="18">
        <v>165</v>
      </c>
      <c r="V17" s="19">
        <v>20</v>
      </c>
      <c r="W17" s="19">
        <v>83.333333333333343</v>
      </c>
      <c r="X17" s="19">
        <v>3.7575757575757578</v>
      </c>
      <c r="Y17" s="20">
        <v>0.75151515151515147</v>
      </c>
      <c r="Z17" s="20">
        <v>6.875</v>
      </c>
    </row>
    <row r="18" spans="1:26" ht="15.75" hidden="1" customHeight="1" x14ac:dyDescent="0.25">
      <c r="A18" s="248">
        <v>5</v>
      </c>
      <c r="B18" s="191"/>
      <c r="C18" s="199" t="s">
        <v>41</v>
      </c>
      <c r="D18" s="22" t="s">
        <v>115</v>
      </c>
      <c r="E18" s="10">
        <v>31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4" t="e">
        <v>#DIV/0!</v>
      </c>
      <c r="Z18" s="15">
        <v>0</v>
      </c>
    </row>
    <row r="19" spans="1:26" ht="15.75" x14ac:dyDescent="0.25">
      <c r="A19" s="249"/>
      <c r="B19" s="191"/>
      <c r="C19" s="194" t="s">
        <v>41</v>
      </c>
      <c r="D19" s="98" t="s">
        <v>42</v>
      </c>
      <c r="E19" s="10">
        <v>31</v>
      </c>
      <c r="F19" s="10">
        <v>15</v>
      </c>
      <c r="G19" s="11">
        <v>19</v>
      </c>
      <c r="H19" s="11">
        <v>142</v>
      </c>
      <c r="I19" s="11">
        <v>15</v>
      </c>
      <c r="J19" s="11">
        <v>176</v>
      </c>
      <c r="K19" s="11">
        <v>20</v>
      </c>
      <c r="L19" s="11">
        <v>113</v>
      </c>
      <c r="M19" s="12">
        <v>23</v>
      </c>
      <c r="N19" s="11">
        <v>18</v>
      </c>
      <c r="O19" s="11">
        <v>5</v>
      </c>
      <c r="P19" s="12">
        <v>156</v>
      </c>
      <c r="Q19" s="11">
        <v>611</v>
      </c>
      <c r="R19" s="11">
        <v>3</v>
      </c>
      <c r="S19" s="11">
        <v>572</v>
      </c>
      <c r="T19" s="12">
        <v>20</v>
      </c>
      <c r="U19" s="12">
        <v>136</v>
      </c>
      <c r="V19" s="13">
        <v>18.451612903225808</v>
      </c>
      <c r="W19" s="13">
        <v>123.01075268817205</v>
      </c>
      <c r="X19" s="13">
        <v>4.2058823529411766</v>
      </c>
      <c r="Y19" s="14">
        <v>-0.78676470588235325</v>
      </c>
      <c r="Z19" s="15">
        <v>9.0666666666666664</v>
      </c>
    </row>
    <row r="20" spans="1:26" ht="15.75" x14ac:dyDescent="0.25">
      <c r="A20" s="249"/>
      <c r="B20" s="191"/>
      <c r="C20" s="199" t="s">
        <v>41</v>
      </c>
      <c r="D20" s="98" t="s">
        <v>43</v>
      </c>
      <c r="E20" s="10">
        <v>31</v>
      </c>
      <c r="F20" s="10">
        <v>15</v>
      </c>
      <c r="G20" s="11">
        <v>14</v>
      </c>
      <c r="H20" s="11">
        <v>97</v>
      </c>
      <c r="I20" s="11">
        <v>18</v>
      </c>
      <c r="J20" s="11">
        <v>129</v>
      </c>
      <c r="K20" s="11">
        <v>12</v>
      </c>
      <c r="L20" s="11">
        <v>89</v>
      </c>
      <c r="M20" s="12">
        <v>16</v>
      </c>
      <c r="N20" s="11">
        <v>7</v>
      </c>
      <c r="O20" s="11">
        <v>9</v>
      </c>
      <c r="P20" s="12">
        <v>117</v>
      </c>
      <c r="Q20" s="11">
        <v>497</v>
      </c>
      <c r="R20" s="11">
        <v>1</v>
      </c>
      <c r="S20" s="11">
        <v>417</v>
      </c>
      <c r="T20" s="12">
        <v>12</v>
      </c>
      <c r="U20" s="12">
        <v>105</v>
      </c>
      <c r="V20" s="13">
        <v>13.451612903225806</v>
      </c>
      <c r="W20" s="13">
        <v>89.677419354838705</v>
      </c>
      <c r="X20" s="13">
        <v>3.9714285714285715</v>
      </c>
      <c r="Y20" s="14">
        <v>0.4571428571428573</v>
      </c>
      <c r="Z20" s="15">
        <v>7</v>
      </c>
    </row>
    <row r="21" spans="1:26" ht="15.75" x14ac:dyDescent="0.25">
      <c r="A21" s="250"/>
      <c r="B21" s="191"/>
      <c r="C21" s="17" t="s">
        <v>41</v>
      </c>
      <c r="D21" s="16"/>
      <c r="E21" s="10">
        <v>31</v>
      </c>
      <c r="F21" s="17">
        <v>34</v>
      </c>
      <c r="G21" s="103">
        <v>33</v>
      </c>
      <c r="H21" s="17">
        <v>239</v>
      </c>
      <c r="I21" s="17">
        <v>33</v>
      </c>
      <c r="J21" s="17">
        <v>305</v>
      </c>
      <c r="K21" s="17">
        <v>32</v>
      </c>
      <c r="L21" s="17">
        <v>202</v>
      </c>
      <c r="M21" s="18">
        <v>39</v>
      </c>
      <c r="N21" s="17">
        <v>25</v>
      </c>
      <c r="O21" s="17">
        <v>14</v>
      </c>
      <c r="P21" s="18">
        <v>273</v>
      </c>
      <c r="Q21" s="17">
        <v>1108</v>
      </c>
      <c r="R21" s="17">
        <v>4</v>
      </c>
      <c r="S21" s="17">
        <v>989</v>
      </c>
      <c r="T21" s="18">
        <v>32</v>
      </c>
      <c r="U21" s="18">
        <v>241</v>
      </c>
      <c r="V21" s="19">
        <v>31.903225806451612</v>
      </c>
      <c r="W21" s="19">
        <v>106.34408602150538</v>
      </c>
      <c r="X21" s="19">
        <v>4.1037344398340245</v>
      </c>
      <c r="Y21" s="20">
        <v>-0.24481327800829875</v>
      </c>
      <c r="Z21" s="20">
        <v>16.066666666666666</v>
      </c>
    </row>
    <row r="22" spans="1:26" ht="15.75" x14ac:dyDescent="0.25">
      <c r="A22" s="254">
        <v>6</v>
      </c>
      <c r="B22" s="191"/>
      <c r="C22" s="10" t="s">
        <v>44</v>
      </c>
      <c r="D22" s="21" t="s">
        <v>34</v>
      </c>
      <c r="E22" s="10">
        <v>31</v>
      </c>
      <c r="F22" s="10">
        <v>24</v>
      </c>
      <c r="G22" s="11">
        <v>18</v>
      </c>
      <c r="H22" s="11">
        <v>174</v>
      </c>
      <c r="I22" s="11">
        <v>14</v>
      </c>
      <c r="J22" s="11">
        <v>206</v>
      </c>
      <c r="K22" s="11">
        <v>12</v>
      </c>
      <c r="L22" s="11">
        <v>172</v>
      </c>
      <c r="M22" s="12">
        <v>10</v>
      </c>
      <c r="N22" s="11">
        <v>1</v>
      </c>
      <c r="O22" s="11">
        <v>9</v>
      </c>
      <c r="P22" s="12">
        <v>194</v>
      </c>
      <c r="Q22" s="11">
        <v>711</v>
      </c>
      <c r="R22" s="11">
        <v>0</v>
      </c>
      <c r="S22" s="11">
        <v>608</v>
      </c>
      <c r="T22" s="12">
        <v>12</v>
      </c>
      <c r="U22" s="12">
        <v>182</v>
      </c>
      <c r="V22" s="13">
        <v>19.612903225806452</v>
      </c>
      <c r="W22" s="13">
        <v>81.72043010752688</v>
      </c>
      <c r="X22" s="13">
        <v>3.3406593406593408</v>
      </c>
      <c r="Y22" s="14">
        <v>0.74725274725274726</v>
      </c>
      <c r="Z22" s="15">
        <v>7.583333333333333</v>
      </c>
    </row>
    <row r="23" spans="1:26" ht="15.75" x14ac:dyDescent="0.25">
      <c r="A23" s="254"/>
      <c r="B23" s="191"/>
      <c r="C23" s="17" t="s">
        <v>44</v>
      </c>
      <c r="D23" s="16"/>
      <c r="E23" s="10">
        <v>31</v>
      </c>
      <c r="F23" s="17">
        <v>24</v>
      </c>
      <c r="G23" s="103">
        <v>18</v>
      </c>
      <c r="H23" s="17">
        <v>174</v>
      </c>
      <c r="I23" s="17">
        <v>14</v>
      </c>
      <c r="J23" s="17">
        <v>206</v>
      </c>
      <c r="K23" s="17">
        <v>12</v>
      </c>
      <c r="L23" s="17">
        <v>172</v>
      </c>
      <c r="M23" s="18">
        <v>10</v>
      </c>
      <c r="N23" s="17">
        <v>1</v>
      </c>
      <c r="O23" s="17">
        <v>9</v>
      </c>
      <c r="P23" s="18">
        <v>194</v>
      </c>
      <c r="Q23" s="17">
        <v>711</v>
      </c>
      <c r="R23" s="17">
        <v>0</v>
      </c>
      <c r="S23" s="17">
        <v>608</v>
      </c>
      <c r="T23" s="18">
        <v>12</v>
      </c>
      <c r="U23" s="18">
        <v>182</v>
      </c>
      <c r="V23" s="19">
        <v>19.612903225806452</v>
      </c>
      <c r="W23" s="19">
        <v>81.72043010752688</v>
      </c>
      <c r="X23" s="19">
        <v>3.3406593406593408</v>
      </c>
      <c r="Y23" s="20">
        <v>0.74725274725274726</v>
      </c>
      <c r="Z23" s="20">
        <v>7.583333333333333</v>
      </c>
    </row>
    <row r="24" spans="1:26" ht="15.75" hidden="1" customHeight="1" x14ac:dyDescent="0.25">
      <c r="A24" s="248">
        <v>7</v>
      </c>
      <c r="B24" s="191"/>
      <c r="C24" s="194" t="s">
        <v>45</v>
      </c>
      <c r="D24" s="22" t="s">
        <v>40</v>
      </c>
      <c r="E24" s="10">
        <v>31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4" t="e">
        <v>#DIV/0!</v>
      </c>
      <c r="Z24" s="15">
        <v>0</v>
      </c>
    </row>
    <row r="25" spans="1:26" ht="15.75" x14ac:dyDescent="0.25">
      <c r="A25" s="249"/>
      <c r="B25" s="191"/>
      <c r="C25" s="199" t="s">
        <v>45</v>
      </c>
      <c r="D25" s="21" t="s">
        <v>34</v>
      </c>
      <c r="E25" s="10">
        <v>31</v>
      </c>
      <c r="F25" s="10">
        <v>16</v>
      </c>
      <c r="G25" s="11">
        <v>16</v>
      </c>
      <c r="H25" s="11">
        <v>138</v>
      </c>
      <c r="I25" s="11">
        <v>9</v>
      </c>
      <c r="J25" s="11">
        <v>163</v>
      </c>
      <c r="K25" s="11">
        <v>8</v>
      </c>
      <c r="L25" s="11">
        <v>134</v>
      </c>
      <c r="M25" s="12">
        <v>7</v>
      </c>
      <c r="N25" s="11">
        <v>4</v>
      </c>
      <c r="O25" s="11">
        <v>3</v>
      </c>
      <c r="P25" s="12">
        <v>149</v>
      </c>
      <c r="Q25" s="11">
        <v>535</v>
      </c>
      <c r="R25" s="11">
        <v>0</v>
      </c>
      <c r="S25" s="11">
        <v>532</v>
      </c>
      <c r="T25" s="12">
        <v>14</v>
      </c>
      <c r="U25" s="12">
        <v>141</v>
      </c>
      <c r="V25" s="13">
        <v>17.161290322580644</v>
      </c>
      <c r="W25" s="13">
        <v>107.25806451612902</v>
      </c>
      <c r="X25" s="13">
        <v>3.773049645390071</v>
      </c>
      <c r="Y25" s="14">
        <v>-0.25531914893617003</v>
      </c>
      <c r="Z25" s="15">
        <v>8.8125</v>
      </c>
    </row>
    <row r="26" spans="1:26" ht="15.75" x14ac:dyDescent="0.25">
      <c r="A26" s="250"/>
      <c r="B26" s="191"/>
      <c r="C26" s="17" t="s">
        <v>45</v>
      </c>
      <c r="D26" s="16"/>
      <c r="E26" s="10">
        <v>31</v>
      </c>
      <c r="F26" s="17">
        <v>20</v>
      </c>
      <c r="G26" s="103">
        <v>16</v>
      </c>
      <c r="H26" s="17">
        <v>138</v>
      </c>
      <c r="I26" s="17">
        <v>9</v>
      </c>
      <c r="J26" s="17">
        <v>163</v>
      </c>
      <c r="K26" s="17">
        <v>8</v>
      </c>
      <c r="L26" s="17">
        <v>134</v>
      </c>
      <c r="M26" s="18">
        <v>7</v>
      </c>
      <c r="N26" s="17">
        <v>4</v>
      </c>
      <c r="O26" s="17">
        <v>3</v>
      </c>
      <c r="P26" s="18">
        <v>149</v>
      </c>
      <c r="Q26" s="17">
        <v>535</v>
      </c>
      <c r="R26" s="17">
        <v>0</v>
      </c>
      <c r="S26" s="17">
        <v>532</v>
      </c>
      <c r="T26" s="18">
        <v>14</v>
      </c>
      <c r="U26" s="18">
        <v>141</v>
      </c>
      <c r="V26" s="19">
        <v>17.161290322580644</v>
      </c>
      <c r="W26" s="19">
        <v>85.806451612903217</v>
      </c>
      <c r="X26" s="19">
        <v>3.773049645390071</v>
      </c>
      <c r="Y26" s="20">
        <v>0.6241134751773052</v>
      </c>
      <c r="Z26" s="20">
        <v>7.05</v>
      </c>
    </row>
    <row r="27" spans="1:26" ht="15.75" x14ac:dyDescent="0.25">
      <c r="A27" s="256">
        <v>8</v>
      </c>
      <c r="B27" s="191"/>
      <c r="C27" s="11" t="s">
        <v>46</v>
      </c>
      <c r="D27" s="21" t="s">
        <v>34</v>
      </c>
      <c r="E27" s="10">
        <v>31</v>
      </c>
      <c r="F27" s="11">
        <v>20</v>
      </c>
      <c r="G27" s="11">
        <v>15</v>
      </c>
      <c r="H27" s="11">
        <v>168</v>
      </c>
      <c r="I27" s="11">
        <v>8</v>
      </c>
      <c r="J27" s="11">
        <v>191</v>
      </c>
      <c r="K27" s="11">
        <v>15</v>
      </c>
      <c r="L27" s="11">
        <v>152</v>
      </c>
      <c r="M27" s="12">
        <v>12</v>
      </c>
      <c r="N27" s="11">
        <v>6</v>
      </c>
      <c r="O27" s="11">
        <v>6</v>
      </c>
      <c r="P27" s="12">
        <v>179</v>
      </c>
      <c r="Q27" s="11">
        <v>573</v>
      </c>
      <c r="R27" s="11">
        <v>1</v>
      </c>
      <c r="S27" s="11">
        <v>527</v>
      </c>
      <c r="T27" s="12">
        <v>12</v>
      </c>
      <c r="U27" s="12">
        <v>164</v>
      </c>
      <c r="V27" s="13">
        <v>17</v>
      </c>
      <c r="W27" s="13">
        <v>85</v>
      </c>
      <c r="X27" s="13">
        <v>3.2134146341463414</v>
      </c>
      <c r="Y27" s="14">
        <v>0.56707317073170727</v>
      </c>
      <c r="Z27" s="15">
        <v>8.1999999999999993</v>
      </c>
    </row>
    <row r="28" spans="1:26" ht="15.75" x14ac:dyDescent="0.25">
      <c r="A28" s="256"/>
      <c r="B28" s="191"/>
      <c r="C28" s="17" t="s">
        <v>46</v>
      </c>
      <c r="D28" s="16"/>
      <c r="E28" s="10">
        <v>31</v>
      </c>
      <c r="F28" s="17">
        <v>20</v>
      </c>
      <c r="G28" s="103">
        <v>15</v>
      </c>
      <c r="H28" s="17">
        <v>168</v>
      </c>
      <c r="I28" s="17">
        <v>8</v>
      </c>
      <c r="J28" s="17">
        <v>191</v>
      </c>
      <c r="K28" s="17">
        <v>15</v>
      </c>
      <c r="L28" s="17">
        <v>152</v>
      </c>
      <c r="M28" s="18">
        <v>12</v>
      </c>
      <c r="N28" s="17">
        <v>6</v>
      </c>
      <c r="O28" s="17">
        <v>6</v>
      </c>
      <c r="P28" s="18">
        <v>179</v>
      </c>
      <c r="Q28" s="17">
        <v>573</v>
      </c>
      <c r="R28" s="17">
        <v>1</v>
      </c>
      <c r="S28" s="17">
        <v>527</v>
      </c>
      <c r="T28" s="18">
        <v>12</v>
      </c>
      <c r="U28" s="18">
        <v>164</v>
      </c>
      <c r="V28" s="19">
        <v>17</v>
      </c>
      <c r="W28" s="19">
        <v>85</v>
      </c>
      <c r="X28" s="19">
        <v>3.2134146341463414</v>
      </c>
      <c r="Y28" s="20">
        <v>0.56707317073170727</v>
      </c>
      <c r="Z28" s="20">
        <v>8.1999999999999993</v>
      </c>
    </row>
    <row r="29" spans="1:26" ht="15.75" hidden="1" customHeight="1" x14ac:dyDescent="0.25">
      <c r="A29" s="53"/>
      <c r="B29" s="191"/>
      <c r="C29" s="200" t="s">
        <v>47</v>
      </c>
      <c r="D29" s="22" t="s">
        <v>40</v>
      </c>
      <c r="E29" s="10">
        <v>31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/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1">
        <v>0</v>
      </c>
      <c r="T29" s="12">
        <v>0</v>
      </c>
      <c r="U29" s="12">
        <v>0</v>
      </c>
      <c r="V29" s="13">
        <v>0</v>
      </c>
      <c r="W29" s="13">
        <v>0</v>
      </c>
      <c r="X29" s="13" t="e">
        <v>#DIV/0!</v>
      </c>
      <c r="Y29" s="14" t="e">
        <v>#DIV/0!</v>
      </c>
      <c r="Z29" s="15">
        <v>0</v>
      </c>
    </row>
    <row r="30" spans="1:26" ht="15.75" x14ac:dyDescent="0.25">
      <c r="A30" s="256">
        <v>9</v>
      </c>
      <c r="B30" s="191"/>
      <c r="C30" s="11" t="s">
        <v>47</v>
      </c>
      <c r="D30" s="22" t="s">
        <v>48</v>
      </c>
      <c r="E30" s="10">
        <v>31</v>
      </c>
      <c r="F30" s="11">
        <v>3</v>
      </c>
      <c r="G30" s="11">
        <v>4</v>
      </c>
      <c r="H30" s="11">
        <v>22</v>
      </c>
      <c r="I30" s="11">
        <v>17</v>
      </c>
      <c r="J30" s="11">
        <v>43</v>
      </c>
      <c r="K30" s="11">
        <v>10</v>
      </c>
      <c r="L30" s="11">
        <v>31</v>
      </c>
      <c r="M30" s="12">
        <v>0</v>
      </c>
      <c r="N30" s="11">
        <v>0</v>
      </c>
      <c r="O30" s="11">
        <v>0</v>
      </c>
      <c r="P30" s="12">
        <v>41</v>
      </c>
      <c r="Q30" s="11">
        <v>133</v>
      </c>
      <c r="R30" s="11">
        <v>0</v>
      </c>
      <c r="S30" s="11">
        <v>105</v>
      </c>
      <c r="T30" s="12">
        <v>2</v>
      </c>
      <c r="U30" s="12">
        <v>31</v>
      </c>
      <c r="V30" s="13">
        <v>3.3870967741935485</v>
      </c>
      <c r="W30" s="13">
        <v>112.90322580645163</v>
      </c>
      <c r="X30" s="13">
        <v>3.3870967741935485</v>
      </c>
      <c r="Y30" s="14">
        <v>-0.38709677419354849</v>
      </c>
      <c r="Z30" s="15">
        <v>10.333333333333334</v>
      </c>
    </row>
    <row r="31" spans="1:26" ht="15.75" x14ac:dyDescent="0.25">
      <c r="A31" s="256"/>
      <c r="B31" s="191"/>
      <c r="C31" s="200" t="s">
        <v>47</v>
      </c>
      <c r="D31" s="22" t="s">
        <v>112</v>
      </c>
      <c r="E31" s="10">
        <v>31</v>
      </c>
      <c r="F31" s="11">
        <v>8</v>
      </c>
      <c r="G31" s="11">
        <v>6</v>
      </c>
      <c r="H31" s="11">
        <v>37</v>
      </c>
      <c r="I31" s="11">
        <v>13</v>
      </c>
      <c r="J31" s="11">
        <v>56</v>
      </c>
      <c r="K31" s="11">
        <v>10</v>
      </c>
      <c r="L31" s="11">
        <v>40</v>
      </c>
      <c r="M31" s="12">
        <v>3</v>
      </c>
      <c r="N31" s="11">
        <v>1</v>
      </c>
      <c r="O31" s="11">
        <v>2</v>
      </c>
      <c r="P31" s="12">
        <v>53</v>
      </c>
      <c r="Q31" s="11">
        <v>182</v>
      </c>
      <c r="R31" s="11">
        <v>0</v>
      </c>
      <c r="S31" s="11">
        <v>162</v>
      </c>
      <c r="T31" s="12">
        <v>3</v>
      </c>
      <c r="U31" s="12">
        <v>43</v>
      </c>
      <c r="V31" s="13">
        <v>5.225806451612903</v>
      </c>
      <c r="W31" s="13">
        <v>65.322580645161281</v>
      </c>
      <c r="X31" s="13">
        <v>3.7674418604651163</v>
      </c>
      <c r="Y31" s="14">
        <v>2</v>
      </c>
      <c r="Z31" s="15">
        <v>5.375</v>
      </c>
    </row>
    <row r="32" spans="1:26" ht="15.75" x14ac:dyDescent="0.25">
      <c r="A32" s="256"/>
      <c r="B32" s="191"/>
      <c r="C32" s="17" t="s">
        <v>47</v>
      </c>
      <c r="D32" s="16"/>
      <c r="E32" s="10">
        <v>31</v>
      </c>
      <c r="F32" s="17">
        <v>12</v>
      </c>
      <c r="G32" s="103">
        <v>10</v>
      </c>
      <c r="H32" s="17">
        <v>59</v>
      </c>
      <c r="I32" s="17">
        <v>30</v>
      </c>
      <c r="J32" s="17">
        <v>99</v>
      </c>
      <c r="K32" s="17">
        <v>20</v>
      </c>
      <c r="L32" s="17">
        <v>71</v>
      </c>
      <c r="M32" s="18">
        <v>3</v>
      </c>
      <c r="N32" s="17">
        <v>1</v>
      </c>
      <c r="O32" s="17">
        <v>2</v>
      </c>
      <c r="P32" s="18">
        <v>94</v>
      </c>
      <c r="Q32" s="17">
        <v>315</v>
      </c>
      <c r="R32" s="17">
        <v>0</v>
      </c>
      <c r="S32" s="17">
        <v>267</v>
      </c>
      <c r="T32" s="18">
        <v>5</v>
      </c>
      <c r="U32" s="18">
        <v>74</v>
      </c>
      <c r="V32" s="19">
        <v>8.612903225806452</v>
      </c>
      <c r="W32" s="19">
        <v>71.774193548387103</v>
      </c>
      <c r="X32" s="19">
        <v>3.6081081081081079</v>
      </c>
      <c r="Y32" s="20">
        <v>1.4189189189189186</v>
      </c>
      <c r="Z32" s="20">
        <v>6.166666666666667</v>
      </c>
    </row>
    <row r="33" spans="1:26" ht="15.75" hidden="1" customHeight="1" x14ac:dyDescent="0.25">
      <c r="A33" s="262">
        <v>10</v>
      </c>
      <c r="B33" s="191"/>
      <c r="C33" s="200" t="s">
        <v>49</v>
      </c>
      <c r="D33" s="22" t="s">
        <v>40</v>
      </c>
      <c r="E33" s="10">
        <v>31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/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1">
        <v>0</v>
      </c>
      <c r="T33" s="12">
        <v>0</v>
      </c>
      <c r="U33" s="12">
        <v>0</v>
      </c>
      <c r="V33" s="13">
        <v>0</v>
      </c>
      <c r="W33" s="13">
        <v>0</v>
      </c>
      <c r="X33" s="13" t="e">
        <v>#DIV/0!</v>
      </c>
      <c r="Y33" s="14" t="e">
        <v>#DIV/0!</v>
      </c>
      <c r="Z33" s="15">
        <v>0</v>
      </c>
    </row>
    <row r="34" spans="1:26" ht="15.75" x14ac:dyDescent="0.25">
      <c r="A34" s="263"/>
      <c r="B34" s="191"/>
      <c r="C34" s="11" t="s">
        <v>49</v>
      </c>
      <c r="D34" s="22" t="s">
        <v>48</v>
      </c>
      <c r="E34" s="10">
        <v>31</v>
      </c>
      <c r="F34" s="11">
        <v>2</v>
      </c>
      <c r="G34" s="11">
        <v>2</v>
      </c>
      <c r="H34" s="11">
        <v>15</v>
      </c>
      <c r="I34" s="11">
        <v>3</v>
      </c>
      <c r="J34" s="11">
        <v>20</v>
      </c>
      <c r="K34" s="11">
        <v>1</v>
      </c>
      <c r="L34" s="11">
        <v>15</v>
      </c>
      <c r="M34" s="12">
        <v>2</v>
      </c>
      <c r="N34" s="11">
        <v>1</v>
      </c>
      <c r="O34" s="11">
        <v>1</v>
      </c>
      <c r="P34" s="12">
        <v>18</v>
      </c>
      <c r="Q34" s="11">
        <v>73</v>
      </c>
      <c r="R34" s="11">
        <v>0</v>
      </c>
      <c r="S34" s="11">
        <v>67</v>
      </c>
      <c r="T34" s="12">
        <v>2</v>
      </c>
      <c r="U34" s="12">
        <v>17</v>
      </c>
      <c r="V34" s="13">
        <v>2.161290322580645</v>
      </c>
      <c r="W34" s="13">
        <v>108.06451612903226</v>
      </c>
      <c r="X34" s="13">
        <v>3.9411764705882355</v>
      </c>
      <c r="Y34" s="14">
        <v>-0.29411764705882326</v>
      </c>
      <c r="Z34" s="15">
        <v>8.5</v>
      </c>
    </row>
    <row r="35" spans="1:26" ht="15.75" x14ac:dyDescent="0.25">
      <c r="A35" s="263"/>
      <c r="B35" s="191"/>
      <c r="C35" s="200" t="s">
        <v>49</v>
      </c>
      <c r="D35" s="22" t="s">
        <v>38</v>
      </c>
      <c r="E35" s="10">
        <v>31</v>
      </c>
      <c r="F35" s="11">
        <v>4</v>
      </c>
      <c r="G35" s="11">
        <v>4</v>
      </c>
      <c r="H35" s="11">
        <v>22</v>
      </c>
      <c r="I35" s="11">
        <v>3</v>
      </c>
      <c r="J35" s="11">
        <v>29</v>
      </c>
      <c r="K35" s="11">
        <v>1</v>
      </c>
      <c r="L35" s="11">
        <v>24</v>
      </c>
      <c r="M35" s="12">
        <v>2</v>
      </c>
      <c r="N35" s="11">
        <v>0</v>
      </c>
      <c r="O35" s="11">
        <v>2</v>
      </c>
      <c r="P35" s="12">
        <v>27</v>
      </c>
      <c r="Q35" s="11">
        <v>110</v>
      </c>
      <c r="R35" s="11">
        <v>0</v>
      </c>
      <c r="S35" s="11">
        <v>101</v>
      </c>
      <c r="T35" s="12">
        <v>2</v>
      </c>
      <c r="U35" s="12">
        <v>26</v>
      </c>
      <c r="V35" s="13">
        <v>3.2580645161290325</v>
      </c>
      <c r="W35" s="13">
        <v>81.451612903225808</v>
      </c>
      <c r="X35" s="13">
        <v>3.8846153846153846</v>
      </c>
      <c r="Y35" s="14">
        <v>0.88461538461538436</v>
      </c>
      <c r="Z35" s="15">
        <v>6.5</v>
      </c>
    </row>
    <row r="36" spans="1:26" ht="15.75" x14ac:dyDescent="0.25">
      <c r="A36" s="263"/>
      <c r="B36" s="191"/>
      <c r="C36" s="200" t="s">
        <v>49</v>
      </c>
      <c r="D36" s="22" t="s">
        <v>34</v>
      </c>
      <c r="E36" s="10">
        <v>31</v>
      </c>
      <c r="F36" s="11">
        <v>12</v>
      </c>
      <c r="G36" s="11">
        <v>11</v>
      </c>
      <c r="H36" s="11">
        <v>76</v>
      </c>
      <c r="I36" s="11">
        <v>7</v>
      </c>
      <c r="J36" s="11">
        <v>94</v>
      </c>
      <c r="K36" s="11">
        <v>1</v>
      </c>
      <c r="L36" s="11">
        <v>85</v>
      </c>
      <c r="M36" s="12">
        <v>1</v>
      </c>
      <c r="N36" s="11">
        <v>0</v>
      </c>
      <c r="O36" s="11">
        <v>1</v>
      </c>
      <c r="P36" s="12">
        <v>87</v>
      </c>
      <c r="Q36" s="11">
        <v>329</v>
      </c>
      <c r="R36" s="11">
        <v>0</v>
      </c>
      <c r="S36" s="11">
        <v>316</v>
      </c>
      <c r="T36" s="12">
        <v>7</v>
      </c>
      <c r="U36" s="12">
        <v>86</v>
      </c>
      <c r="V36" s="13">
        <v>10.193548387096774</v>
      </c>
      <c r="W36" s="13">
        <v>84.946236559139791</v>
      </c>
      <c r="X36" s="13">
        <v>3.6744186046511627</v>
      </c>
      <c r="Y36" s="14">
        <v>0.65116279069767447</v>
      </c>
      <c r="Z36" s="15">
        <v>7.166666666666667</v>
      </c>
    </row>
    <row r="37" spans="1:26" ht="15.75" x14ac:dyDescent="0.25">
      <c r="A37" s="264"/>
      <c r="B37" s="191"/>
      <c r="C37" s="17" t="s">
        <v>49</v>
      </c>
      <c r="D37" s="16"/>
      <c r="E37" s="10">
        <v>31</v>
      </c>
      <c r="F37" s="17">
        <v>19</v>
      </c>
      <c r="G37" s="17">
        <v>17</v>
      </c>
      <c r="H37" s="17">
        <v>113</v>
      </c>
      <c r="I37" s="17">
        <v>13</v>
      </c>
      <c r="J37" s="17">
        <v>143</v>
      </c>
      <c r="K37" s="17">
        <v>3</v>
      </c>
      <c r="L37" s="17">
        <v>124</v>
      </c>
      <c r="M37" s="18">
        <v>5</v>
      </c>
      <c r="N37" s="17">
        <v>1</v>
      </c>
      <c r="O37" s="17">
        <v>4</v>
      </c>
      <c r="P37" s="18">
        <v>132</v>
      </c>
      <c r="Q37" s="17">
        <v>512</v>
      </c>
      <c r="R37" s="17">
        <v>0</v>
      </c>
      <c r="S37" s="17">
        <v>484</v>
      </c>
      <c r="T37" s="18">
        <v>11</v>
      </c>
      <c r="U37" s="18">
        <v>129</v>
      </c>
      <c r="V37" s="19">
        <v>15.612903225806452</v>
      </c>
      <c r="W37" s="19">
        <v>82.173174872665527</v>
      </c>
      <c r="X37" s="19">
        <v>3.751937984496124</v>
      </c>
      <c r="Y37" s="20">
        <v>0.81395348837209291</v>
      </c>
      <c r="Z37" s="20">
        <v>6.7894736842105265</v>
      </c>
    </row>
    <row r="38" spans="1:26" ht="15.75" x14ac:dyDescent="0.25">
      <c r="A38" s="231">
        <v>11</v>
      </c>
      <c r="B38" s="191"/>
      <c r="C38" s="198" t="s">
        <v>50</v>
      </c>
      <c r="D38" s="22" t="s">
        <v>51</v>
      </c>
      <c r="E38" s="10">
        <v>31</v>
      </c>
      <c r="F38" s="10">
        <v>6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2">
        <v>0</v>
      </c>
      <c r="N38" s="11">
        <v>0</v>
      </c>
      <c r="O38" s="11">
        <v>0</v>
      </c>
      <c r="P38" s="12">
        <v>0</v>
      </c>
      <c r="Q38" s="11">
        <v>0</v>
      </c>
      <c r="R38" s="11">
        <v>0</v>
      </c>
      <c r="S38" s="11">
        <v>0</v>
      </c>
      <c r="T38" s="12">
        <v>0</v>
      </c>
      <c r="U38" s="12">
        <v>0</v>
      </c>
      <c r="V38" s="13">
        <v>0</v>
      </c>
      <c r="W38" s="13">
        <v>0</v>
      </c>
      <c r="X38" s="13" t="e">
        <v>#DIV/0!</v>
      </c>
      <c r="Y38" s="14" t="e">
        <v>#DIV/0!</v>
      </c>
      <c r="Z38" s="15">
        <v>0</v>
      </c>
    </row>
    <row r="39" spans="1:26" ht="15.75" hidden="1" customHeight="1" x14ac:dyDescent="0.25">
      <c r="A39" s="231"/>
      <c r="B39" s="191"/>
      <c r="C39" s="189" t="s">
        <v>50</v>
      </c>
      <c r="D39" s="22" t="s">
        <v>52</v>
      </c>
      <c r="E39" s="10">
        <v>31</v>
      </c>
      <c r="F39" s="10">
        <v>8</v>
      </c>
      <c r="G39" s="11">
        <v>11</v>
      </c>
      <c r="H39" s="11">
        <v>99</v>
      </c>
      <c r="I39" s="11">
        <v>11</v>
      </c>
      <c r="J39" s="11">
        <v>121</v>
      </c>
      <c r="K39" s="11">
        <v>6</v>
      </c>
      <c r="L39" s="11">
        <v>103</v>
      </c>
      <c r="M39" s="12">
        <v>4</v>
      </c>
      <c r="N39" s="11">
        <v>3</v>
      </c>
      <c r="O39" s="11">
        <v>1</v>
      </c>
      <c r="P39" s="12">
        <v>113</v>
      </c>
      <c r="Q39" s="11">
        <v>375</v>
      </c>
      <c r="R39" s="11">
        <v>0</v>
      </c>
      <c r="S39" s="11">
        <v>315</v>
      </c>
      <c r="T39" s="12">
        <v>8</v>
      </c>
      <c r="U39" s="12">
        <v>107</v>
      </c>
      <c r="V39" s="13">
        <v>10.161290322580646</v>
      </c>
      <c r="W39" s="13">
        <v>127.01612903225808</v>
      </c>
      <c r="X39" s="13">
        <v>2.94392523364486</v>
      </c>
      <c r="Y39" s="14">
        <v>-0.62616822429906571</v>
      </c>
      <c r="Z39" s="15">
        <v>13.375</v>
      </c>
    </row>
    <row r="40" spans="1:26" ht="15.75" x14ac:dyDescent="0.25">
      <c r="A40" s="231"/>
      <c r="B40" s="191"/>
      <c r="C40" s="198" t="s">
        <v>50</v>
      </c>
      <c r="D40" s="22" t="s">
        <v>53</v>
      </c>
      <c r="E40" s="10">
        <v>31</v>
      </c>
      <c r="F40" s="10">
        <v>14</v>
      </c>
      <c r="G40" s="11">
        <v>9</v>
      </c>
      <c r="H40" s="11">
        <v>97</v>
      </c>
      <c r="I40" s="11">
        <v>9</v>
      </c>
      <c r="J40" s="11">
        <v>115</v>
      </c>
      <c r="K40" s="11">
        <v>12</v>
      </c>
      <c r="L40" s="11">
        <v>89</v>
      </c>
      <c r="M40" s="12">
        <v>8</v>
      </c>
      <c r="N40" s="11">
        <v>3</v>
      </c>
      <c r="O40" s="11">
        <v>5</v>
      </c>
      <c r="P40" s="12">
        <v>109</v>
      </c>
      <c r="Q40" s="11">
        <v>332</v>
      </c>
      <c r="R40" s="11">
        <v>0</v>
      </c>
      <c r="S40" s="11">
        <v>301</v>
      </c>
      <c r="T40" s="12">
        <v>6</v>
      </c>
      <c r="U40" s="12">
        <v>97</v>
      </c>
      <c r="V40" s="13">
        <v>9.7096774193548381</v>
      </c>
      <c r="W40" s="13">
        <v>69.354838709677409</v>
      </c>
      <c r="X40" s="13">
        <v>3.1030927835051547</v>
      </c>
      <c r="Y40" s="23">
        <v>1.3711340206185569</v>
      </c>
      <c r="Z40" s="24">
        <v>6.9285714285714288</v>
      </c>
    </row>
    <row r="41" spans="1:26" ht="15.75" hidden="1" customHeight="1" x14ac:dyDescent="0.25">
      <c r="A41" s="231"/>
      <c r="B41" s="191"/>
      <c r="C41" s="189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 t="e">
        <v>#DIV/0!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191"/>
      <c r="C42" s="17" t="s">
        <v>50</v>
      </c>
      <c r="D42" s="16"/>
      <c r="E42" s="10">
        <v>31</v>
      </c>
      <c r="F42" s="17">
        <v>28</v>
      </c>
      <c r="G42" s="103">
        <v>20</v>
      </c>
      <c r="H42" s="17">
        <v>196</v>
      </c>
      <c r="I42" s="17">
        <v>20</v>
      </c>
      <c r="J42" s="17">
        <v>236</v>
      </c>
      <c r="K42" s="17">
        <v>18</v>
      </c>
      <c r="L42" s="17">
        <v>192</v>
      </c>
      <c r="M42" s="18">
        <v>12</v>
      </c>
      <c r="N42" s="17">
        <v>6</v>
      </c>
      <c r="O42" s="17">
        <v>6</v>
      </c>
      <c r="P42" s="18">
        <v>222</v>
      </c>
      <c r="Q42" s="17">
        <v>707</v>
      </c>
      <c r="R42" s="17">
        <v>0</v>
      </c>
      <c r="S42" s="17">
        <v>616</v>
      </c>
      <c r="T42" s="18">
        <v>14</v>
      </c>
      <c r="U42" s="18">
        <v>204</v>
      </c>
      <c r="V42" s="19">
        <v>19.870967741935484</v>
      </c>
      <c r="W42" s="19">
        <v>70.967741935483872</v>
      </c>
      <c r="X42" s="19">
        <v>3.0196078431372548</v>
      </c>
      <c r="Y42" s="20">
        <v>1.2352941176470589</v>
      </c>
      <c r="Z42" s="20">
        <v>7.2857142857142856</v>
      </c>
    </row>
    <row r="43" spans="1:26" ht="15.75" x14ac:dyDescent="0.25">
      <c r="A43" s="59"/>
      <c r="B43" s="191"/>
      <c r="C43" s="201" t="s">
        <v>54</v>
      </c>
      <c r="D43" s="22" t="s">
        <v>40</v>
      </c>
      <c r="E43" s="10">
        <v>31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4" t="e">
        <v>#DIV/0!</v>
      </c>
      <c r="Z43" s="15">
        <v>0</v>
      </c>
    </row>
    <row r="44" spans="1:26" ht="15.75" x14ac:dyDescent="0.25">
      <c r="A44" s="231">
        <v>12</v>
      </c>
      <c r="B44" s="191"/>
      <c r="C44" s="10" t="s">
        <v>54</v>
      </c>
      <c r="D44" s="21" t="s">
        <v>48</v>
      </c>
      <c r="E44" s="10">
        <v>31</v>
      </c>
      <c r="F44" s="10">
        <v>13</v>
      </c>
      <c r="G44" s="11">
        <v>10</v>
      </c>
      <c r="H44" s="11">
        <v>119</v>
      </c>
      <c r="I44" s="11">
        <v>17</v>
      </c>
      <c r="J44" s="11">
        <v>146</v>
      </c>
      <c r="K44" s="11">
        <v>10</v>
      </c>
      <c r="L44" s="11">
        <v>112</v>
      </c>
      <c r="M44" s="12">
        <v>12</v>
      </c>
      <c r="N44" s="11">
        <v>6</v>
      </c>
      <c r="O44" s="11">
        <v>6</v>
      </c>
      <c r="P44" s="12">
        <v>134</v>
      </c>
      <c r="Q44" s="11">
        <v>469</v>
      </c>
      <c r="R44" s="11">
        <v>1</v>
      </c>
      <c r="S44" s="11">
        <v>399</v>
      </c>
      <c r="T44" s="12">
        <v>12</v>
      </c>
      <c r="U44" s="12">
        <v>124</v>
      </c>
      <c r="V44" s="13">
        <v>12.870967741935484</v>
      </c>
      <c r="W44" s="13">
        <v>99.007444168734494</v>
      </c>
      <c r="X44" s="13">
        <v>3.217741935483871</v>
      </c>
      <c r="Y44" s="14">
        <v>3.2258064516129004E-2</v>
      </c>
      <c r="Z44" s="15">
        <v>9.5384615384615383</v>
      </c>
    </row>
    <row r="45" spans="1:26" ht="15.75" customHeight="1" x14ac:dyDescent="0.25">
      <c r="A45" s="231"/>
      <c r="B45" s="191"/>
      <c r="C45" s="201" t="s">
        <v>54</v>
      </c>
      <c r="D45" s="21" t="s">
        <v>55</v>
      </c>
      <c r="E45" s="10">
        <v>31</v>
      </c>
      <c r="F45" s="10">
        <v>2</v>
      </c>
      <c r="G45" s="11">
        <v>0</v>
      </c>
      <c r="H45" s="11">
        <v>2</v>
      </c>
      <c r="I45" s="11">
        <v>2</v>
      </c>
      <c r="J45" s="11">
        <v>4</v>
      </c>
      <c r="K45" s="11">
        <v>2</v>
      </c>
      <c r="L45" s="11">
        <v>2</v>
      </c>
      <c r="M45" s="12">
        <v>0</v>
      </c>
      <c r="N45" s="11">
        <v>0</v>
      </c>
      <c r="O45" s="11">
        <v>0</v>
      </c>
      <c r="P45" s="12">
        <v>4</v>
      </c>
      <c r="Q45" s="11">
        <v>6</v>
      </c>
      <c r="R45" s="11">
        <v>0</v>
      </c>
      <c r="S45" s="11">
        <v>5</v>
      </c>
      <c r="T45" s="12">
        <v>0</v>
      </c>
      <c r="U45" s="12">
        <v>2</v>
      </c>
      <c r="V45" s="13">
        <v>0.16129032258064516</v>
      </c>
      <c r="W45" s="13">
        <v>8.064516129032258</v>
      </c>
      <c r="X45" s="13">
        <v>2.5</v>
      </c>
      <c r="Y45" s="14">
        <v>28.5</v>
      </c>
      <c r="Z45" s="15">
        <v>1</v>
      </c>
    </row>
    <row r="46" spans="1:26" ht="15.75" x14ac:dyDescent="0.25">
      <c r="A46" s="231"/>
      <c r="B46" s="191"/>
      <c r="C46" s="17" t="s">
        <v>54</v>
      </c>
      <c r="D46" s="16"/>
      <c r="E46" s="10">
        <v>31</v>
      </c>
      <c r="F46" s="17">
        <v>17</v>
      </c>
      <c r="G46" s="103">
        <v>10</v>
      </c>
      <c r="H46" s="17">
        <v>121</v>
      </c>
      <c r="I46" s="17">
        <v>19</v>
      </c>
      <c r="J46" s="17">
        <v>150</v>
      </c>
      <c r="K46" s="17">
        <v>12</v>
      </c>
      <c r="L46" s="17">
        <v>114</v>
      </c>
      <c r="M46" s="18">
        <v>12</v>
      </c>
      <c r="N46" s="17">
        <v>6</v>
      </c>
      <c r="O46" s="17">
        <v>6</v>
      </c>
      <c r="P46" s="18">
        <v>138</v>
      </c>
      <c r="Q46" s="17">
        <v>475</v>
      </c>
      <c r="R46" s="17">
        <v>1</v>
      </c>
      <c r="S46" s="17">
        <v>404</v>
      </c>
      <c r="T46" s="18">
        <v>12</v>
      </c>
      <c r="U46" s="18">
        <v>126</v>
      </c>
      <c r="V46" s="25">
        <v>13.03225806451613</v>
      </c>
      <c r="W46" s="19">
        <v>76.660341555977226</v>
      </c>
      <c r="X46" s="19">
        <v>3.2063492063492065</v>
      </c>
      <c r="Y46" s="20">
        <v>0.97619047619047594</v>
      </c>
      <c r="Z46" s="20">
        <v>7.4117647058823533</v>
      </c>
    </row>
    <row r="47" spans="1:26" ht="15.75" x14ac:dyDescent="0.25">
      <c r="A47" s="245">
        <v>13</v>
      </c>
      <c r="B47" s="191"/>
      <c r="C47" s="202" t="s">
        <v>61</v>
      </c>
      <c r="D47" s="22" t="s">
        <v>57</v>
      </c>
      <c r="E47" s="10">
        <v>31</v>
      </c>
      <c r="F47" s="11">
        <v>2</v>
      </c>
      <c r="G47" s="11">
        <v>0</v>
      </c>
      <c r="H47" s="11">
        <v>3</v>
      </c>
      <c r="I47" s="11">
        <v>0</v>
      </c>
      <c r="J47" s="11">
        <v>3</v>
      </c>
      <c r="K47" s="11">
        <v>1</v>
      </c>
      <c r="L47" s="11">
        <v>1</v>
      </c>
      <c r="M47" s="12">
        <v>1</v>
      </c>
      <c r="N47" s="11">
        <v>0</v>
      </c>
      <c r="O47" s="11">
        <v>1</v>
      </c>
      <c r="P47" s="12">
        <v>3</v>
      </c>
      <c r="Q47" s="11">
        <v>6</v>
      </c>
      <c r="R47" s="11">
        <v>0</v>
      </c>
      <c r="S47" s="11">
        <v>7</v>
      </c>
      <c r="T47" s="12">
        <v>0</v>
      </c>
      <c r="U47" s="12">
        <v>2</v>
      </c>
      <c r="V47" s="13">
        <v>0.22580645161290322</v>
      </c>
      <c r="W47" s="13">
        <v>11.29032258064516</v>
      </c>
      <c r="X47" s="13">
        <v>3.5</v>
      </c>
      <c r="Y47" s="14">
        <v>27.5</v>
      </c>
      <c r="Z47" s="15">
        <v>1</v>
      </c>
    </row>
    <row r="48" spans="1:26" ht="15.75" x14ac:dyDescent="0.25">
      <c r="A48" s="246"/>
      <c r="B48" s="191"/>
      <c r="C48" s="202" t="s">
        <v>61</v>
      </c>
      <c r="D48" s="99" t="s">
        <v>58</v>
      </c>
      <c r="E48" s="10">
        <v>31</v>
      </c>
      <c r="F48" s="26">
        <v>3</v>
      </c>
      <c r="G48" s="26">
        <v>1</v>
      </c>
      <c r="H48" s="26">
        <v>9</v>
      </c>
      <c r="I48" s="26">
        <v>2</v>
      </c>
      <c r="J48" s="11">
        <v>12</v>
      </c>
      <c r="K48" s="26">
        <v>0</v>
      </c>
      <c r="L48" s="26">
        <v>9</v>
      </c>
      <c r="M48" s="12">
        <v>3</v>
      </c>
      <c r="N48" s="26">
        <v>2</v>
      </c>
      <c r="O48" s="26">
        <v>1</v>
      </c>
      <c r="P48" s="12">
        <v>12</v>
      </c>
      <c r="Q48" s="26">
        <v>49</v>
      </c>
      <c r="R48" s="26">
        <v>0</v>
      </c>
      <c r="S48" s="26">
        <v>40</v>
      </c>
      <c r="T48" s="12">
        <v>0</v>
      </c>
      <c r="U48" s="12">
        <v>12</v>
      </c>
      <c r="V48" s="13">
        <v>1.2903225806451613</v>
      </c>
      <c r="W48" s="13">
        <v>43.01075268817204</v>
      </c>
      <c r="X48" s="13">
        <v>3.3333333333333335</v>
      </c>
      <c r="Y48" s="14">
        <v>4.416666666666667</v>
      </c>
      <c r="Z48" s="15">
        <v>4</v>
      </c>
    </row>
    <row r="49" spans="1:26" ht="15.75" x14ac:dyDescent="0.25">
      <c r="A49" s="246"/>
      <c r="B49" s="191"/>
      <c r="C49" s="203" t="s">
        <v>61</v>
      </c>
      <c r="D49" s="99" t="s">
        <v>59</v>
      </c>
      <c r="E49" s="10">
        <v>31</v>
      </c>
      <c r="F49" s="26">
        <v>2</v>
      </c>
      <c r="G49" s="26">
        <v>1</v>
      </c>
      <c r="H49" s="26">
        <v>5</v>
      </c>
      <c r="I49" s="26">
        <v>0</v>
      </c>
      <c r="J49" s="11">
        <v>6</v>
      </c>
      <c r="K49" s="26">
        <v>1</v>
      </c>
      <c r="L49" s="26">
        <v>3</v>
      </c>
      <c r="M49" s="12">
        <v>0</v>
      </c>
      <c r="N49" s="26">
        <v>0</v>
      </c>
      <c r="O49" s="26">
        <v>0</v>
      </c>
      <c r="P49" s="12">
        <v>4</v>
      </c>
      <c r="Q49" s="26">
        <v>15</v>
      </c>
      <c r="R49" s="26">
        <v>0</v>
      </c>
      <c r="S49" s="26">
        <v>22</v>
      </c>
      <c r="T49" s="12">
        <v>2</v>
      </c>
      <c r="U49" s="12">
        <v>3</v>
      </c>
      <c r="V49" s="13">
        <v>0.70967741935483875</v>
      </c>
      <c r="W49" s="13">
        <v>35.483870967741936</v>
      </c>
      <c r="X49" s="13">
        <v>7.333333333333333</v>
      </c>
      <c r="Y49" s="14">
        <v>13.333333333333334</v>
      </c>
      <c r="Z49" s="15">
        <v>1.5</v>
      </c>
    </row>
    <row r="50" spans="1:26" ht="15.75" x14ac:dyDescent="0.25">
      <c r="A50" s="246"/>
      <c r="B50" s="191"/>
      <c r="C50" s="202" t="s">
        <v>61</v>
      </c>
      <c r="D50" s="99" t="s">
        <v>60</v>
      </c>
      <c r="E50" s="10">
        <v>31</v>
      </c>
      <c r="F50" s="26">
        <v>10</v>
      </c>
      <c r="G50" s="26">
        <v>9</v>
      </c>
      <c r="H50" s="26">
        <v>54</v>
      </c>
      <c r="I50" s="26">
        <v>4</v>
      </c>
      <c r="J50" s="11">
        <v>67</v>
      </c>
      <c r="K50" s="26">
        <v>3</v>
      </c>
      <c r="L50" s="26">
        <v>40</v>
      </c>
      <c r="M50" s="12">
        <v>17</v>
      </c>
      <c r="N50" s="26">
        <v>8</v>
      </c>
      <c r="O50" s="26">
        <v>9</v>
      </c>
      <c r="P50" s="12">
        <v>60</v>
      </c>
      <c r="Q50" s="26">
        <v>249</v>
      </c>
      <c r="R50" s="26">
        <v>0</v>
      </c>
      <c r="S50" s="26">
        <v>225</v>
      </c>
      <c r="T50" s="12">
        <v>7</v>
      </c>
      <c r="U50" s="12">
        <v>57</v>
      </c>
      <c r="V50" s="13">
        <v>7.258064516129032</v>
      </c>
      <c r="W50" s="13">
        <v>72.58064516129032</v>
      </c>
      <c r="X50" s="13">
        <v>3.9473684210526314</v>
      </c>
      <c r="Y50" s="14">
        <v>1.4912280701754386</v>
      </c>
      <c r="Z50" s="15">
        <v>5.7</v>
      </c>
    </row>
    <row r="51" spans="1:26" ht="15.75" x14ac:dyDescent="0.25">
      <c r="A51" s="247"/>
      <c r="B51" s="191"/>
      <c r="C51" s="17" t="s">
        <v>61</v>
      </c>
      <c r="D51" s="16"/>
      <c r="E51" s="10">
        <v>31</v>
      </c>
      <c r="F51" s="17">
        <v>17</v>
      </c>
      <c r="G51" s="103">
        <v>11</v>
      </c>
      <c r="H51" s="17">
        <v>71</v>
      </c>
      <c r="I51" s="17">
        <v>6</v>
      </c>
      <c r="J51" s="17">
        <v>88</v>
      </c>
      <c r="K51" s="17">
        <v>5</v>
      </c>
      <c r="L51" s="17">
        <v>53</v>
      </c>
      <c r="M51" s="18">
        <v>21</v>
      </c>
      <c r="N51" s="17">
        <v>10</v>
      </c>
      <c r="O51" s="17">
        <v>11</v>
      </c>
      <c r="P51" s="18">
        <v>79</v>
      </c>
      <c r="Q51" s="17">
        <v>319</v>
      </c>
      <c r="R51" s="17">
        <v>0</v>
      </c>
      <c r="S51" s="17">
        <v>294</v>
      </c>
      <c r="T51" s="18">
        <v>9</v>
      </c>
      <c r="U51" s="18">
        <v>74</v>
      </c>
      <c r="V51" s="19">
        <v>9.4838709677419359</v>
      </c>
      <c r="W51" s="19">
        <v>55.787476280834916</v>
      </c>
      <c r="X51" s="19">
        <v>3.9729729729729728</v>
      </c>
      <c r="Y51" s="20">
        <v>3.1486486486486487</v>
      </c>
      <c r="Z51" s="20">
        <v>4.3529411764705879</v>
      </c>
    </row>
    <row r="52" spans="1:26" ht="15.75" x14ac:dyDescent="0.25">
      <c r="A52" s="231">
        <v>14</v>
      </c>
      <c r="B52" s="191"/>
      <c r="C52" s="11" t="s">
        <v>62</v>
      </c>
      <c r="D52" s="22" t="s">
        <v>55</v>
      </c>
      <c r="E52" s="10">
        <v>31</v>
      </c>
      <c r="F52" s="11">
        <v>8</v>
      </c>
      <c r="G52" s="11">
        <v>4</v>
      </c>
      <c r="H52" s="11">
        <v>35</v>
      </c>
      <c r="I52" s="11">
        <v>3</v>
      </c>
      <c r="J52" s="11">
        <v>42</v>
      </c>
      <c r="K52" s="11">
        <v>4</v>
      </c>
      <c r="L52" s="11">
        <v>32</v>
      </c>
      <c r="M52" s="12">
        <v>2</v>
      </c>
      <c r="N52" s="11">
        <v>2</v>
      </c>
      <c r="O52" s="11">
        <v>0</v>
      </c>
      <c r="P52" s="12">
        <v>38</v>
      </c>
      <c r="Q52" s="11">
        <v>138</v>
      </c>
      <c r="R52" s="11">
        <v>0</v>
      </c>
      <c r="S52" s="11">
        <v>135</v>
      </c>
      <c r="T52" s="12">
        <v>4</v>
      </c>
      <c r="U52" s="12">
        <v>34</v>
      </c>
      <c r="V52" s="13">
        <v>4.354838709677419</v>
      </c>
      <c r="W52" s="24">
        <v>54.435483870967737</v>
      </c>
      <c r="X52" s="24">
        <v>3.9705882352941178</v>
      </c>
      <c r="Y52" s="23">
        <v>3.3235294117647065</v>
      </c>
      <c r="Z52" s="24">
        <v>4.25</v>
      </c>
    </row>
    <row r="53" spans="1:26" ht="15.75" x14ac:dyDescent="0.25">
      <c r="A53" s="231"/>
      <c r="B53" s="191"/>
      <c r="C53" s="17" t="s">
        <v>62</v>
      </c>
      <c r="D53" s="16" t="s">
        <v>55</v>
      </c>
      <c r="E53" s="10">
        <v>31</v>
      </c>
      <c r="F53" s="17">
        <v>8</v>
      </c>
      <c r="G53" s="103">
        <v>4</v>
      </c>
      <c r="H53" s="17">
        <v>35</v>
      </c>
      <c r="I53" s="17">
        <v>3</v>
      </c>
      <c r="J53" s="17">
        <v>42</v>
      </c>
      <c r="K53" s="17">
        <v>4</v>
      </c>
      <c r="L53" s="17">
        <v>32</v>
      </c>
      <c r="M53" s="18">
        <v>2</v>
      </c>
      <c r="N53" s="17">
        <v>2</v>
      </c>
      <c r="O53" s="17">
        <v>0</v>
      </c>
      <c r="P53" s="18">
        <v>38</v>
      </c>
      <c r="Q53" s="17">
        <v>138</v>
      </c>
      <c r="R53" s="17">
        <v>0</v>
      </c>
      <c r="S53" s="17">
        <v>135</v>
      </c>
      <c r="T53" s="18">
        <v>4</v>
      </c>
      <c r="U53" s="18">
        <v>34</v>
      </c>
      <c r="V53" s="19">
        <v>4.354838709677419</v>
      </c>
      <c r="W53" s="27">
        <v>54.435483870967737</v>
      </c>
      <c r="X53" s="27">
        <v>3.9705882352941178</v>
      </c>
      <c r="Y53" s="27">
        <v>3.3235294117647065</v>
      </c>
      <c r="Z53" s="27">
        <v>4.25</v>
      </c>
    </row>
    <row r="54" spans="1:26" ht="15.75" x14ac:dyDescent="0.25">
      <c r="A54" s="59"/>
      <c r="B54" s="191"/>
      <c r="C54" s="181" t="s">
        <v>63</v>
      </c>
      <c r="D54" s="22" t="s">
        <v>40</v>
      </c>
      <c r="E54" s="10">
        <v>31</v>
      </c>
      <c r="F54" s="11">
        <v>4</v>
      </c>
      <c r="G54" s="11">
        <v>0</v>
      </c>
      <c r="H54" s="11">
        <v>0</v>
      </c>
      <c r="I54" s="11">
        <v>0</v>
      </c>
      <c r="J54" s="11"/>
      <c r="K54" s="11">
        <v>0</v>
      </c>
      <c r="L54" s="11">
        <v>0</v>
      </c>
      <c r="M54" s="12"/>
      <c r="N54" s="11">
        <v>0</v>
      </c>
      <c r="O54" s="11">
        <v>0</v>
      </c>
      <c r="P54" s="12"/>
      <c r="Q54" s="11">
        <v>0</v>
      </c>
      <c r="R54" s="11">
        <v>0</v>
      </c>
      <c r="S54" s="11">
        <v>0</v>
      </c>
      <c r="T54" s="12">
        <v>0</v>
      </c>
      <c r="U54" s="12">
        <v>0</v>
      </c>
      <c r="V54" s="13">
        <v>0</v>
      </c>
      <c r="W54" s="13">
        <v>0</v>
      </c>
      <c r="X54" s="13" t="e">
        <v>#DIV/0!</v>
      </c>
      <c r="Y54" s="14" t="e">
        <v>#DIV/0!</v>
      </c>
      <c r="Z54" s="15">
        <v>0</v>
      </c>
    </row>
    <row r="55" spans="1:26" ht="15.75" x14ac:dyDescent="0.25">
      <c r="A55" s="231">
        <v>15</v>
      </c>
      <c r="B55" s="191"/>
      <c r="C55" s="182" t="s">
        <v>63</v>
      </c>
      <c r="D55" s="22" t="s">
        <v>34</v>
      </c>
      <c r="E55" s="10">
        <v>31</v>
      </c>
      <c r="F55" s="11">
        <v>14</v>
      </c>
      <c r="G55" s="11">
        <v>18</v>
      </c>
      <c r="H55" s="11">
        <v>122</v>
      </c>
      <c r="I55" s="11">
        <v>18</v>
      </c>
      <c r="J55" s="11">
        <v>158</v>
      </c>
      <c r="K55" s="11">
        <v>9</v>
      </c>
      <c r="L55" s="11">
        <v>115</v>
      </c>
      <c r="M55" s="11">
        <v>23</v>
      </c>
      <c r="N55" s="11">
        <v>8</v>
      </c>
      <c r="O55" s="11">
        <v>15</v>
      </c>
      <c r="P55" s="11">
        <v>147</v>
      </c>
      <c r="Q55" s="11">
        <v>565</v>
      </c>
      <c r="R55" s="11">
        <v>1</v>
      </c>
      <c r="S55" s="11">
        <v>498</v>
      </c>
      <c r="T55" s="11">
        <v>11</v>
      </c>
      <c r="U55" s="11">
        <v>138</v>
      </c>
      <c r="V55" s="15">
        <v>16.06451612903226</v>
      </c>
      <c r="W55" s="15">
        <v>114.74654377880185</v>
      </c>
      <c r="X55" s="15">
        <v>3.6086956521739131</v>
      </c>
      <c r="Y55" s="14">
        <v>-0.46376811594202938</v>
      </c>
      <c r="Z55" s="15">
        <v>9.8571428571428577</v>
      </c>
    </row>
    <row r="56" spans="1:26" ht="15.75" x14ac:dyDescent="0.25">
      <c r="A56" s="231"/>
      <c r="B56" s="191"/>
      <c r="C56" s="17" t="s">
        <v>63</v>
      </c>
      <c r="D56" s="16"/>
      <c r="E56" s="10">
        <v>31</v>
      </c>
      <c r="F56" s="17">
        <v>18</v>
      </c>
      <c r="G56" s="103">
        <v>18</v>
      </c>
      <c r="H56" s="17">
        <v>122</v>
      </c>
      <c r="I56" s="17">
        <v>18</v>
      </c>
      <c r="J56" s="17">
        <v>158</v>
      </c>
      <c r="K56" s="17">
        <v>9</v>
      </c>
      <c r="L56" s="17">
        <v>115</v>
      </c>
      <c r="M56" s="17">
        <v>23</v>
      </c>
      <c r="N56" s="17">
        <v>8</v>
      </c>
      <c r="O56" s="17">
        <v>15</v>
      </c>
      <c r="P56" s="17">
        <v>147</v>
      </c>
      <c r="Q56" s="17">
        <v>565</v>
      </c>
      <c r="R56" s="17">
        <v>1</v>
      </c>
      <c r="S56" s="17">
        <v>498</v>
      </c>
      <c r="T56" s="17">
        <v>11</v>
      </c>
      <c r="U56" s="17">
        <v>138</v>
      </c>
      <c r="V56" s="20">
        <v>16.06451612903226</v>
      </c>
      <c r="W56" s="20">
        <v>89.247311827956992</v>
      </c>
      <c r="X56" s="20">
        <v>3.6086956521739131</v>
      </c>
      <c r="Y56" s="20">
        <v>0.43478260869565177</v>
      </c>
      <c r="Z56" s="20">
        <v>7.666666666666667</v>
      </c>
    </row>
    <row r="57" spans="1:26" ht="15.75" hidden="1" customHeight="1" x14ac:dyDescent="0.25">
      <c r="A57" s="59"/>
      <c r="B57" s="191"/>
      <c r="C57" s="248" t="s">
        <v>64</v>
      </c>
      <c r="D57" s="22" t="s">
        <v>112</v>
      </c>
      <c r="E57" s="10">
        <v>31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2">
        <v>0</v>
      </c>
      <c r="U57" s="12">
        <v>0</v>
      </c>
      <c r="V57" s="13">
        <v>0</v>
      </c>
      <c r="W57" s="13" t="e">
        <v>#DIV/0!</v>
      </c>
      <c r="X57" s="13" t="e">
        <v>#DIV/0!</v>
      </c>
      <c r="Y57" s="14" t="e">
        <v>#DIV/0!</v>
      </c>
      <c r="Z57" s="15" t="e">
        <v>#DIV/0!</v>
      </c>
    </row>
    <row r="58" spans="1:26" ht="15.75" x14ac:dyDescent="0.25">
      <c r="A58" s="253">
        <v>16</v>
      </c>
      <c r="B58" s="191"/>
      <c r="C58" s="249"/>
      <c r="D58" s="21" t="s">
        <v>48</v>
      </c>
      <c r="E58" s="10">
        <v>31</v>
      </c>
      <c r="F58" s="10">
        <v>3</v>
      </c>
      <c r="G58" s="11">
        <v>0</v>
      </c>
      <c r="H58" s="10">
        <v>39</v>
      </c>
      <c r="I58" s="10">
        <v>17</v>
      </c>
      <c r="J58" s="11">
        <v>56</v>
      </c>
      <c r="K58" s="10">
        <v>41</v>
      </c>
      <c r="L58" s="10">
        <v>12</v>
      </c>
      <c r="M58" s="11">
        <v>0</v>
      </c>
      <c r="N58" s="10">
        <v>0</v>
      </c>
      <c r="O58" s="10">
        <v>0</v>
      </c>
      <c r="P58" s="11">
        <v>53</v>
      </c>
      <c r="Q58" s="10">
        <v>27</v>
      </c>
      <c r="R58" s="10">
        <v>0</v>
      </c>
      <c r="S58" s="10">
        <v>57</v>
      </c>
      <c r="T58" s="12">
        <v>3</v>
      </c>
      <c r="U58" s="12">
        <v>12</v>
      </c>
      <c r="V58" s="13">
        <v>1.8387096774193548</v>
      </c>
      <c r="W58" s="24">
        <v>61.29032258064516</v>
      </c>
      <c r="X58" s="24">
        <v>4.75</v>
      </c>
      <c r="Y58" s="23">
        <v>3</v>
      </c>
      <c r="Z58" s="24">
        <v>4</v>
      </c>
    </row>
    <row r="59" spans="1:26" ht="15.75" x14ac:dyDescent="0.25">
      <c r="A59" s="253"/>
      <c r="B59" s="191"/>
      <c r="C59" s="249"/>
      <c r="D59" s="21" t="s">
        <v>38</v>
      </c>
      <c r="E59" s="10">
        <v>31</v>
      </c>
      <c r="F59" s="10">
        <v>8</v>
      </c>
      <c r="G59" s="11">
        <v>6</v>
      </c>
      <c r="H59" s="10">
        <v>93</v>
      </c>
      <c r="I59" s="10">
        <v>76</v>
      </c>
      <c r="J59" s="11">
        <v>175</v>
      </c>
      <c r="K59" s="10">
        <v>145</v>
      </c>
      <c r="L59" s="10">
        <v>26</v>
      </c>
      <c r="M59" s="11">
        <v>1</v>
      </c>
      <c r="N59" s="10">
        <v>1</v>
      </c>
      <c r="O59" s="10">
        <v>0</v>
      </c>
      <c r="P59" s="11">
        <v>172</v>
      </c>
      <c r="Q59" s="10">
        <v>77</v>
      </c>
      <c r="R59" s="10">
        <v>1</v>
      </c>
      <c r="S59" s="10">
        <v>214</v>
      </c>
      <c r="T59" s="12">
        <v>3</v>
      </c>
      <c r="U59" s="12">
        <v>27</v>
      </c>
      <c r="V59" s="13">
        <v>6.903225806451613</v>
      </c>
      <c r="W59" s="24">
        <v>86.290322580645167</v>
      </c>
      <c r="X59" s="24">
        <v>7.9259259259259256</v>
      </c>
      <c r="Y59" s="23">
        <v>1.2592592592592593</v>
      </c>
      <c r="Z59" s="24">
        <v>3.375</v>
      </c>
    </row>
    <row r="60" spans="1:26" ht="15.75" x14ac:dyDescent="0.25">
      <c r="A60" s="253"/>
      <c r="B60" s="191"/>
      <c r="C60" s="250"/>
      <c r="D60" s="21" t="s">
        <v>34</v>
      </c>
      <c r="E60" s="10">
        <v>31</v>
      </c>
      <c r="F60" s="10">
        <v>25</v>
      </c>
      <c r="G60" s="11">
        <v>23</v>
      </c>
      <c r="H60" s="10">
        <v>345</v>
      </c>
      <c r="I60" s="10">
        <v>272</v>
      </c>
      <c r="J60" s="11">
        <v>640</v>
      </c>
      <c r="K60" s="10">
        <v>80</v>
      </c>
      <c r="L60" s="10">
        <v>546</v>
      </c>
      <c r="M60" s="11">
        <v>0</v>
      </c>
      <c r="N60" s="10">
        <v>0</v>
      </c>
      <c r="O60" s="10">
        <v>0</v>
      </c>
      <c r="P60" s="11">
        <v>626</v>
      </c>
      <c r="Q60" s="10">
        <v>1189</v>
      </c>
      <c r="R60" s="10">
        <v>22</v>
      </c>
      <c r="S60" s="10">
        <v>659</v>
      </c>
      <c r="T60" s="12">
        <v>14</v>
      </c>
      <c r="U60" s="12">
        <v>546</v>
      </c>
      <c r="V60" s="13">
        <v>21.258064516129032</v>
      </c>
      <c r="W60" s="24">
        <v>85.032258064516128</v>
      </c>
      <c r="X60" s="24">
        <v>1.2069597069597069</v>
      </c>
      <c r="Y60" s="23">
        <v>0.21245421245421245</v>
      </c>
      <c r="Z60" s="24">
        <v>21.84</v>
      </c>
    </row>
    <row r="61" spans="1:26" ht="15.75" x14ac:dyDescent="0.25">
      <c r="A61" s="253"/>
      <c r="B61" s="191"/>
      <c r="C61" s="17" t="s">
        <v>64</v>
      </c>
      <c r="D61" s="16"/>
      <c r="E61" s="10">
        <v>31</v>
      </c>
      <c r="F61" s="17">
        <v>36</v>
      </c>
      <c r="G61" s="103">
        <v>29</v>
      </c>
      <c r="H61" s="17">
        <v>477</v>
      </c>
      <c r="I61" s="17">
        <v>365</v>
      </c>
      <c r="J61" s="17">
        <v>871</v>
      </c>
      <c r="K61" s="17">
        <v>266</v>
      </c>
      <c r="L61" s="17">
        <v>584</v>
      </c>
      <c r="M61" s="17">
        <v>1</v>
      </c>
      <c r="N61" s="17">
        <v>1</v>
      </c>
      <c r="O61" s="17">
        <v>0</v>
      </c>
      <c r="P61" s="17">
        <v>851</v>
      </c>
      <c r="Q61" s="17">
        <v>1293</v>
      </c>
      <c r="R61" s="17">
        <v>23</v>
      </c>
      <c r="S61" s="17">
        <v>930</v>
      </c>
      <c r="T61" s="17">
        <v>20</v>
      </c>
      <c r="U61" s="17">
        <v>585</v>
      </c>
      <c r="V61" s="20">
        <v>30</v>
      </c>
      <c r="W61" s="20">
        <v>83.333333333333343</v>
      </c>
      <c r="X61" s="20">
        <v>1.5897435897435896</v>
      </c>
      <c r="Y61" s="20">
        <v>0.31794871794871793</v>
      </c>
      <c r="Z61" s="20">
        <v>16.25</v>
      </c>
    </row>
    <row r="62" spans="1:26" ht="15.75" hidden="1" customHeight="1" x14ac:dyDescent="0.25">
      <c r="A62" s="253">
        <v>17</v>
      </c>
      <c r="B62" s="191"/>
      <c r="C62" s="11"/>
      <c r="D62" s="2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4"/>
      <c r="W62" s="14"/>
      <c r="X62" s="14"/>
      <c r="Y62" s="14"/>
      <c r="Z62" s="14"/>
    </row>
    <row r="63" spans="1:26" ht="15.75" hidden="1" customHeight="1" x14ac:dyDescent="0.25">
      <c r="A63" s="253"/>
      <c r="B63" s="192"/>
      <c r="C63" s="17"/>
      <c r="D63" s="16"/>
      <c r="E63" s="103"/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20" t="e">
        <v>#DIV/0!</v>
      </c>
      <c r="W63" s="20" t="e">
        <v>#DIV/0!</v>
      </c>
      <c r="X63" s="20" t="e">
        <v>#DIV/0!</v>
      </c>
      <c r="Y63" s="20" t="e">
        <v>#DIV/0!</v>
      </c>
      <c r="Z63" s="20" t="e">
        <v>#DIV/0!</v>
      </c>
    </row>
    <row r="64" spans="1:26" ht="15.75" x14ac:dyDescent="0.25">
      <c r="A64" s="255" t="s">
        <v>65</v>
      </c>
      <c r="B64" s="255"/>
      <c r="C64" s="255"/>
      <c r="D64" s="255"/>
      <c r="E64" s="10">
        <v>31</v>
      </c>
      <c r="F64" s="29">
        <v>325</v>
      </c>
      <c r="G64" s="29">
        <v>270</v>
      </c>
      <c r="H64" s="29">
        <v>2453</v>
      </c>
      <c r="I64" s="29">
        <v>628</v>
      </c>
      <c r="J64" s="28">
        <v>3351</v>
      </c>
      <c r="K64" s="29">
        <v>448</v>
      </c>
      <c r="L64" s="29">
        <v>2500</v>
      </c>
      <c r="M64" s="28">
        <v>196</v>
      </c>
      <c r="N64" s="29">
        <v>95</v>
      </c>
      <c r="O64" s="29">
        <v>101</v>
      </c>
      <c r="P64" s="28">
        <v>3144</v>
      </c>
      <c r="Q64" s="29">
        <v>9611</v>
      </c>
      <c r="R64" s="29">
        <v>32</v>
      </c>
      <c r="S64" s="29">
        <v>8310</v>
      </c>
      <c r="T64" s="28">
        <v>207</v>
      </c>
      <c r="U64" s="28">
        <v>2696</v>
      </c>
      <c r="V64" s="30">
        <v>268.06451612903226</v>
      </c>
      <c r="W64" s="30">
        <v>82.481389578163771</v>
      </c>
      <c r="X64" s="30">
        <v>3.0823442136498516</v>
      </c>
      <c r="Y64" s="30">
        <v>0.65467359050445106</v>
      </c>
      <c r="Z64" s="30">
        <v>8.2953846153846147</v>
      </c>
    </row>
    <row r="65" spans="1:26" ht="15.75" x14ac:dyDescent="0.25">
      <c r="A65" s="31"/>
      <c r="B65" s="108"/>
      <c r="C65" s="109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5" hidden="1" customHeight="1" x14ac:dyDescent="0.25">
      <c r="A66" s="33" t="s">
        <v>66</v>
      </c>
      <c r="B66" s="34"/>
      <c r="C66" s="32"/>
      <c r="D66" s="32"/>
      <c r="E66" s="11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" hidden="1" customHeight="1" x14ac:dyDescent="0.25">
      <c r="A67" s="243" t="s">
        <v>1</v>
      </c>
      <c r="B67" s="243" t="s">
        <v>2</v>
      </c>
      <c r="C67" s="240" t="s">
        <v>3</v>
      </c>
      <c r="D67" s="240" t="s">
        <v>4</v>
      </c>
      <c r="E67" s="244" t="s">
        <v>5</v>
      </c>
      <c r="F67" s="240" t="s">
        <v>6</v>
      </c>
      <c r="G67" s="240" t="s">
        <v>7</v>
      </c>
      <c r="H67" s="240" t="s">
        <v>8</v>
      </c>
      <c r="I67" s="244" t="s">
        <v>9</v>
      </c>
      <c r="J67" s="240" t="s">
        <v>10</v>
      </c>
      <c r="K67" s="240" t="s">
        <v>11</v>
      </c>
      <c r="L67" s="240" t="s">
        <v>12</v>
      </c>
      <c r="M67" s="240" t="s">
        <v>13</v>
      </c>
      <c r="N67" s="240" t="s">
        <v>14</v>
      </c>
      <c r="O67" s="240" t="s">
        <v>15</v>
      </c>
      <c r="P67" s="240" t="s">
        <v>16</v>
      </c>
      <c r="Q67" s="240" t="s">
        <v>17</v>
      </c>
      <c r="R67" s="240" t="s">
        <v>18</v>
      </c>
      <c r="S67" s="240" t="s">
        <v>19</v>
      </c>
      <c r="T67" s="240" t="s">
        <v>20</v>
      </c>
      <c r="U67" s="241" t="s">
        <v>21</v>
      </c>
      <c r="V67" s="8" t="s">
        <v>22</v>
      </c>
      <c r="W67" s="8" t="s">
        <v>23</v>
      </c>
      <c r="X67" s="8" t="s">
        <v>24</v>
      </c>
      <c r="Y67" s="8" t="s">
        <v>25</v>
      </c>
      <c r="Z67" s="8" t="s">
        <v>26</v>
      </c>
    </row>
    <row r="68" spans="1:26" ht="15" hidden="1" customHeight="1" x14ac:dyDescent="0.25">
      <c r="A68" s="243"/>
      <c r="B68" s="243"/>
      <c r="C68" s="240"/>
      <c r="D68" s="240"/>
      <c r="E68" s="244"/>
      <c r="F68" s="240"/>
      <c r="G68" s="240"/>
      <c r="H68" s="240"/>
      <c r="I68" s="244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1"/>
      <c r="V68" s="238" t="s">
        <v>27</v>
      </c>
      <c r="W68" s="238" t="s">
        <v>28</v>
      </c>
      <c r="X68" s="238" t="s">
        <v>29</v>
      </c>
      <c r="Y68" s="238" t="s">
        <v>30</v>
      </c>
      <c r="Z68" s="238" t="s">
        <v>31</v>
      </c>
    </row>
    <row r="69" spans="1:26" ht="15" hidden="1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42"/>
      <c r="W69" s="238"/>
      <c r="X69" s="238"/>
      <c r="Y69" s="238"/>
      <c r="Z69" s="238"/>
    </row>
    <row r="70" spans="1:26" ht="15" hidden="1" customHeight="1" x14ac:dyDescent="0.25">
      <c r="A70" s="243"/>
      <c r="B70" s="243"/>
      <c r="C70" s="240"/>
      <c r="D70" s="240"/>
      <c r="E70" s="244"/>
      <c r="F70" s="240"/>
      <c r="G70" s="9">
        <v>1</v>
      </c>
      <c r="H70" s="9">
        <v>2</v>
      </c>
      <c r="I70" s="9">
        <v>3</v>
      </c>
      <c r="J70" s="9">
        <v>4</v>
      </c>
      <c r="K70" s="9">
        <v>5</v>
      </c>
      <c r="L70" s="9">
        <v>6</v>
      </c>
      <c r="M70" s="9">
        <v>7</v>
      </c>
      <c r="N70" s="9">
        <v>8</v>
      </c>
      <c r="O70" s="9">
        <v>9</v>
      </c>
      <c r="P70" s="9">
        <v>10</v>
      </c>
      <c r="Q70" s="9">
        <v>11</v>
      </c>
      <c r="R70" s="9">
        <v>12</v>
      </c>
      <c r="S70" s="9">
        <v>13</v>
      </c>
      <c r="T70" s="9">
        <v>14</v>
      </c>
      <c r="U70" s="241"/>
      <c r="V70" s="58">
        <v>15</v>
      </c>
      <c r="W70" s="58">
        <v>16</v>
      </c>
      <c r="X70" s="58">
        <v>17</v>
      </c>
      <c r="Y70" s="58">
        <v>18</v>
      </c>
      <c r="Z70" s="58">
        <v>19</v>
      </c>
    </row>
    <row r="71" spans="1:26" ht="15" hidden="1" customHeight="1" x14ac:dyDescent="0.25">
      <c r="A71" s="245">
        <v>1</v>
      </c>
      <c r="B71" s="245" t="s">
        <v>40</v>
      </c>
      <c r="C71" s="11" t="s">
        <v>69</v>
      </c>
      <c r="D71" s="11" t="s">
        <v>38</v>
      </c>
      <c r="E71" s="10">
        <v>31</v>
      </c>
      <c r="F71" s="11"/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5">
        <v>0</v>
      </c>
      <c r="W71" s="35" t="e">
        <v>#DIV/0!</v>
      </c>
      <c r="X71" s="35" t="e">
        <v>#DIV/0!</v>
      </c>
      <c r="Y71" s="36" t="e">
        <v>#DIV/0!</v>
      </c>
      <c r="Z71" s="35" t="e">
        <v>#DIV/0!</v>
      </c>
    </row>
    <row r="72" spans="1:26" ht="15.75" hidden="1" customHeight="1" x14ac:dyDescent="0.25">
      <c r="A72" s="247"/>
      <c r="B72" s="246"/>
      <c r="C72" s="17" t="s">
        <v>69</v>
      </c>
      <c r="D72" s="17"/>
      <c r="E72" s="10">
        <v>31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20">
        <v>0</v>
      </c>
      <c r="W72" s="37">
        <v>0</v>
      </c>
      <c r="X72" s="37" t="e">
        <v>#DIV/0!</v>
      </c>
      <c r="Y72" s="37" t="e">
        <v>#DIV/0!</v>
      </c>
      <c r="Z72" s="37" t="e">
        <v>#DIV/0!</v>
      </c>
    </row>
    <row r="73" spans="1:26" ht="15.75" hidden="1" customHeight="1" x14ac:dyDescent="0.25">
      <c r="A73" s="245">
        <v>2</v>
      </c>
      <c r="B73" s="246"/>
      <c r="C73" s="11" t="s">
        <v>70</v>
      </c>
      <c r="D73" s="11" t="s">
        <v>48</v>
      </c>
      <c r="E73" s="10">
        <v>31</v>
      </c>
      <c r="F73" s="11"/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5">
        <v>0</v>
      </c>
      <c r="W73" s="15" t="e">
        <v>#DIV/0!</v>
      </c>
      <c r="X73" s="15" t="e">
        <v>#DIV/0!</v>
      </c>
      <c r="Y73" s="14" t="e">
        <v>#DIV/0!</v>
      </c>
      <c r="Z73" s="15" t="e">
        <v>#DIV/0!</v>
      </c>
    </row>
    <row r="74" spans="1:26" ht="15.75" hidden="1" customHeight="1" x14ac:dyDescent="0.25">
      <c r="A74" s="247"/>
      <c r="B74" s="246"/>
      <c r="C74" s="17" t="s">
        <v>70</v>
      </c>
      <c r="D74" s="17"/>
      <c r="E74" s="10">
        <v>31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20">
        <v>0</v>
      </c>
      <c r="W74" s="20" t="e">
        <v>#DIV/0!</v>
      </c>
      <c r="X74" s="20" t="e">
        <v>#DIV/0!</v>
      </c>
      <c r="Y74" s="20" t="e">
        <v>#DIV/0!</v>
      </c>
      <c r="Z74" s="20" t="e">
        <v>#DIV/0!</v>
      </c>
    </row>
    <row r="75" spans="1:26" ht="15.75" hidden="1" customHeight="1" x14ac:dyDescent="0.25">
      <c r="A75" s="245">
        <v>3</v>
      </c>
      <c r="B75" s="246"/>
      <c r="C75" s="11" t="s">
        <v>63</v>
      </c>
      <c r="D75" s="11"/>
      <c r="E75" s="10">
        <v>31</v>
      </c>
      <c r="F75" s="11"/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5">
        <v>0</v>
      </c>
      <c r="W75" s="35" t="e">
        <v>#DIV/0!</v>
      </c>
      <c r="X75" s="35" t="e">
        <v>#DIV/0!</v>
      </c>
      <c r="Y75" s="36" t="e">
        <v>#DIV/0!</v>
      </c>
      <c r="Z75" s="35" t="e">
        <v>#DIV/0!</v>
      </c>
    </row>
    <row r="76" spans="1:26" ht="15.75" hidden="1" customHeight="1" x14ac:dyDescent="0.25">
      <c r="A76" s="247"/>
      <c r="B76" s="247"/>
      <c r="C76" s="17" t="s">
        <v>63</v>
      </c>
      <c r="D76" s="17"/>
      <c r="E76" s="10">
        <v>31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20">
        <v>0</v>
      </c>
      <c r="W76" s="37" t="e">
        <v>#DIV/0!</v>
      </c>
      <c r="X76" s="37" t="e">
        <v>#DIV/0!</v>
      </c>
      <c r="Y76" s="37" t="e">
        <v>#DIV/0!</v>
      </c>
      <c r="Z76" s="37" t="e">
        <v>#DIV/0!</v>
      </c>
    </row>
    <row r="77" spans="1:26" ht="15.75" hidden="1" customHeight="1" x14ac:dyDescent="0.25">
      <c r="A77" s="105" t="s">
        <v>71</v>
      </c>
      <c r="B77" s="105"/>
      <c r="C77" s="105"/>
      <c r="D77" s="105"/>
      <c r="E77" s="10">
        <v>31</v>
      </c>
      <c r="F77" s="29">
        <v>0</v>
      </c>
      <c r="G77" s="29">
        <v>0</v>
      </c>
      <c r="H77" s="29">
        <v>0</v>
      </c>
      <c r="I77" s="29">
        <v>0</v>
      </c>
      <c r="J77" s="28">
        <v>0</v>
      </c>
      <c r="K77" s="29">
        <v>0</v>
      </c>
      <c r="L77" s="29">
        <v>0</v>
      </c>
      <c r="M77" s="28">
        <v>0</v>
      </c>
      <c r="N77" s="29">
        <v>0</v>
      </c>
      <c r="O77" s="29">
        <v>0</v>
      </c>
      <c r="P77" s="28">
        <v>0</v>
      </c>
      <c r="Q77" s="29">
        <v>0</v>
      </c>
      <c r="R77" s="29">
        <v>0</v>
      </c>
      <c r="S77" s="29">
        <v>0</v>
      </c>
      <c r="T77" s="28">
        <v>0</v>
      </c>
      <c r="U77" s="28">
        <v>0</v>
      </c>
      <c r="V77" s="30">
        <v>0</v>
      </c>
      <c r="W77" s="30" t="e">
        <v>#DIV/0!</v>
      </c>
      <c r="X77" s="30" t="e">
        <v>#DIV/0!</v>
      </c>
      <c r="Y77" s="30" t="e">
        <v>#DIV/0!</v>
      </c>
      <c r="Z77" s="30" t="e">
        <v>#DIV/0!</v>
      </c>
    </row>
    <row r="78" spans="1:26" ht="15" customHeight="1" x14ac:dyDescent="0.25">
      <c r="A78" s="106"/>
      <c r="B78" s="106"/>
      <c r="C78" s="106"/>
      <c r="D78" s="106"/>
      <c r="E78" s="10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9"/>
      <c r="W78" s="40"/>
      <c r="X78" s="40"/>
      <c r="Y78" s="40"/>
      <c r="Z78" s="40"/>
    </row>
    <row r="79" spans="1:26" ht="15" customHeight="1" x14ac:dyDescent="0.25">
      <c r="A79" s="243" t="s">
        <v>1</v>
      </c>
      <c r="B79" s="243" t="s">
        <v>2</v>
      </c>
      <c r="C79" s="240" t="s">
        <v>3</v>
      </c>
      <c r="D79" s="240" t="s">
        <v>4</v>
      </c>
      <c r="E79" s="244" t="s">
        <v>5</v>
      </c>
      <c r="F79" s="240" t="s">
        <v>6</v>
      </c>
      <c r="G79" s="240" t="s">
        <v>7</v>
      </c>
      <c r="H79" s="240" t="s">
        <v>8</v>
      </c>
      <c r="I79" s="244" t="s">
        <v>9</v>
      </c>
      <c r="J79" s="240" t="s">
        <v>10</v>
      </c>
      <c r="K79" s="240" t="s">
        <v>11</v>
      </c>
      <c r="L79" s="240" t="s">
        <v>12</v>
      </c>
      <c r="M79" s="240" t="s">
        <v>13</v>
      </c>
      <c r="N79" s="240" t="s">
        <v>14</v>
      </c>
      <c r="O79" s="240" t="s">
        <v>15</v>
      </c>
      <c r="P79" s="240" t="s">
        <v>16</v>
      </c>
      <c r="Q79" s="240" t="s">
        <v>17</v>
      </c>
      <c r="R79" s="240" t="s">
        <v>18</v>
      </c>
      <c r="S79" s="240" t="s">
        <v>19</v>
      </c>
      <c r="T79" s="240" t="s">
        <v>20</v>
      </c>
      <c r="U79" s="241" t="s">
        <v>21</v>
      </c>
      <c r="V79" s="8" t="s">
        <v>22</v>
      </c>
      <c r="W79" s="8" t="s">
        <v>23</v>
      </c>
      <c r="X79" s="8" t="s">
        <v>24</v>
      </c>
      <c r="Y79" s="8" t="s">
        <v>25</v>
      </c>
      <c r="Z79" s="8" t="s">
        <v>26</v>
      </c>
    </row>
    <row r="80" spans="1:26" ht="15" customHeight="1" x14ac:dyDescent="0.25">
      <c r="A80" s="243"/>
      <c r="B80" s="243"/>
      <c r="C80" s="240"/>
      <c r="D80" s="240"/>
      <c r="E80" s="244"/>
      <c r="F80" s="240"/>
      <c r="G80" s="240"/>
      <c r="H80" s="240"/>
      <c r="I80" s="244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1"/>
      <c r="V80" s="238" t="s">
        <v>27</v>
      </c>
      <c r="W80" s="238" t="s">
        <v>28</v>
      </c>
      <c r="X80" s="238" t="s">
        <v>29</v>
      </c>
      <c r="Y80" s="238" t="s">
        <v>30</v>
      </c>
      <c r="Z80" s="238" t="s">
        <v>31</v>
      </c>
    </row>
    <row r="81" spans="1:26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42"/>
      <c r="W81" s="238"/>
      <c r="X81" s="238"/>
      <c r="Y81" s="238"/>
      <c r="Z81" s="238"/>
    </row>
    <row r="82" spans="1:26" x14ac:dyDescent="0.25">
      <c r="A82" s="243"/>
      <c r="B82" s="243"/>
      <c r="C82" s="240"/>
      <c r="D82" s="240"/>
      <c r="E82" s="244"/>
      <c r="F82" s="240"/>
      <c r="G82" s="9">
        <v>1</v>
      </c>
      <c r="H82" s="9">
        <v>2</v>
      </c>
      <c r="I82" s="9">
        <v>3</v>
      </c>
      <c r="J82" s="9">
        <v>4</v>
      </c>
      <c r="K82" s="9">
        <v>5</v>
      </c>
      <c r="L82" s="9">
        <v>6</v>
      </c>
      <c r="M82" s="9">
        <v>7</v>
      </c>
      <c r="N82" s="9">
        <v>8</v>
      </c>
      <c r="O82" s="9">
        <v>9</v>
      </c>
      <c r="P82" s="9">
        <v>10</v>
      </c>
      <c r="Q82" s="9">
        <v>11</v>
      </c>
      <c r="R82" s="9">
        <v>12</v>
      </c>
      <c r="S82" s="9">
        <v>13</v>
      </c>
      <c r="T82" s="9">
        <v>14</v>
      </c>
      <c r="U82" s="241"/>
      <c r="V82" s="58">
        <v>15</v>
      </c>
      <c r="W82" s="58">
        <v>16</v>
      </c>
      <c r="X82" s="58">
        <v>17</v>
      </c>
      <c r="Y82" s="58">
        <v>18</v>
      </c>
      <c r="Z82" s="58">
        <v>19</v>
      </c>
    </row>
    <row r="83" spans="1:26" ht="15" customHeight="1" x14ac:dyDescent="0.25">
      <c r="A83" s="245">
        <v>1</v>
      </c>
      <c r="B83" s="245" t="s">
        <v>72</v>
      </c>
      <c r="C83" s="10" t="s">
        <v>69</v>
      </c>
      <c r="D83" s="10" t="s">
        <v>38</v>
      </c>
      <c r="E83" s="10">
        <v>31</v>
      </c>
      <c r="F83" s="10">
        <v>30</v>
      </c>
      <c r="G83" s="10">
        <v>22</v>
      </c>
      <c r="H83" s="10">
        <v>204</v>
      </c>
      <c r="I83" s="10">
        <v>17</v>
      </c>
      <c r="J83" s="11">
        <v>243</v>
      </c>
      <c r="K83" s="10">
        <v>98</v>
      </c>
      <c r="L83" s="10">
        <v>113</v>
      </c>
      <c r="M83" s="11">
        <v>8</v>
      </c>
      <c r="N83" s="10">
        <v>6</v>
      </c>
      <c r="O83" s="10">
        <v>2</v>
      </c>
      <c r="P83" s="11">
        <v>219</v>
      </c>
      <c r="Q83" s="10">
        <v>651</v>
      </c>
      <c r="R83" s="10">
        <v>0</v>
      </c>
      <c r="S83" s="10">
        <v>725</v>
      </c>
      <c r="T83" s="11">
        <v>24</v>
      </c>
      <c r="U83" s="11">
        <v>121</v>
      </c>
      <c r="V83" s="15">
        <v>23.387096774193548</v>
      </c>
      <c r="W83" s="15">
        <v>77.956989247311824</v>
      </c>
      <c r="X83" s="15">
        <v>5.9917355371900829</v>
      </c>
      <c r="Y83" s="14">
        <v>1.6942148760330578</v>
      </c>
      <c r="Z83" s="15">
        <v>4.0333333333333332</v>
      </c>
    </row>
    <row r="84" spans="1:26" ht="15.75" x14ac:dyDescent="0.25">
      <c r="A84" s="247"/>
      <c r="B84" s="246"/>
      <c r="C84" s="17" t="s">
        <v>69</v>
      </c>
      <c r="D84" s="17"/>
      <c r="E84" s="10">
        <v>31</v>
      </c>
      <c r="F84" s="41">
        <v>30</v>
      </c>
      <c r="G84" s="17">
        <v>22</v>
      </c>
      <c r="H84" s="17">
        <v>204</v>
      </c>
      <c r="I84" s="17">
        <v>17</v>
      </c>
      <c r="J84" s="17">
        <v>243</v>
      </c>
      <c r="K84" s="17">
        <v>98</v>
      </c>
      <c r="L84" s="17">
        <v>113</v>
      </c>
      <c r="M84" s="17">
        <v>8</v>
      </c>
      <c r="N84" s="17">
        <v>6</v>
      </c>
      <c r="O84" s="17">
        <v>2</v>
      </c>
      <c r="P84" s="17">
        <v>219</v>
      </c>
      <c r="Q84" s="17">
        <v>651</v>
      </c>
      <c r="R84" s="17">
        <v>0</v>
      </c>
      <c r="S84" s="17">
        <v>725</v>
      </c>
      <c r="T84" s="17">
        <v>24</v>
      </c>
      <c r="U84" s="17">
        <v>121</v>
      </c>
      <c r="V84" s="20">
        <v>23.387096774193548</v>
      </c>
      <c r="W84" s="20">
        <v>77.956989247311824</v>
      </c>
      <c r="X84" s="20">
        <v>5.9917355371900829</v>
      </c>
      <c r="Y84" s="20">
        <v>1.6942148760330578</v>
      </c>
      <c r="Z84" s="20">
        <v>4.0333333333333332</v>
      </c>
    </row>
    <row r="85" spans="1:26" ht="15.75" hidden="1" customHeight="1" x14ac:dyDescent="0.25">
      <c r="A85" s="141"/>
      <c r="B85" s="246"/>
      <c r="C85" s="144"/>
      <c r="D85" s="11" t="s">
        <v>55</v>
      </c>
      <c r="E85" s="10">
        <v>31</v>
      </c>
      <c r="F85" s="11"/>
      <c r="G85" s="11">
        <v>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5"/>
      <c r="X85" s="15"/>
      <c r="Y85" s="15"/>
      <c r="Z85" s="15"/>
    </row>
    <row r="86" spans="1:26" ht="15.75" hidden="1" customHeight="1" x14ac:dyDescent="0.25">
      <c r="A86" s="245">
        <v>2</v>
      </c>
      <c r="B86" s="246"/>
      <c r="C86" s="248" t="s">
        <v>73</v>
      </c>
      <c r="D86" s="10" t="s">
        <v>48</v>
      </c>
      <c r="E86" s="10">
        <v>31</v>
      </c>
      <c r="F86" s="10"/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5">
        <v>0</v>
      </c>
      <c r="W86" s="15" t="e">
        <v>#DIV/0!</v>
      </c>
      <c r="X86" s="15" t="e">
        <v>#DIV/0!</v>
      </c>
      <c r="Y86" s="14" t="e">
        <v>#DIV/0!</v>
      </c>
      <c r="Z86" s="15" t="e">
        <v>#DIV/0!</v>
      </c>
    </row>
    <row r="87" spans="1:26" ht="15.75" hidden="1" customHeight="1" x14ac:dyDescent="0.25">
      <c r="A87" s="246"/>
      <c r="B87" s="246"/>
      <c r="C87" s="249"/>
      <c r="D87" s="10" t="s">
        <v>38</v>
      </c>
      <c r="E87" s="10">
        <v>31</v>
      </c>
      <c r="F87" s="10"/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5">
        <v>0</v>
      </c>
      <c r="W87" s="15" t="e">
        <v>#DIV/0!</v>
      </c>
      <c r="X87" s="15" t="e">
        <v>#DIV/0!</v>
      </c>
      <c r="Y87" s="14" t="e">
        <v>#DIV/0!</v>
      </c>
      <c r="Z87" s="15" t="e">
        <v>#DIV/0!</v>
      </c>
    </row>
    <row r="88" spans="1:26" ht="15.75" hidden="1" customHeight="1" x14ac:dyDescent="0.25">
      <c r="A88" s="246"/>
      <c r="B88" s="246"/>
      <c r="C88" s="250"/>
      <c r="D88" s="10" t="s">
        <v>34</v>
      </c>
      <c r="E88" s="10">
        <v>31</v>
      </c>
      <c r="F88" s="10"/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5">
        <v>0</v>
      </c>
      <c r="W88" s="15" t="e">
        <v>#DIV/0!</v>
      </c>
      <c r="X88" s="15" t="e">
        <v>#DIV/0!</v>
      </c>
      <c r="Y88" s="14" t="e">
        <v>#DIV/0!</v>
      </c>
      <c r="Z88" s="15" t="e">
        <v>#DIV/0!</v>
      </c>
    </row>
    <row r="89" spans="1:26" ht="15.75" hidden="1" customHeight="1" x14ac:dyDescent="0.25">
      <c r="A89" s="247"/>
      <c r="B89" s="247"/>
      <c r="C89" s="17" t="s">
        <v>73</v>
      </c>
      <c r="D89" s="17"/>
      <c r="E89" s="10">
        <v>31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20">
        <v>0</v>
      </c>
      <c r="W89" s="20" t="e">
        <v>#DIV/0!</v>
      </c>
      <c r="X89" s="20" t="e">
        <v>#DIV/0!</v>
      </c>
      <c r="Y89" s="20" t="e">
        <v>#DIV/0!</v>
      </c>
      <c r="Z89" s="20" t="e">
        <v>#DIV/0!</v>
      </c>
    </row>
    <row r="90" spans="1:26" ht="15.75" x14ac:dyDescent="0.25">
      <c r="A90" s="105" t="s">
        <v>74</v>
      </c>
      <c r="B90" s="105"/>
      <c r="C90" s="105"/>
      <c r="D90" s="105"/>
      <c r="E90" s="10">
        <v>31</v>
      </c>
      <c r="F90" s="29">
        <v>30</v>
      </c>
      <c r="G90" s="29">
        <v>22</v>
      </c>
      <c r="H90" s="29">
        <v>204</v>
      </c>
      <c r="I90" s="29">
        <v>17</v>
      </c>
      <c r="J90" s="28">
        <v>243</v>
      </c>
      <c r="K90" s="29">
        <v>98</v>
      </c>
      <c r="L90" s="29">
        <v>113</v>
      </c>
      <c r="M90" s="28">
        <v>8</v>
      </c>
      <c r="N90" s="29">
        <v>6</v>
      </c>
      <c r="O90" s="29">
        <v>2</v>
      </c>
      <c r="P90" s="28">
        <v>219</v>
      </c>
      <c r="Q90" s="29">
        <v>651</v>
      </c>
      <c r="R90" s="29">
        <v>0</v>
      </c>
      <c r="S90" s="29">
        <v>725</v>
      </c>
      <c r="T90" s="28">
        <v>24</v>
      </c>
      <c r="U90" s="28">
        <v>121</v>
      </c>
      <c r="V90" s="29">
        <v>23.387096774193548</v>
      </c>
      <c r="W90" s="30">
        <v>77.956989247311824</v>
      </c>
      <c r="X90" s="30">
        <v>5.9917355371900829</v>
      </c>
      <c r="Y90" s="30">
        <v>1.6942148760330578</v>
      </c>
      <c r="Z90" s="30">
        <v>4.0333333333333332</v>
      </c>
    </row>
    <row r="91" spans="1:26" ht="15" customHeight="1" x14ac:dyDescent="0.25">
      <c r="A91" s="31"/>
      <c r="B91"/>
      <c r="C91"/>
      <c r="D91" s="32"/>
      <c r="E91" s="10"/>
      <c r="F91"/>
      <c r="G91">
        <v>54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ht="15" customHeight="1" x14ac:dyDescent="0.25">
      <c r="A92" s="243" t="s">
        <v>1</v>
      </c>
      <c r="B92" s="243" t="s">
        <v>2</v>
      </c>
      <c r="C92" s="240" t="s">
        <v>3</v>
      </c>
      <c r="D92" s="240" t="s">
        <v>4</v>
      </c>
      <c r="E92" s="244" t="s">
        <v>5</v>
      </c>
      <c r="F92" s="240" t="s">
        <v>6</v>
      </c>
      <c r="G92" s="240" t="s">
        <v>7</v>
      </c>
      <c r="H92" s="240" t="s">
        <v>8</v>
      </c>
      <c r="I92" s="244" t="s">
        <v>9</v>
      </c>
      <c r="J92" s="240" t="s">
        <v>10</v>
      </c>
      <c r="K92" s="240" t="s">
        <v>11</v>
      </c>
      <c r="L92" s="240" t="s">
        <v>12</v>
      </c>
      <c r="M92" s="240" t="s">
        <v>13</v>
      </c>
      <c r="N92" s="240" t="s">
        <v>14</v>
      </c>
      <c r="O92" s="240" t="s">
        <v>15</v>
      </c>
      <c r="P92" s="240" t="s">
        <v>16</v>
      </c>
      <c r="Q92" s="240" t="s">
        <v>17</v>
      </c>
      <c r="R92" s="240" t="s">
        <v>18</v>
      </c>
      <c r="S92" s="240" t="s">
        <v>19</v>
      </c>
      <c r="T92" s="240" t="s">
        <v>20</v>
      </c>
      <c r="U92" s="241" t="s">
        <v>21</v>
      </c>
      <c r="V92" s="8" t="s">
        <v>22</v>
      </c>
      <c r="W92" s="8" t="s">
        <v>23</v>
      </c>
      <c r="X92" s="8" t="s">
        <v>24</v>
      </c>
      <c r="Y92" s="8" t="s">
        <v>25</v>
      </c>
      <c r="Z92" s="8" t="s">
        <v>26</v>
      </c>
    </row>
    <row r="93" spans="1:26" ht="15" customHeight="1" x14ac:dyDescent="0.25">
      <c r="A93" s="243"/>
      <c r="B93" s="243"/>
      <c r="C93" s="240"/>
      <c r="D93" s="240"/>
      <c r="E93" s="244"/>
      <c r="F93" s="240"/>
      <c r="G93" s="240"/>
      <c r="H93" s="240"/>
      <c r="I93" s="244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1"/>
      <c r="V93" s="238" t="s">
        <v>27</v>
      </c>
      <c r="W93" s="238" t="s">
        <v>28</v>
      </c>
      <c r="X93" s="238" t="s">
        <v>29</v>
      </c>
      <c r="Y93" s="238" t="s">
        <v>30</v>
      </c>
      <c r="Z93" s="238" t="s">
        <v>31</v>
      </c>
    </row>
    <row r="94" spans="1:26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42"/>
      <c r="W94" s="238"/>
      <c r="X94" s="238"/>
      <c r="Y94" s="238"/>
      <c r="Z94" s="238"/>
    </row>
    <row r="95" spans="1:26" x14ac:dyDescent="0.25">
      <c r="A95" s="243"/>
      <c r="B95" s="243"/>
      <c r="C95" s="240"/>
      <c r="D95" s="240"/>
      <c r="E95" s="244"/>
      <c r="F95" s="240"/>
      <c r="G95" s="9">
        <v>1</v>
      </c>
      <c r="H95" s="9">
        <v>2</v>
      </c>
      <c r="I95" s="9">
        <v>3</v>
      </c>
      <c r="J95" s="9">
        <v>4</v>
      </c>
      <c r="K95" s="9">
        <v>5</v>
      </c>
      <c r="L95" s="9">
        <v>6</v>
      </c>
      <c r="M95" s="9">
        <v>7</v>
      </c>
      <c r="N95" s="9">
        <v>8</v>
      </c>
      <c r="O95" s="9">
        <v>9</v>
      </c>
      <c r="P95" s="9">
        <v>10</v>
      </c>
      <c r="Q95" s="9">
        <v>11</v>
      </c>
      <c r="R95" s="9">
        <v>12</v>
      </c>
      <c r="S95" s="9">
        <v>13</v>
      </c>
      <c r="T95" s="9">
        <v>14</v>
      </c>
      <c r="U95" s="241"/>
      <c r="V95" s="58">
        <v>15</v>
      </c>
      <c r="W95" s="58">
        <v>16</v>
      </c>
      <c r="X95" s="58">
        <v>17</v>
      </c>
      <c r="Y95" s="58">
        <v>18</v>
      </c>
      <c r="Z95" s="58">
        <v>19</v>
      </c>
    </row>
    <row r="96" spans="1:26" ht="15" customHeight="1" x14ac:dyDescent="0.25">
      <c r="A96" s="245">
        <v>1</v>
      </c>
      <c r="B96" s="195" t="s">
        <v>75</v>
      </c>
      <c r="C96" s="10" t="s">
        <v>76</v>
      </c>
      <c r="D96" s="10" t="s">
        <v>48</v>
      </c>
      <c r="E96" s="10">
        <v>31</v>
      </c>
      <c r="F96" s="10">
        <v>14</v>
      </c>
      <c r="G96" s="11">
        <v>11</v>
      </c>
      <c r="H96" s="11">
        <v>16</v>
      </c>
      <c r="I96" s="11">
        <v>105</v>
      </c>
      <c r="J96" s="11">
        <v>132</v>
      </c>
      <c r="K96" s="11">
        <v>106</v>
      </c>
      <c r="L96" s="11">
        <v>0</v>
      </c>
      <c r="M96" s="11">
        <v>18</v>
      </c>
      <c r="N96" s="11">
        <v>2</v>
      </c>
      <c r="O96" s="11">
        <v>16</v>
      </c>
      <c r="P96" s="11">
        <v>124</v>
      </c>
      <c r="Q96" s="11">
        <v>144</v>
      </c>
      <c r="R96" s="11">
        <v>1</v>
      </c>
      <c r="S96" s="11">
        <v>278</v>
      </c>
      <c r="T96" s="11">
        <v>8</v>
      </c>
      <c r="U96" s="11">
        <v>18</v>
      </c>
      <c r="V96" s="15">
        <v>8.9677419354838701</v>
      </c>
      <c r="W96" s="15">
        <v>64.055299539170491</v>
      </c>
      <c r="X96" s="15">
        <v>15.444444444444445</v>
      </c>
      <c r="Y96" s="14">
        <v>8.6666666666666679</v>
      </c>
      <c r="Z96" s="15">
        <v>1.2857142857142858</v>
      </c>
    </row>
    <row r="97" spans="1:26" ht="15.75" x14ac:dyDescent="0.25">
      <c r="A97" s="247"/>
      <c r="B97" s="196"/>
      <c r="C97" s="17" t="s">
        <v>76</v>
      </c>
      <c r="D97" s="17" t="s">
        <v>48</v>
      </c>
      <c r="E97" s="10">
        <v>31</v>
      </c>
      <c r="F97" s="17">
        <v>14</v>
      </c>
      <c r="G97" s="17">
        <v>11</v>
      </c>
      <c r="H97" s="17">
        <v>16</v>
      </c>
      <c r="I97" s="17">
        <v>105</v>
      </c>
      <c r="J97" s="17">
        <v>132</v>
      </c>
      <c r="K97" s="17">
        <v>106</v>
      </c>
      <c r="L97" s="17">
        <v>0</v>
      </c>
      <c r="M97" s="17">
        <v>18</v>
      </c>
      <c r="N97" s="17">
        <v>2</v>
      </c>
      <c r="O97" s="17">
        <v>16</v>
      </c>
      <c r="P97" s="17">
        <v>124</v>
      </c>
      <c r="Q97" s="17">
        <v>144</v>
      </c>
      <c r="R97" s="17">
        <v>1</v>
      </c>
      <c r="S97" s="17">
        <v>278</v>
      </c>
      <c r="T97" s="17">
        <v>8</v>
      </c>
      <c r="U97" s="17">
        <v>18</v>
      </c>
      <c r="V97" s="20">
        <v>8.9677419354838701</v>
      </c>
      <c r="W97" s="20">
        <v>64.055299539170491</v>
      </c>
      <c r="X97" s="20">
        <v>15.444444444444445</v>
      </c>
      <c r="Y97" s="20">
        <v>8.6666666666666679</v>
      </c>
      <c r="Z97" s="20">
        <v>1.2857142857142858</v>
      </c>
    </row>
    <row r="98" spans="1:26" ht="15.75" x14ac:dyDescent="0.25">
      <c r="A98" s="245">
        <v>2</v>
      </c>
      <c r="B98" s="196"/>
      <c r="C98" s="10" t="s">
        <v>77</v>
      </c>
      <c r="D98" s="10" t="s">
        <v>48</v>
      </c>
      <c r="E98" s="10">
        <v>31</v>
      </c>
      <c r="F98" s="10">
        <v>5</v>
      </c>
      <c r="G98" s="11">
        <v>3</v>
      </c>
      <c r="H98" s="11">
        <v>74</v>
      </c>
      <c r="I98" s="11">
        <v>10</v>
      </c>
      <c r="J98" s="11">
        <v>87</v>
      </c>
      <c r="K98" s="11">
        <v>78</v>
      </c>
      <c r="L98" s="11">
        <v>1</v>
      </c>
      <c r="M98" s="11">
        <v>7</v>
      </c>
      <c r="N98" s="11">
        <v>7</v>
      </c>
      <c r="O98" s="11">
        <v>0</v>
      </c>
      <c r="P98" s="11">
        <v>86</v>
      </c>
      <c r="Q98" s="11">
        <v>8</v>
      </c>
      <c r="R98" s="11">
        <v>2</v>
      </c>
      <c r="S98" s="11">
        <v>114</v>
      </c>
      <c r="T98" s="11">
        <v>1</v>
      </c>
      <c r="U98" s="11">
        <v>8</v>
      </c>
      <c r="V98" s="15">
        <v>3.6774193548387095</v>
      </c>
      <c r="W98" s="15">
        <v>73.548387096774192</v>
      </c>
      <c r="X98" s="15">
        <v>14.25</v>
      </c>
      <c r="Y98" s="14">
        <v>5.1250000000000009</v>
      </c>
      <c r="Z98" s="15">
        <v>1.6</v>
      </c>
    </row>
    <row r="99" spans="1:26" ht="15.75" x14ac:dyDescent="0.25">
      <c r="A99" s="247"/>
      <c r="B99" s="196"/>
      <c r="C99" s="17" t="s">
        <v>77</v>
      </c>
      <c r="D99" s="17" t="s">
        <v>48</v>
      </c>
      <c r="E99" s="10">
        <v>31</v>
      </c>
      <c r="F99" s="17">
        <v>5</v>
      </c>
      <c r="G99" s="17">
        <v>3</v>
      </c>
      <c r="H99" s="17">
        <v>74</v>
      </c>
      <c r="I99" s="17">
        <v>10</v>
      </c>
      <c r="J99" s="17">
        <v>87</v>
      </c>
      <c r="K99" s="17">
        <v>78</v>
      </c>
      <c r="L99" s="17">
        <v>1</v>
      </c>
      <c r="M99" s="17">
        <v>7</v>
      </c>
      <c r="N99" s="17">
        <v>7</v>
      </c>
      <c r="O99" s="17">
        <v>0</v>
      </c>
      <c r="P99" s="17">
        <v>86</v>
      </c>
      <c r="Q99" s="17">
        <v>8</v>
      </c>
      <c r="R99" s="17">
        <v>2</v>
      </c>
      <c r="S99" s="17">
        <v>114</v>
      </c>
      <c r="T99" s="17">
        <v>1</v>
      </c>
      <c r="U99" s="17">
        <v>8</v>
      </c>
      <c r="V99" s="20">
        <v>3.6774193548387095</v>
      </c>
      <c r="W99" s="20">
        <v>73.548387096774192</v>
      </c>
      <c r="X99" s="20">
        <v>14.25</v>
      </c>
      <c r="Y99" s="20">
        <v>5.1250000000000009</v>
      </c>
      <c r="Z99" s="20">
        <v>1.6</v>
      </c>
    </row>
    <row r="100" spans="1:26" ht="15.75" x14ac:dyDescent="0.25">
      <c r="A100" s="245">
        <v>3</v>
      </c>
      <c r="B100" s="196"/>
      <c r="C100" s="10" t="s">
        <v>78</v>
      </c>
      <c r="D100" s="10" t="s">
        <v>48</v>
      </c>
      <c r="E100" s="10">
        <v>31</v>
      </c>
      <c r="F100" s="10">
        <v>3</v>
      </c>
      <c r="G100" s="43">
        <v>1</v>
      </c>
      <c r="H100" s="43">
        <v>7</v>
      </c>
      <c r="I100" s="43">
        <v>19</v>
      </c>
      <c r="J100" s="11">
        <v>27</v>
      </c>
      <c r="K100" s="43">
        <v>22</v>
      </c>
      <c r="L100" s="43">
        <v>0</v>
      </c>
      <c r="M100" s="11">
        <v>2</v>
      </c>
      <c r="N100" s="43">
        <v>0</v>
      </c>
      <c r="O100" s="43">
        <v>2</v>
      </c>
      <c r="P100" s="11">
        <v>24</v>
      </c>
      <c r="Q100" s="43">
        <v>16</v>
      </c>
      <c r="R100" s="43">
        <v>0</v>
      </c>
      <c r="S100" s="43">
        <v>67</v>
      </c>
      <c r="T100" s="11">
        <v>3</v>
      </c>
      <c r="U100" s="11">
        <v>2</v>
      </c>
      <c r="V100" s="15">
        <v>2.161290322580645</v>
      </c>
      <c r="W100" s="15">
        <v>72.043010752688161</v>
      </c>
      <c r="X100" s="15">
        <v>33.5</v>
      </c>
      <c r="Y100" s="14">
        <v>13.000000000000002</v>
      </c>
      <c r="Z100" s="15">
        <v>0.66666666666666663</v>
      </c>
    </row>
    <row r="101" spans="1:26" ht="15.75" x14ac:dyDescent="0.25">
      <c r="A101" s="247"/>
      <c r="B101" s="196"/>
      <c r="C101" s="17" t="s">
        <v>78</v>
      </c>
      <c r="D101" s="17" t="s">
        <v>48</v>
      </c>
      <c r="E101" s="10">
        <v>31</v>
      </c>
      <c r="F101" s="17">
        <v>3</v>
      </c>
      <c r="G101" s="17">
        <v>1</v>
      </c>
      <c r="H101" s="17">
        <v>7</v>
      </c>
      <c r="I101" s="17">
        <v>19</v>
      </c>
      <c r="J101" s="17">
        <v>27</v>
      </c>
      <c r="K101" s="17">
        <v>22</v>
      </c>
      <c r="L101" s="17">
        <v>0</v>
      </c>
      <c r="M101" s="17">
        <v>2</v>
      </c>
      <c r="N101" s="17">
        <v>0</v>
      </c>
      <c r="O101" s="17">
        <v>2</v>
      </c>
      <c r="P101" s="17">
        <v>24</v>
      </c>
      <c r="Q101" s="17">
        <v>16</v>
      </c>
      <c r="R101" s="17">
        <v>0</v>
      </c>
      <c r="S101" s="17">
        <v>67</v>
      </c>
      <c r="T101" s="17">
        <v>3</v>
      </c>
      <c r="U101" s="17">
        <v>2</v>
      </c>
      <c r="V101" s="20">
        <v>2.161290322580645</v>
      </c>
      <c r="W101" s="20">
        <v>72.043010752688161</v>
      </c>
      <c r="X101" s="20">
        <v>33.5</v>
      </c>
      <c r="Y101" s="20">
        <v>13.000000000000002</v>
      </c>
      <c r="Z101" s="20">
        <v>0.66666666666666663</v>
      </c>
    </row>
    <row r="102" spans="1:26" ht="15.75" x14ac:dyDescent="0.25">
      <c r="A102" s="245">
        <v>4</v>
      </c>
      <c r="B102" s="196"/>
      <c r="C102" s="11" t="s">
        <v>79</v>
      </c>
      <c r="D102" s="11" t="s">
        <v>48</v>
      </c>
      <c r="E102" s="10">
        <v>31</v>
      </c>
      <c r="F102" s="11">
        <v>5</v>
      </c>
      <c r="G102" s="11">
        <v>4</v>
      </c>
      <c r="H102" s="11">
        <v>17</v>
      </c>
      <c r="I102" s="11">
        <v>15</v>
      </c>
      <c r="J102" s="11">
        <v>36</v>
      </c>
      <c r="K102" s="11">
        <v>19</v>
      </c>
      <c r="L102" s="11">
        <v>0</v>
      </c>
      <c r="M102" s="11">
        <v>12</v>
      </c>
      <c r="N102" s="11">
        <v>7</v>
      </c>
      <c r="O102" s="11">
        <v>5</v>
      </c>
      <c r="P102" s="11">
        <v>31</v>
      </c>
      <c r="Q102" s="11">
        <v>39</v>
      </c>
      <c r="R102" s="11">
        <v>4</v>
      </c>
      <c r="S102" s="11">
        <v>122</v>
      </c>
      <c r="T102" s="11">
        <v>5</v>
      </c>
      <c r="U102" s="11">
        <v>12</v>
      </c>
      <c r="V102" s="15">
        <v>3.935483870967742</v>
      </c>
      <c r="W102" s="15">
        <v>78.709677419354847</v>
      </c>
      <c r="X102" s="15">
        <v>10.166666666666666</v>
      </c>
      <c r="Y102" s="14">
        <v>2.75</v>
      </c>
      <c r="Z102" s="15">
        <v>2.4</v>
      </c>
    </row>
    <row r="103" spans="1:26" ht="15.75" x14ac:dyDescent="0.25">
      <c r="A103" s="247"/>
      <c r="B103" s="196"/>
      <c r="C103" s="17" t="s">
        <v>79</v>
      </c>
      <c r="D103" s="17" t="s">
        <v>48</v>
      </c>
      <c r="E103" s="10">
        <v>31</v>
      </c>
      <c r="F103" s="17">
        <v>5</v>
      </c>
      <c r="G103" s="17">
        <v>4</v>
      </c>
      <c r="H103" s="17">
        <v>17</v>
      </c>
      <c r="I103" s="17">
        <v>15</v>
      </c>
      <c r="J103" s="17">
        <v>36</v>
      </c>
      <c r="K103" s="17">
        <v>19</v>
      </c>
      <c r="L103" s="17">
        <v>0</v>
      </c>
      <c r="M103" s="17">
        <v>12</v>
      </c>
      <c r="N103" s="17">
        <v>7</v>
      </c>
      <c r="O103" s="17">
        <v>5</v>
      </c>
      <c r="P103" s="17">
        <v>31</v>
      </c>
      <c r="Q103" s="17">
        <v>39</v>
      </c>
      <c r="R103" s="17">
        <v>4</v>
      </c>
      <c r="S103" s="17">
        <v>122</v>
      </c>
      <c r="T103" s="17">
        <v>5</v>
      </c>
      <c r="U103" s="17">
        <v>12</v>
      </c>
      <c r="V103" s="20">
        <v>3.935483870967742</v>
      </c>
      <c r="W103" s="20">
        <v>78.709677419354847</v>
      </c>
      <c r="X103" s="20">
        <v>10.166666666666666</v>
      </c>
      <c r="Y103" s="20">
        <v>2.75</v>
      </c>
      <c r="Z103" s="20">
        <v>2.4</v>
      </c>
    </row>
    <row r="104" spans="1:26" ht="15.75" x14ac:dyDescent="0.25">
      <c r="A104" s="245">
        <v>5</v>
      </c>
      <c r="B104" s="196"/>
      <c r="C104" s="11" t="s">
        <v>80</v>
      </c>
      <c r="D104" s="11" t="s">
        <v>48</v>
      </c>
      <c r="E104" s="10">
        <v>31</v>
      </c>
      <c r="F104" s="11">
        <v>4</v>
      </c>
      <c r="G104" s="11">
        <v>3</v>
      </c>
      <c r="H104" s="11">
        <v>23</v>
      </c>
      <c r="I104" s="11">
        <v>10</v>
      </c>
      <c r="J104" s="11">
        <v>36</v>
      </c>
      <c r="K104" s="11">
        <v>23</v>
      </c>
      <c r="L104" s="11">
        <v>0</v>
      </c>
      <c r="M104" s="11">
        <v>10</v>
      </c>
      <c r="N104" s="11">
        <v>8</v>
      </c>
      <c r="O104" s="11">
        <v>2</v>
      </c>
      <c r="P104" s="11">
        <v>33</v>
      </c>
      <c r="Q104" s="11">
        <v>18</v>
      </c>
      <c r="R104" s="11">
        <v>3</v>
      </c>
      <c r="S104" s="11">
        <v>84</v>
      </c>
      <c r="T104" s="11">
        <v>3</v>
      </c>
      <c r="U104" s="11">
        <v>10</v>
      </c>
      <c r="V104" s="15">
        <v>2.7096774193548385</v>
      </c>
      <c r="W104" s="15">
        <v>67.741935483870961</v>
      </c>
      <c r="X104" s="15">
        <v>8.4</v>
      </c>
      <c r="Y104" s="14">
        <v>4.0000000000000009</v>
      </c>
      <c r="Z104" s="15">
        <v>2.5</v>
      </c>
    </row>
    <row r="105" spans="1:26" ht="15.75" x14ac:dyDescent="0.25">
      <c r="A105" s="247"/>
      <c r="B105" s="196"/>
      <c r="C105" s="17" t="s">
        <v>80</v>
      </c>
      <c r="D105" s="17" t="s">
        <v>48</v>
      </c>
      <c r="E105" s="10">
        <v>31</v>
      </c>
      <c r="F105" s="17">
        <v>4</v>
      </c>
      <c r="G105" s="17">
        <v>3</v>
      </c>
      <c r="H105" s="17">
        <v>23</v>
      </c>
      <c r="I105" s="17">
        <v>10</v>
      </c>
      <c r="J105" s="17">
        <v>36</v>
      </c>
      <c r="K105" s="17">
        <v>23</v>
      </c>
      <c r="L105" s="17">
        <v>0</v>
      </c>
      <c r="M105" s="17">
        <v>10</v>
      </c>
      <c r="N105" s="17">
        <v>8</v>
      </c>
      <c r="O105" s="17">
        <v>2</v>
      </c>
      <c r="P105" s="17">
        <v>33</v>
      </c>
      <c r="Q105" s="17">
        <v>18</v>
      </c>
      <c r="R105" s="17">
        <v>3</v>
      </c>
      <c r="S105" s="17">
        <v>84</v>
      </c>
      <c r="T105" s="17">
        <v>3</v>
      </c>
      <c r="U105" s="17">
        <v>10</v>
      </c>
      <c r="V105" s="20">
        <v>2.7096774193548385</v>
      </c>
      <c r="W105" s="20">
        <v>67.741935483870961</v>
      </c>
      <c r="X105" s="20">
        <v>8.4</v>
      </c>
      <c r="Y105" s="20">
        <v>4.0000000000000009</v>
      </c>
      <c r="Z105" s="20">
        <v>2.5</v>
      </c>
    </row>
    <row r="106" spans="1:26" ht="15.75" x14ac:dyDescent="0.25">
      <c r="A106" s="245">
        <v>6</v>
      </c>
      <c r="B106" s="196"/>
      <c r="C106" s="11" t="s">
        <v>70</v>
      </c>
      <c r="D106" s="11" t="s">
        <v>48</v>
      </c>
      <c r="E106" s="10">
        <v>31</v>
      </c>
      <c r="F106" s="11">
        <v>2</v>
      </c>
      <c r="G106" s="11">
        <v>1</v>
      </c>
      <c r="H106" s="11">
        <v>11</v>
      </c>
      <c r="I106" s="11">
        <v>2</v>
      </c>
      <c r="J106" s="11">
        <v>14</v>
      </c>
      <c r="K106" s="11">
        <v>6</v>
      </c>
      <c r="L106" s="11">
        <v>1</v>
      </c>
      <c r="M106" s="11">
        <v>6</v>
      </c>
      <c r="N106" s="11">
        <v>4</v>
      </c>
      <c r="O106" s="11">
        <v>2</v>
      </c>
      <c r="P106" s="11">
        <v>13</v>
      </c>
      <c r="Q106" s="11">
        <v>20</v>
      </c>
      <c r="R106" s="11">
        <v>0</v>
      </c>
      <c r="S106" s="11">
        <v>37</v>
      </c>
      <c r="T106" s="11">
        <v>1</v>
      </c>
      <c r="U106" s="11">
        <v>7</v>
      </c>
      <c r="V106" s="44">
        <v>1.1935483870967742</v>
      </c>
      <c r="W106" s="44">
        <v>59.677419354838712</v>
      </c>
      <c r="X106" s="44">
        <v>5.2857142857142856</v>
      </c>
      <c r="Y106" s="45">
        <v>3.5714285714285716</v>
      </c>
      <c r="Z106" s="44">
        <v>3.5</v>
      </c>
    </row>
    <row r="107" spans="1:26" ht="15.75" x14ac:dyDescent="0.25">
      <c r="A107" s="247"/>
      <c r="B107" s="196"/>
      <c r="C107" s="17" t="s">
        <v>70</v>
      </c>
      <c r="D107" s="17"/>
      <c r="E107" s="10">
        <v>31</v>
      </c>
      <c r="F107" s="17">
        <v>2</v>
      </c>
      <c r="G107" s="17">
        <v>1</v>
      </c>
      <c r="H107" s="17">
        <v>11</v>
      </c>
      <c r="I107" s="17">
        <v>2</v>
      </c>
      <c r="J107" s="17">
        <v>14</v>
      </c>
      <c r="K107" s="17">
        <v>6</v>
      </c>
      <c r="L107" s="17">
        <v>1</v>
      </c>
      <c r="M107" s="17">
        <v>6</v>
      </c>
      <c r="N107" s="17">
        <v>4</v>
      </c>
      <c r="O107" s="17">
        <v>2</v>
      </c>
      <c r="P107" s="17">
        <v>13</v>
      </c>
      <c r="Q107" s="17">
        <v>20</v>
      </c>
      <c r="R107" s="17">
        <v>0</v>
      </c>
      <c r="S107" s="17">
        <v>37</v>
      </c>
      <c r="T107" s="17">
        <v>1</v>
      </c>
      <c r="U107" s="17">
        <v>7</v>
      </c>
      <c r="V107" s="46">
        <v>1.1935483870967742</v>
      </c>
      <c r="W107" s="46">
        <v>59.677419354838712</v>
      </c>
      <c r="X107" s="46">
        <v>5.2857142857142856</v>
      </c>
      <c r="Y107" s="46">
        <v>3.5714285714285716</v>
      </c>
      <c r="Z107" s="46">
        <v>3.5</v>
      </c>
    </row>
    <row r="108" spans="1:26" ht="15.75" hidden="1" customHeight="1" x14ac:dyDescent="0.25">
      <c r="A108" s="245">
        <v>7</v>
      </c>
      <c r="B108" s="196"/>
      <c r="C108" s="11" t="s">
        <v>81</v>
      </c>
      <c r="D108" s="11" t="s">
        <v>48</v>
      </c>
      <c r="E108" s="10">
        <v>31</v>
      </c>
      <c r="F108" s="11"/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5">
        <v>0</v>
      </c>
      <c r="W108" s="15" t="e">
        <v>#DIV/0!</v>
      </c>
      <c r="X108" s="15" t="e">
        <v>#DIV/0!</v>
      </c>
      <c r="Y108" s="14" t="e">
        <v>#DIV/0!</v>
      </c>
      <c r="Z108" s="15" t="e">
        <v>#DIV/0!</v>
      </c>
    </row>
    <row r="109" spans="1:26" ht="15.75" hidden="1" customHeight="1" x14ac:dyDescent="0.25">
      <c r="A109" s="247"/>
      <c r="B109" s="196"/>
      <c r="C109" s="17" t="s">
        <v>81</v>
      </c>
      <c r="D109" s="17" t="s">
        <v>48</v>
      </c>
      <c r="E109" s="10">
        <v>31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20">
        <v>0</v>
      </c>
      <c r="W109" s="20" t="e">
        <v>#DIV/0!</v>
      </c>
      <c r="X109" s="20" t="e">
        <v>#DIV/0!</v>
      </c>
      <c r="Y109" s="20" t="e">
        <v>#DIV/0!</v>
      </c>
      <c r="Z109" s="20" t="e">
        <v>#DIV/0!</v>
      </c>
    </row>
    <row r="110" spans="1:26" ht="15.75" x14ac:dyDescent="0.25">
      <c r="A110" s="245">
        <v>8</v>
      </c>
      <c r="B110" s="196"/>
      <c r="C110" s="11" t="s">
        <v>82</v>
      </c>
      <c r="D110" s="11" t="s">
        <v>38</v>
      </c>
      <c r="E110" s="10">
        <v>31</v>
      </c>
      <c r="F110" s="11"/>
      <c r="G110" s="11">
        <v>3</v>
      </c>
      <c r="H110" s="11">
        <v>313</v>
      </c>
      <c r="I110" s="11">
        <v>0</v>
      </c>
      <c r="J110" s="11">
        <v>316</v>
      </c>
      <c r="K110" s="11">
        <v>300</v>
      </c>
      <c r="L110" s="11">
        <v>0</v>
      </c>
      <c r="M110" s="11">
        <v>12</v>
      </c>
      <c r="N110" s="11">
        <v>12</v>
      </c>
      <c r="O110" s="11">
        <v>0</v>
      </c>
      <c r="P110" s="11">
        <v>312</v>
      </c>
      <c r="Q110" s="11">
        <v>12</v>
      </c>
      <c r="R110" s="11">
        <v>11</v>
      </c>
      <c r="S110" s="11">
        <v>178</v>
      </c>
      <c r="T110" s="11">
        <v>4</v>
      </c>
      <c r="U110" s="11">
        <v>12</v>
      </c>
      <c r="V110" s="15">
        <v>5.741935483870968</v>
      </c>
      <c r="W110" s="15" t="e">
        <v>#DIV/0!</v>
      </c>
      <c r="X110" s="15">
        <v>14.833333333333334</v>
      </c>
      <c r="Y110" s="14">
        <v>-14.833333333333334</v>
      </c>
      <c r="Z110" s="15" t="e">
        <v>#DIV/0!</v>
      </c>
    </row>
    <row r="111" spans="1:26" ht="15.75" x14ac:dyDescent="0.25">
      <c r="A111" s="247"/>
      <c r="B111" s="196"/>
      <c r="C111" s="17" t="s">
        <v>82</v>
      </c>
      <c r="D111" s="17" t="s">
        <v>38</v>
      </c>
      <c r="E111" s="10">
        <v>31</v>
      </c>
      <c r="F111" s="17">
        <v>0</v>
      </c>
      <c r="G111" s="17">
        <v>3</v>
      </c>
      <c r="H111" s="17">
        <v>313</v>
      </c>
      <c r="I111" s="17">
        <v>0</v>
      </c>
      <c r="J111" s="17">
        <v>316</v>
      </c>
      <c r="K111" s="17">
        <v>300</v>
      </c>
      <c r="L111" s="17">
        <v>0</v>
      </c>
      <c r="M111" s="17">
        <v>12</v>
      </c>
      <c r="N111" s="17">
        <v>12</v>
      </c>
      <c r="O111" s="17">
        <v>0</v>
      </c>
      <c r="P111" s="17">
        <v>312</v>
      </c>
      <c r="Q111" s="17">
        <v>12</v>
      </c>
      <c r="R111" s="17">
        <v>11</v>
      </c>
      <c r="S111" s="17">
        <v>178</v>
      </c>
      <c r="T111" s="17">
        <v>4</v>
      </c>
      <c r="U111" s="17">
        <v>12</v>
      </c>
      <c r="V111" s="20">
        <v>5.741935483870968</v>
      </c>
      <c r="W111" s="20" t="e">
        <v>#DIV/0!</v>
      </c>
      <c r="X111" s="20">
        <v>14.833333333333334</v>
      </c>
      <c r="Y111" s="20">
        <v>-14.833333333333334</v>
      </c>
      <c r="Z111" s="20" t="e">
        <v>#DIV/0!</v>
      </c>
    </row>
    <row r="112" spans="1:26" ht="15.75" hidden="1" customHeight="1" x14ac:dyDescent="0.25">
      <c r="A112" s="245">
        <v>9</v>
      </c>
      <c r="B112" s="196"/>
      <c r="C112" s="11" t="s">
        <v>64</v>
      </c>
      <c r="D112" s="11" t="s">
        <v>83</v>
      </c>
      <c r="E112" s="10">
        <v>31</v>
      </c>
      <c r="F112" s="11"/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5">
        <v>0</v>
      </c>
      <c r="W112" s="35" t="e">
        <v>#DIV/0!</v>
      </c>
      <c r="X112" s="35" t="e">
        <v>#DIV/0!</v>
      </c>
      <c r="Y112" s="36" t="e">
        <v>#DIV/0!</v>
      </c>
      <c r="Z112" s="35" t="e">
        <v>#DIV/0!</v>
      </c>
    </row>
    <row r="113" spans="1:26" ht="15.75" hidden="1" customHeight="1" x14ac:dyDescent="0.25">
      <c r="A113" s="247"/>
      <c r="B113" s="196"/>
      <c r="C113" s="17" t="s">
        <v>64</v>
      </c>
      <c r="D113" s="17" t="s">
        <v>83</v>
      </c>
      <c r="E113" s="10">
        <v>31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20">
        <v>0</v>
      </c>
      <c r="W113" s="20" t="e">
        <v>#DIV/0!</v>
      </c>
      <c r="X113" s="20" t="e">
        <v>#DIV/0!</v>
      </c>
      <c r="Y113" s="20" t="e">
        <v>#DIV/0!</v>
      </c>
      <c r="Z113" s="20" t="e">
        <v>#DIV/0!</v>
      </c>
    </row>
    <row r="114" spans="1:26" ht="15.75" hidden="1" customHeight="1" x14ac:dyDescent="0.25">
      <c r="A114" s="245">
        <v>10</v>
      </c>
      <c r="B114" s="196"/>
      <c r="C114" s="10" t="s">
        <v>73</v>
      </c>
      <c r="D114" s="10" t="s">
        <v>83</v>
      </c>
      <c r="E114" s="10">
        <v>31</v>
      </c>
      <c r="F114" s="10"/>
      <c r="G114" s="10">
        <v>0</v>
      </c>
      <c r="H114" s="10">
        <v>0</v>
      </c>
      <c r="I114" s="10">
        <v>0</v>
      </c>
      <c r="J114" s="11">
        <v>0</v>
      </c>
      <c r="K114" s="10">
        <v>0</v>
      </c>
      <c r="L114" s="10">
        <v>0</v>
      </c>
      <c r="M114" s="11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1">
        <v>0</v>
      </c>
      <c r="V114" s="15">
        <v>0</v>
      </c>
      <c r="W114" s="35" t="e">
        <v>#DIV/0!</v>
      </c>
      <c r="X114" s="35" t="e">
        <v>#DIV/0!</v>
      </c>
      <c r="Y114" s="36" t="e">
        <v>#DIV/0!</v>
      </c>
      <c r="Z114" s="35" t="e">
        <v>#DIV/0!</v>
      </c>
    </row>
    <row r="115" spans="1:26" ht="15.75" hidden="1" customHeight="1" x14ac:dyDescent="0.25">
      <c r="A115" s="247"/>
      <c r="B115" s="197"/>
      <c r="C115" s="17" t="s">
        <v>73</v>
      </c>
      <c r="D115" s="17" t="s">
        <v>83</v>
      </c>
      <c r="E115" s="10">
        <v>31</v>
      </c>
      <c r="F115" s="17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20">
        <v>0</v>
      </c>
      <c r="W115" s="20" t="e">
        <v>#DIV/0!</v>
      </c>
      <c r="X115" s="20" t="e">
        <v>#DIV/0!</v>
      </c>
      <c r="Y115" s="20" t="e">
        <v>#DIV/0!</v>
      </c>
      <c r="Z115" s="20" t="e">
        <v>#DIV/0!</v>
      </c>
    </row>
    <row r="116" spans="1:26" ht="15.75" hidden="1" customHeight="1" x14ac:dyDescent="0.25">
      <c r="A116" s="232" t="s">
        <v>84</v>
      </c>
      <c r="B116" s="233"/>
      <c r="C116" s="233"/>
      <c r="D116" s="234"/>
      <c r="E116" s="10">
        <v>31</v>
      </c>
      <c r="F116" s="29">
        <v>33</v>
      </c>
      <c r="G116" s="29">
        <v>26</v>
      </c>
      <c r="H116" s="29">
        <v>461</v>
      </c>
      <c r="I116" s="29">
        <v>161</v>
      </c>
      <c r="J116" s="28">
        <v>648</v>
      </c>
      <c r="K116" s="29">
        <v>554</v>
      </c>
      <c r="L116" s="29">
        <v>2</v>
      </c>
      <c r="M116" s="28">
        <v>67</v>
      </c>
      <c r="N116" s="29">
        <v>40</v>
      </c>
      <c r="O116" s="29">
        <v>27</v>
      </c>
      <c r="P116" s="28">
        <v>623</v>
      </c>
      <c r="Q116" s="29">
        <v>257</v>
      </c>
      <c r="R116" s="29">
        <v>21</v>
      </c>
      <c r="S116" s="29">
        <v>880</v>
      </c>
      <c r="T116" s="28">
        <v>25</v>
      </c>
      <c r="U116" s="28">
        <v>69</v>
      </c>
      <c r="V116" s="47">
        <v>28.387096774193548</v>
      </c>
      <c r="W116" s="30">
        <v>86.021505376344081</v>
      </c>
      <c r="X116" s="30">
        <v>12.753623188405797</v>
      </c>
      <c r="Y116" s="30">
        <v>2.0724637681159419</v>
      </c>
      <c r="Z116" s="30">
        <v>2.0909090909090908</v>
      </c>
    </row>
    <row r="117" spans="1:26" ht="15.75" x14ac:dyDescent="0.25">
      <c r="A117" s="235" t="s">
        <v>85</v>
      </c>
      <c r="B117" s="236"/>
      <c r="C117" s="236"/>
      <c r="D117" s="237"/>
      <c r="E117" s="10">
        <v>31</v>
      </c>
      <c r="F117" s="49">
        <v>388</v>
      </c>
      <c r="G117" s="49">
        <v>318</v>
      </c>
      <c r="H117" s="49">
        <v>3118</v>
      </c>
      <c r="I117" s="49">
        <v>806</v>
      </c>
      <c r="J117" s="48">
        <v>4242</v>
      </c>
      <c r="K117" s="49">
        <v>1100</v>
      </c>
      <c r="L117" s="49">
        <v>2615</v>
      </c>
      <c r="M117" s="48">
        <v>271</v>
      </c>
      <c r="N117" s="49">
        <v>141</v>
      </c>
      <c r="O117" s="49">
        <v>130</v>
      </c>
      <c r="P117" s="48">
        <v>3986</v>
      </c>
      <c r="Q117" s="49">
        <v>10519</v>
      </c>
      <c r="R117" s="49">
        <v>53</v>
      </c>
      <c r="S117" s="49">
        <v>9915</v>
      </c>
      <c r="T117" s="49">
        <v>256</v>
      </c>
      <c r="U117" s="48">
        <v>2886</v>
      </c>
      <c r="V117" s="50">
        <v>319.83870967741933</v>
      </c>
      <c r="W117" s="51">
        <v>82.432657133355505</v>
      </c>
      <c r="X117" s="51">
        <v>3.4355509355509355</v>
      </c>
      <c r="Y117" s="51">
        <v>0.73215523215523248</v>
      </c>
      <c r="Z117" s="51">
        <v>7.4381443298969074</v>
      </c>
    </row>
  </sheetData>
  <sheetProtection algorithmName="SHA-512" hashValue="G/52nyUggo2QcrBvYa4XgJ1+y+y6luY20ibUtcJGuCumxgXnL3yCE+4SnDBO9+YmEakhPaZM4+V60yy6qUQUjQ==" saltValue="g6Im2xSstI/3IuxWk7xhEQ==" spinCount="100000" sheet="1" objects="1" scenarios="1"/>
  <mergeCells count="143">
    <mergeCell ref="B3:B6"/>
    <mergeCell ref="C3:C6"/>
    <mergeCell ref="D3:D6"/>
    <mergeCell ref="E3:E6"/>
    <mergeCell ref="F3:F6"/>
    <mergeCell ref="A52:A53"/>
    <mergeCell ref="Y4:Y5"/>
    <mergeCell ref="A38:A42"/>
    <mergeCell ref="A44:A46"/>
    <mergeCell ref="A47:A51"/>
    <mergeCell ref="A22:A23"/>
    <mergeCell ref="A27:A28"/>
    <mergeCell ref="A30:A32"/>
    <mergeCell ref="A18:A21"/>
    <mergeCell ref="A24:A26"/>
    <mergeCell ref="A33:A37"/>
    <mergeCell ref="Z4:Z5"/>
    <mergeCell ref="A7:A8"/>
    <mergeCell ref="A9:A10"/>
    <mergeCell ref="A11:A13"/>
    <mergeCell ref="A14:A17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G79:G81"/>
    <mergeCell ref="H79:H81"/>
    <mergeCell ref="I79:I81"/>
    <mergeCell ref="J79:J81"/>
    <mergeCell ref="K79:K81"/>
    <mergeCell ref="L79:L81"/>
    <mergeCell ref="A55:A56"/>
    <mergeCell ref="C57:C60"/>
    <mergeCell ref="A58:A61"/>
    <mergeCell ref="A62:A63"/>
    <mergeCell ref="A64:D64"/>
    <mergeCell ref="A67:A70"/>
    <mergeCell ref="B67:B70"/>
    <mergeCell ref="C67:C70"/>
    <mergeCell ref="D67:D70"/>
    <mergeCell ref="E67:E70"/>
    <mergeCell ref="F67:F70"/>
    <mergeCell ref="G67:G69"/>
    <mergeCell ref="H67:H69"/>
    <mergeCell ref="I67:I69"/>
    <mergeCell ref="A117:D117"/>
    <mergeCell ref="J92:J94"/>
    <mergeCell ref="K92:K94"/>
    <mergeCell ref="L92:L94"/>
    <mergeCell ref="M92:M94"/>
    <mergeCell ref="N92:N94"/>
    <mergeCell ref="O92:O94"/>
    <mergeCell ref="P92:P94"/>
    <mergeCell ref="Q92:Q94"/>
    <mergeCell ref="A116:D116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S67:S69"/>
    <mergeCell ref="T67:T69"/>
    <mergeCell ref="U67:U70"/>
    <mergeCell ref="V68:V69"/>
    <mergeCell ref="W68:W69"/>
    <mergeCell ref="X68:X69"/>
    <mergeCell ref="Y68:Y69"/>
    <mergeCell ref="Z68:Z69"/>
    <mergeCell ref="A71:A72"/>
    <mergeCell ref="B71:B76"/>
    <mergeCell ref="A73:A74"/>
    <mergeCell ref="A75:A76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V80:V81"/>
    <mergeCell ref="W80:W81"/>
    <mergeCell ref="X80:X81"/>
    <mergeCell ref="Y80:Y81"/>
    <mergeCell ref="Z80:Z81"/>
    <mergeCell ref="A83:A84"/>
    <mergeCell ref="B83:B89"/>
    <mergeCell ref="A86:A89"/>
    <mergeCell ref="C86:C88"/>
    <mergeCell ref="M79:M81"/>
    <mergeCell ref="N79:N81"/>
    <mergeCell ref="O79:O81"/>
    <mergeCell ref="P79:P81"/>
    <mergeCell ref="Q79:Q81"/>
    <mergeCell ref="R79:R81"/>
    <mergeCell ref="S79:S81"/>
    <mergeCell ref="T79:T81"/>
    <mergeCell ref="U79:U82"/>
    <mergeCell ref="A79:A82"/>
    <mergeCell ref="B79:B82"/>
    <mergeCell ref="C79:C82"/>
    <mergeCell ref="D79:D82"/>
    <mergeCell ref="E79:E82"/>
    <mergeCell ref="F79:F82"/>
    <mergeCell ref="S92:S94"/>
    <mergeCell ref="T92:T94"/>
    <mergeCell ref="U92:U95"/>
    <mergeCell ref="V93:V94"/>
    <mergeCell ref="W93:W94"/>
    <mergeCell ref="X93:X94"/>
    <mergeCell ref="Y93:Y94"/>
    <mergeCell ref="Z93:Z94"/>
    <mergeCell ref="A96:A97"/>
    <mergeCell ref="A92:A95"/>
    <mergeCell ref="B92:B95"/>
    <mergeCell ref="C92:C95"/>
    <mergeCell ref="D92:D95"/>
    <mergeCell ref="E92:E95"/>
    <mergeCell ref="F92:F95"/>
    <mergeCell ref="G92:G94"/>
    <mergeCell ref="H92:H94"/>
    <mergeCell ref="I92:I94"/>
    <mergeCell ref="R92:R94"/>
  </mergeCells>
  <printOptions horizontalCentered="1"/>
  <pageMargins left="0.39370078740157483" right="0.39370078740157483" top="0.39370078740157483" bottom="0.39370078740157483" header="0.31496062992125984" footer="0.31496062992125984"/>
  <pageSetup paperSize="5" scale="65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26"/>
  <sheetViews>
    <sheetView tabSelected="1" zoomScale="70" zoomScaleNormal="70" workbookViewId="0">
      <pane xSplit="5" ySplit="6" topLeftCell="F40" activePane="bottomRight" state="frozen"/>
      <selection pane="topRight" activeCell="F1" sqref="F1"/>
      <selection pane="bottomLeft" activeCell="A7" sqref="A7"/>
      <selection pane="bottomRight" activeCell="K53" sqref="K53"/>
    </sheetView>
  </sheetViews>
  <sheetFormatPr defaultRowHeight="15" x14ac:dyDescent="0.25"/>
  <cols>
    <col min="1" max="1" width="4.85546875" style="89" customWidth="1"/>
    <col min="2" max="2" width="11.5703125" style="89" customWidth="1"/>
    <col min="3" max="3" width="14.28515625" style="89" customWidth="1"/>
    <col min="4" max="4" width="17.5703125" style="89" bestFit="1" customWidth="1"/>
    <col min="5" max="5" width="6.28515625" style="89" customWidth="1"/>
    <col min="6" max="6" width="7.85546875" style="89" customWidth="1"/>
    <col min="7" max="12" width="9.140625" style="89"/>
    <col min="13" max="13" width="0" style="89" hidden="1" customWidth="1"/>
    <col min="14" max="16384" width="9.140625" style="89"/>
  </cols>
  <sheetData>
    <row r="1" spans="1:27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  <c r="AA1"/>
    </row>
    <row r="2" spans="1:27" ht="15.75" x14ac:dyDescent="0.25">
      <c r="A2" s="1" t="s">
        <v>134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  <c r="AA2"/>
    </row>
    <row r="3" spans="1:27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/>
    </row>
    <row r="4" spans="1:27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  <c r="AA4"/>
    </row>
    <row r="5" spans="1:27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  <c r="AA5"/>
    </row>
    <row r="6" spans="1:27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  <c r="AA6"/>
    </row>
    <row r="7" spans="1:27" ht="31.5" customHeight="1" x14ac:dyDescent="0.25">
      <c r="A7" s="254">
        <v>1</v>
      </c>
      <c r="B7" s="190" t="s">
        <v>32</v>
      </c>
      <c r="C7" s="97" t="s">
        <v>35</v>
      </c>
      <c r="D7" s="21" t="s">
        <v>34</v>
      </c>
      <c r="E7" s="10">
        <v>30</v>
      </c>
      <c r="F7" s="10">
        <v>20</v>
      </c>
      <c r="G7" s="11">
        <v>13</v>
      </c>
      <c r="H7" s="11">
        <v>188</v>
      </c>
      <c r="I7" s="11">
        <v>13</v>
      </c>
      <c r="J7" s="11">
        <v>214</v>
      </c>
      <c r="K7" s="11">
        <v>11</v>
      </c>
      <c r="L7" s="11">
        <v>158</v>
      </c>
      <c r="M7" s="12">
        <v>22</v>
      </c>
      <c r="N7" s="11">
        <v>13</v>
      </c>
      <c r="O7" s="11">
        <v>9</v>
      </c>
      <c r="P7" s="12">
        <v>191</v>
      </c>
      <c r="Q7" s="11">
        <v>653</v>
      </c>
      <c r="R7" s="11">
        <v>1</v>
      </c>
      <c r="S7" s="11">
        <v>642</v>
      </c>
      <c r="T7" s="12">
        <v>23</v>
      </c>
      <c r="U7" s="12">
        <v>180</v>
      </c>
      <c r="V7" s="13">
        <v>21.4</v>
      </c>
      <c r="W7" s="13">
        <v>106.99999999999999</v>
      </c>
      <c r="X7" s="13">
        <v>3.5666666666666669</v>
      </c>
      <c r="Y7" s="14">
        <v>-0.23333333333333309</v>
      </c>
      <c r="Z7" s="15">
        <v>9</v>
      </c>
      <c r="AA7"/>
    </row>
    <row r="8" spans="1:27" ht="15.75" x14ac:dyDescent="0.25">
      <c r="A8" s="254"/>
      <c r="B8" s="191"/>
      <c r="C8" s="17" t="s">
        <v>35</v>
      </c>
      <c r="D8" s="16"/>
      <c r="E8" s="10">
        <v>30</v>
      </c>
      <c r="F8" s="17">
        <v>20</v>
      </c>
      <c r="G8" s="103">
        <v>13</v>
      </c>
      <c r="H8" s="17">
        <v>188</v>
      </c>
      <c r="I8" s="17">
        <v>13</v>
      </c>
      <c r="J8" s="17">
        <v>214</v>
      </c>
      <c r="K8" s="17">
        <v>11</v>
      </c>
      <c r="L8" s="17">
        <v>158</v>
      </c>
      <c r="M8" s="18">
        <v>22</v>
      </c>
      <c r="N8" s="17">
        <v>13</v>
      </c>
      <c r="O8" s="17">
        <v>9</v>
      </c>
      <c r="P8" s="18">
        <v>191</v>
      </c>
      <c r="Q8" s="17">
        <v>653</v>
      </c>
      <c r="R8" s="17">
        <v>1</v>
      </c>
      <c r="S8" s="17">
        <v>642</v>
      </c>
      <c r="T8" s="18">
        <v>23</v>
      </c>
      <c r="U8" s="18">
        <v>180</v>
      </c>
      <c r="V8" s="19">
        <v>21.4</v>
      </c>
      <c r="W8" s="19">
        <v>106.99999999999999</v>
      </c>
      <c r="X8" s="19">
        <v>3.5666666666666669</v>
      </c>
      <c r="Y8" s="20">
        <v>-0.23333333333333309</v>
      </c>
      <c r="Z8" s="20">
        <v>9</v>
      </c>
      <c r="AA8"/>
    </row>
    <row r="9" spans="1:27" ht="15.75" x14ac:dyDescent="0.25">
      <c r="A9" s="256">
        <v>2</v>
      </c>
      <c r="B9" s="191"/>
      <c r="C9" s="11" t="s">
        <v>36</v>
      </c>
      <c r="D9" s="21" t="s">
        <v>34</v>
      </c>
      <c r="E9" s="10">
        <v>30</v>
      </c>
      <c r="F9" s="11">
        <v>16</v>
      </c>
      <c r="G9" s="11">
        <v>12</v>
      </c>
      <c r="H9" s="11">
        <v>92</v>
      </c>
      <c r="I9" s="11">
        <v>47</v>
      </c>
      <c r="J9" s="11">
        <v>151</v>
      </c>
      <c r="K9" s="11">
        <v>6</v>
      </c>
      <c r="L9" s="11">
        <v>120</v>
      </c>
      <c r="M9" s="12">
        <v>9</v>
      </c>
      <c r="N9" s="11">
        <v>3</v>
      </c>
      <c r="O9" s="11">
        <v>6</v>
      </c>
      <c r="P9" s="12">
        <v>135</v>
      </c>
      <c r="Q9" s="11">
        <v>525</v>
      </c>
      <c r="R9" s="11">
        <v>0</v>
      </c>
      <c r="S9" s="11">
        <v>451</v>
      </c>
      <c r="T9" s="12">
        <v>16</v>
      </c>
      <c r="U9" s="12">
        <v>129</v>
      </c>
      <c r="V9" s="13">
        <v>15.033333333333333</v>
      </c>
      <c r="W9" s="13">
        <v>93.958333333333329</v>
      </c>
      <c r="X9" s="13">
        <v>3.4961240310077519</v>
      </c>
      <c r="Y9" s="14">
        <v>0.22480620155038764</v>
      </c>
      <c r="Z9" s="15">
        <v>8.0625</v>
      </c>
      <c r="AA9"/>
    </row>
    <row r="10" spans="1:27" ht="15.75" x14ac:dyDescent="0.25">
      <c r="A10" s="256"/>
      <c r="B10" s="191"/>
      <c r="C10" s="17" t="s">
        <v>36</v>
      </c>
      <c r="D10" s="16"/>
      <c r="E10" s="10">
        <v>30</v>
      </c>
      <c r="F10" s="17">
        <v>16</v>
      </c>
      <c r="G10" s="103">
        <v>12</v>
      </c>
      <c r="H10" s="17">
        <v>92</v>
      </c>
      <c r="I10" s="17">
        <v>47</v>
      </c>
      <c r="J10" s="17">
        <v>151</v>
      </c>
      <c r="K10" s="17">
        <v>6</v>
      </c>
      <c r="L10" s="17">
        <v>120</v>
      </c>
      <c r="M10" s="18">
        <v>9</v>
      </c>
      <c r="N10" s="17">
        <v>3</v>
      </c>
      <c r="O10" s="17">
        <v>6</v>
      </c>
      <c r="P10" s="18">
        <v>135</v>
      </c>
      <c r="Q10" s="17">
        <v>525</v>
      </c>
      <c r="R10" s="17">
        <v>0</v>
      </c>
      <c r="S10" s="17">
        <v>451</v>
      </c>
      <c r="T10" s="18">
        <v>16</v>
      </c>
      <c r="U10" s="18">
        <v>129</v>
      </c>
      <c r="V10" s="19">
        <v>15.033333333333333</v>
      </c>
      <c r="W10" s="19">
        <v>93.958333333333329</v>
      </c>
      <c r="X10" s="19">
        <v>3.4961240310077519</v>
      </c>
      <c r="Y10" s="20">
        <v>0.22480620155038764</v>
      </c>
      <c r="Z10" s="20">
        <v>8.0625</v>
      </c>
      <c r="AA10"/>
    </row>
    <row r="11" spans="1:27" ht="15.75" customHeight="1" x14ac:dyDescent="0.25">
      <c r="A11" s="256">
        <v>3</v>
      </c>
      <c r="B11" s="191"/>
      <c r="C11"/>
      <c r="D11" s="21" t="s">
        <v>38</v>
      </c>
      <c r="E11" s="10">
        <v>30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  <c r="AA11"/>
    </row>
    <row r="12" spans="1:27" ht="15.75" x14ac:dyDescent="0.25">
      <c r="A12" s="256"/>
      <c r="B12" s="191"/>
      <c r="C12" s="53" t="s">
        <v>37</v>
      </c>
      <c r="D12" s="21" t="s">
        <v>34</v>
      </c>
      <c r="E12" s="10">
        <v>30</v>
      </c>
      <c r="F12" s="11">
        <v>12</v>
      </c>
      <c r="G12" s="11">
        <v>10</v>
      </c>
      <c r="H12" s="11">
        <v>94</v>
      </c>
      <c r="I12" s="11">
        <v>4</v>
      </c>
      <c r="J12" s="11">
        <v>108</v>
      </c>
      <c r="K12" s="11">
        <v>10</v>
      </c>
      <c r="L12" s="11">
        <v>80</v>
      </c>
      <c r="M12" s="12">
        <v>7</v>
      </c>
      <c r="N12" s="11">
        <v>3</v>
      </c>
      <c r="O12" s="11">
        <v>4</v>
      </c>
      <c r="P12" s="12">
        <v>97</v>
      </c>
      <c r="Q12" s="11">
        <v>315</v>
      </c>
      <c r="R12" s="11">
        <v>3</v>
      </c>
      <c r="S12" s="11">
        <v>316</v>
      </c>
      <c r="T12" s="12">
        <v>11</v>
      </c>
      <c r="U12" s="12">
        <v>87</v>
      </c>
      <c r="V12" s="13">
        <v>10.533333333333333</v>
      </c>
      <c r="W12" s="13">
        <v>87.777777777777771</v>
      </c>
      <c r="X12" s="13">
        <v>3.632183908045977</v>
      </c>
      <c r="Y12" s="14">
        <v>0.50574712643678166</v>
      </c>
      <c r="Z12" s="15">
        <v>7.25</v>
      </c>
      <c r="AA12"/>
    </row>
    <row r="13" spans="1:27" ht="15.75" x14ac:dyDescent="0.25">
      <c r="A13" s="256"/>
      <c r="B13" s="191"/>
      <c r="C13" s="17" t="s">
        <v>37</v>
      </c>
      <c r="D13" s="16"/>
      <c r="E13" s="10">
        <v>30</v>
      </c>
      <c r="F13" s="17">
        <v>12</v>
      </c>
      <c r="G13" s="103">
        <v>10</v>
      </c>
      <c r="H13" s="17">
        <v>94</v>
      </c>
      <c r="I13" s="17">
        <v>4</v>
      </c>
      <c r="J13" s="17">
        <v>108</v>
      </c>
      <c r="K13" s="17">
        <v>10</v>
      </c>
      <c r="L13" s="17">
        <v>80</v>
      </c>
      <c r="M13" s="18">
        <v>7</v>
      </c>
      <c r="N13" s="17">
        <v>3</v>
      </c>
      <c r="O13" s="17">
        <v>4</v>
      </c>
      <c r="P13" s="18">
        <v>97</v>
      </c>
      <c r="Q13" s="17">
        <v>315</v>
      </c>
      <c r="R13" s="17">
        <v>3</v>
      </c>
      <c r="S13" s="17">
        <v>316</v>
      </c>
      <c r="T13" s="18">
        <v>11</v>
      </c>
      <c r="U13" s="18">
        <v>87</v>
      </c>
      <c r="V13" s="19">
        <v>10.533333333333333</v>
      </c>
      <c r="W13" s="19">
        <v>87.777777777777771</v>
      </c>
      <c r="X13" s="19">
        <v>3.632183908045977</v>
      </c>
      <c r="Y13" s="20">
        <v>0.50574712643678166</v>
      </c>
      <c r="Z13" s="20">
        <v>7.25</v>
      </c>
      <c r="AA13"/>
    </row>
    <row r="14" spans="1:27" ht="15.75" x14ac:dyDescent="0.25">
      <c r="A14" s="256">
        <v>4</v>
      </c>
      <c r="B14" s="191"/>
      <c r="C14" s="198" t="s">
        <v>39</v>
      </c>
      <c r="D14" s="21" t="s">
        <v>38</v>
      </c>
      <c r="E14" s="10">
        <v>30</v>
      </c>
      <c r="F14" s="10">
        <v>2</v>
      </c>
      <c r="G14" s="11">
        <v>2</v>
      </c>
      <c r="H14" s="11">
        <v>10</v>
      </c>
      <c r="I14" s="11">
        <v>5</v>
      </c>
      <c r="J14" s="11">
        <v>17</v>
      </c>
      <c r="K14" s="11">
        <v>3</v>
      </c>
      <c r="L14" s="11">
        <v>12</v>
      </c>
      <c r="M14" s="12">
        <v>0</v>
      </c>
      <c r="N14" s="11">
        <v>0</v>
      </c>
      <c r="O14" s="11">
        <v>0</v>
      </c>
      <c r="P14" s="12">
        <v>15</v>
      </c>
      <c r="Q14" s="11">
        <v>58</v>
      </c>
      <c r="R14" s="11">
        <v>0</v>
      </c>
      <c r="S14" s="11">
        <v>51</v>
      </c>
      <c r="T14" s="12">
        <v>2</v>
      </c>
      <c r="U14" s="12">
        <v>12</v>
      </c>
      <c r="V14" s="13">
        <v>1.7</v>
      </c>
      <c r="W14" s="13">
        <v>85</v>
      </c>
      <c r="X14" s="13">
        <v>4.25</v>
      </c>
      <c r="Y14" s="14">
        <v>0.75000000000000011</v>
      </c>
      <c r="Z14" s="15">
        <v>6</v>
      </c>
      <c r="AA14"/>
    </row>
    <row r="15" spans="1:27" ht="15.75" x14ac:dyDescent="0.25">
      <c r="A15" s="256"/>
      <c r="B15" s="191"/>
      <c r="C15" s="52" t="s">
        <v>39</v>
      </c>
      <c r="D15" s="21" t="s">
        <v>34</v>
      </c>
      <c r="E15" s="10">
        <v>30</v>
      </c>
      <c r="F15" s="10">
        <v>17</v>
      </c>
      <c r="G15" s="11">
        <v>14</v>
      </c>
      <c r="H15" s="11">
        <v>114</v>
      </c>
      <c r="I15" s="11">
        <v>17</v>
      </c>
      <c r="J15" s="11">
        <v>145</v>
      </c>
      <c r="K15" s="11">
        <v>13</v>
      </c>
      <c r="L15" s="11">
        <v>113</v>
      </c>
      <c r="M15" s="12">
        <v>4</v>
      </c>
      <c r="N15" s="11">
        <v>3</v>
      </c>
      <c r="O15" s="11">
        <v>1</v>
      </c>
      <c r="P15" s="12">
        <v>130</v>
      </c>
      <c r="Q15" s="11">
        <v>495</v>
      </c>
      <c r="R15" s="11">
        <v>0</v>
      </c>
      <c r="S15" s="11">
        <v>451</v>
      </c>
      <c r="T15" s="12">
        <v>15</v>
      </c>
      <c r="U15" s="12">
        <v>117</v>
      </c>
      <c r="V15" s="13">
        <v>15.033333333333333</v>
      </c>
      <c r="W15" s="13">
        <v>88.431372549019599</v>
      </c>
      <c r="X15" s="13">
        <v>3.8547008547008548</v>
      </c>
      <c r="Y15" s="14">
        <v>0.50427350427350426</v>
      </c>
      <c r="Z15" s="15">
        <v>6.882352941176471</v>
      </c>
      <c r="AA15"/>
    </row>
    <row r="16" spans="1:27" ht="15.75" x14ac:dyDescent="0.25">
      <c r="A16" s="256"/>
      <c r="B16" s="191"/>
      <c r="C16" s="198" t="s">
        <v>39</v>
      </c>
      <c r="D16" s="21" t="s">
        <v>40</v>
      </c>
      <c r="E16" s="10">
        <v>30</v>
      </c>
      <c r="F16" s="10">
        <v>5</v>
      </c>
      <c r="G16" s="11">
        <v>0</v>
      </c>
      <c r="H16" s="11">
        <v>27</v>
      </c>
      <c r="I16" s="11">
        <v>3</v>
      </c>
      <c r="J16" s="11">
        <v>30</v>
      </c>
      <c r="K16" s="11">
        <v>3</v>
      </c>
      <c r="L16" s="11">
        <v>23</v>
      </c>
      <c r="M16" s="12">
        <v>0</v>
      </c>
      <c r="N16" s="11">
        <v>0</v>
      </c>
      <c r="O16" s="11">
        <v>0</v>
      </c>
      <c r="P16" s="12">
        <v>26</v>
      </c>
      <c r="Q16" s="11">
        <v>92</v>
      </c>
      <c r="R16" s="11">
        <v>0</v>
      </c>
      <c r="S16" s="11">
        <v>102</v>
      </c>
      <c r="T16" s="12">
        <v>4</v>
      </c>
      <c r="U16" s="12">
        <v>23</v>
      </c>
      <c r="V16" s="13">
        <v>3.4</v>
      </c>
      <c r="W16" s="13">
        <v>68</v>
      </c>
      <c r="X16" s="13">
        <v>4.4347826086956523</v>
      </c>
      <c r="Y16" s="14">
        <v>2.0869565217391304</v>
      </c>
      <c r="Z16" s="15">
        <v>4.5999999999999996</v>
      </c>
      <c r="AA16"/>
    </row>
    <row r="17" spans="1:27" ht="15.75" x14ac:dyDescent="0.25">
      <c r="A17" s="256"/>
      <c r="B17" s="191"/>
      <c r="C17" s="17" t="s">
        <v>39</v>
      </c>
      <c r="D17" s="16"/>
      <c r="E17" s="10">
        <v>30</v>
      </c>
      <c r="F17" s="17">
        <v>24</v>
      </c>
      <c r="G17" s="103">
        <v>16</v>
      </c>
      <c r="H17" s="17">
        <v>151</v>
      </c>
      <c r="I17" s="17">
        <v>25</v>
      </c>
      <c r="J17" s="17">
        <v>192</v>
      </c>
      <c r="K17" s="17">
        <v>19</v>
      </c>
      <c r="L17" s="17">
        <v>148</v>
      </c>
      <c r="M17" s="18">
        <v>4</v>
      </c>
      <c r="N17" s="17">
        <v>3</v>
      </c>
      <c r="O17" s="17">
        <v>1</v>
      </c>
      <c r="P17" s="18">
        <v>171</v>
      </c>
      <c r="Q17" s="17">
        <v>645</v>
      </c>
      <c r="R17" s="17">
        <v>0</v>
      </c>
      <c r="S17" s="17">
        <v>604</v>
      </c>
      <c r="T17" s="18">
        <v>21</v>
      </c>
      <c r="U17" s="18">
        <v>152</v>
      </c>
      <c r="V17" s="19">
        <v>20.133333333333333</v>
      </c>
      <c r="W17" s="19">
        <v>83.888888888888886</v>
      </c>
      <c r="X17" s="19">
        <v>3.9736842105263159</v>
      </c>
      <c r="Y17" s="20">
        <v>0.76315789473684215</v>
      </c>
      <c r="Z17" s="20">
        <v>6.333333333333333</v>
      </c>
      <c r="AA17"/>
    </row>
    <row r="18" spans="1:27" ht="15.75" x14ac:dyDescent="0.25">
      <c r="A18" s="248">
        <v>5</v>
      </c>
      <c r="B18" s="191"/>
      <c r="C18" s="199" t="s">
        <v>41</v>
      </c>
      <c r="D18" s="22" t="s">
        <v>115</v>
      </c>
      <c r="E18" s="10">
        <v>30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4" t="e">
        <v>#DIV/0!</v>
      </c>
      <c r="Z18" s="15">
        <v>0</v>
      </c>
      <c r="AA18"/>
    </row>
    <row r="19" spans="1:27" ht="15.75" x14ac:dyDescent="0.25">
      <c r="A19" s="249"/>
      <c r="B19" s="191"/>
      <c r="C19" s="194" t="s">
        <v>41</v>
      </c>
      <c r="D19" s="98" t="s">
        <v>42</v>
      </c>
      <c r="E19" s="10">
        <v>30</v>
      </c>
      <c r="F19" s="10">
        <v>15</v>
      </c>
      <c r="G19" s="11">
        <v>20</v>
      </c>
      <c r="H19" s="11">
        <v>137</v>
      </c>
      <c r="I19" s="11">
        <v>16</v>
      </c>
      <c r="J19" s="11">
        <v>173</v>
      </c>
      <c r="K19" s="11">
        <v>15</v>
      </c>
      <c r="L19" s="11">
        <v>106</v>
      </c>
      <c r="M19" s="12">
        <v>32</v>
      </c>
      <c r="N19" s="11">
        <v>17</v>
      </c>
      <c r="O19" s="11">
        <v>15</v>
      </c>
      <c r="P19" s="12">
        <v>153</v>
      </c>
      <c r="Q19" s="11">
        <v>614</v>
      </c>
      <c r="R19" s="11">
        <v>2</v>
      </c>
      <c r="S19" s="11">
        <v>565</v>
      </c>
      <c r="T19" s="12">
        <v>20</v>
      </c>
      <c r="U19" s="12">
        <v>138</v>
      </c>
      <c r="V19" s="13">
        <v>18.833333333333332</v>
      </c>
      <c r="W19" s="13">
        <v>125.55555555555556</v>
      </c>
      <c r="X19" s="13">
        <v>4.0942028985507246</v>
      </c>
      <c r="Y19" s="14">
        <v>-0.83333333333333315</v>
      </c>
      <c r="Z19" s="15">
        <v>9.1999999999999993</v>
      </c>
      <c r="AA19"/>
    </row>
    <row r="20" spans="1:27" ht="15.75" x14ac:dyDescent="0.25">
      <c r="A20" s="249"/>
      <c r="B20" s="191"/>
      <c r="C20" s="199" t="s">
        <v>41</v>
      </c>
      <c r="D20" s="98" t="s">
        <v>43</v>
      </c>
      <c r="E20" s="10">
        <v>30</v>
      </c>
      <c r="F20" s="10">
        <v>15</v>
      </c>
      <c r="G20" s="11">
        <v>12</v>
      </c>
      <c r="H20" s="11">
        <v>75</v>
      </c>
      <c r="I20" s="11">
        <v>27</v>
      </c>
      <c r="J20" s="11">
        <v>114</v>
      </c>
      <c r="K20" s="11">
        <v>20</v>
      </c>
      <c r="L20" s="11">
        <v>67</v>
      </c>
      <c r="M20" s="12">
        <v>15</v>
      </c>
      <c r="N20" s="11">
        <v>5</v>
      </c>
      <c r="O20" s="11">
        <v>10</v>
      </c>
      <c r="P20" s="12">
        <v>102</v>
      </c>
      <c r="Q20" s="11">
        <v>478</v>
      </c>
      <c r="R20" s="11">
        <v>1</v>
      </c>
      <c r="S20" s="11">
        <v>362</v>
      </c>
      <c r="T20" s="12">
        <v>12</v>
      </c>
      <c r="U20" s="12">
        <v>82</v>
      </c>
      <c r="V20" s="13">
        <v>12.066666666666666</v>
      </c>
      <c r="W20" s="13">
        <v>80.444444444444443</v>
      </c>
      <c r="X20" s="13">
        <v>4.4146341463414638</v>
      </c>
      <c r="Y20" s="14">
        <v>1.0731707317073171</v>
      </c>
      <c r="Z20" s="15">
        <v>5.4666666666666668</v>
      </c>
      <c r="AA20"/>
    </row>
    <row r="21" spans="1:27" ht="15.75" x14ac:dyDescent="0.25">
      <c r="A21" s="250"/>
      <c r="B21" s="191"/>
      <c r="C21" s="17" t="s">
        <v>41</v>
      </c>
      <c r="D21" s="16"/>
      <c r="E21" s="10">
        <v>30</v>
      </c>
      <c r="F21" s="17">
        <v>34</v>
      </c>
      <c r="G21" s="103">
        <v>32</v>
      </c>
      <c r="H21" s="17">
        <v>212</v>
      </c>
      <c r="I21" s="17">
        <v>43</v>
      </c>
      <c r="J21" s="17">
        <v>287</v>
      </c>
      <c r="K21" s="17">
        <v>35</v>
      </c>
      <c r="L21" s="17">
        <v>173</v>
      </c>
      <c r="M21" s="18">
        <v>47</v>
      </c>
      <c r="N21" s="17">
        <v>22</v>
      </c>
      <c r="O21" s="17">
        <v>25</v>
      </c>
      <c r="P21" s="18">
        <v>255</v>
      </c>
      <c r="Q21" s="17">
        <v>1092</v>
      </c>
      <c r="R21" s="17">
        <v>3</v>
      </c>
      <c r="S21" s="17">
        <v>927</v>
      </c>
      <c r="T21" s="18">
        <v>32</v>
      </c>
      <c r="U21" s="18">
        <v>220</v>
      </c>
      <c r="V21" s="19">
        <v>30.9</v>
      </c>
      <c r="W21" s="19">
        <v>103</v>
      </c>
      <c r="X21" s="19">
        <v>4.2136363636363638</v>
      </c>
      <c r="Y21" s="20">
        <v>-0.12272727272727273</v>
      </c>
      <c r="Z21" s="20">
        <v>14.666666666666666</v>
      </c>
      <c r="AA21"/>
    </row>
    <row r="22" spans="1:27" ht="15.75" x14ac:dyDescent="0.25">
      <c r="A22" s="254">
        <v>6</v>
      </c>
      <c r="B22" s="191"/>
      <c r="C22" s="10" t="s">
        <v>44</v>
      </c>
      <c r="D22" s="21" t="s">
        <v>34</v>
      </c>
      <c r="E22" s="10">
        <v>30</v>
      </c>
      <c r="F22" s="10">
        <v>24</v>
      </c>
      <c r="G22" s="11">
        <v>12</v>
      </c>
      <c r="H22" s="11">
        <v>211</v>
      </c>
      <c r="I22" s="11">
        <v>9</v>
      </c>
      <c r="J22" s="11">
        <v>232</v>
      </c>
      <c r="K22" s="11">
        <v>15</v>
      </c>
      <c r="L22" s="11">
        <v>187</v>
      </c>
      <c r="M22" s="12">
        <v>6</v>
      </c>
      <c r="N22" s="11">
        <v>0</v>
      </c>
      <c r="O22" s="11">
        <v>6</v>
      </c>
      <c r="P22" s="12">
        <v>208</v>
      </c>
      <c r="Q22" s="11">
        <v>668</v>
      </c>
      <c r="R22" s="11">
        <v>0</v>
      </c>
      <c r="S22" s="11">
        <v>643</v>
      </c>
      <c r="T22" s="12">
        <v>24</v>
      </c>
      <c r="U22" s="12">
        <v>193</v>
      </c>
      <c r="V22" s="13">
        <v>21.433333333333334</v>
      </c>
      <c r="W22" s="13">
        <v>89.305555555555557</v>
      </c>
      <c r="X22" s="13">
        <v>3.3316062176165802</v>
      </c>
      <c r="Y22" s="14">
        <v>0.39896373056994816</v>
      </c>
      <c r="Z22" s="15">
        <v>8.0416666666666661</v>
      </c>
      <c r="AA22"/>
    </row>
    <row r="23" spans="1:27" ht="15.75" x14ac:dyDescent="0.25">
      <c r="A23" s="254"/>
      <c r="B23" s="191"/>
      <c r="C23" s="17" t="s">
        <v>44</v>
      </c>
      <c r="D23" s="16"/>
      <c r="E23" s="10">
        <v>30</v>
      </c>
      <c r="F23" s="17">
        <v>24</v>
      </c>
      <c r="G23" s="103">
        <v>12</v>
      </c>
      <c r="H23" s="17">
        <v>211</v>
      </c>
      <c r="I23" s="17">
        <v>9</v>
      </c>
      <c r="J23" s="17">
        <v>232</v>
      </c>
      <c r="K23" s="17">
        <v>15</v>
      </c>
      <c r="L23" s="17">
        <v>187</v>
      </c>
      <c r="M23" s="18">
        <v>6</v>
      </c>
      <c r="N23" s="17">
        <v>0</v>
      </c>
      <c r="O23" s="17">
        <v>6</v>
      </c>
      <c r="P23" s="18">
        <v>208</v>
      </c>
      <c r="Q23" s="17">
        <v>668</v>
      </c>
      <c r="R23" s="17">
        <v>0</v>
      </c>
      <c r="S23" s="17">
        <v>643</v>
      </c>
      <c r="T23" s="18">
        <v>24</v>
      </c>
      <c r="U23" s="18">
        <v>193</v>
      </c>
      <c r="V23" s="19">
        <v>21.433333333333334</v>
      </c>
      <c r="W23" s="19">
        <v>89.305555555555557</v>
      </c>
      <c r="X23" s="19">
        <v>3.3316062176165802</v>
      </c>
      <c r="Y23" s="20">
        <v>0.39896373056994816</v>
      </c>
      <c r="Z23" s="20">
        <v>8.0416666666666661</v>
      </c>
      <c r="AA23"/>
    </row>
    <row r="24" spans="1:27" ht="15.75" x14ac:dyDescent="0.25">
      <c r="A24" s="248">
        <v>7</v>
      </c>
      <c r="B24" s="191"/>
      <c r="C24" s="194" t="s">
        <v>45</v>
      </c>
      <c r="D24" s="22" t="s">
        <v>40</v>
      </c>
      <c r="E24" s="10">
        <v>30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4" t="e">
        <v>#DIV/0!</v>
      </c>
      <c r="Z24" s="15">
        <v>0</v>
      </c>
      <c r="AA24"/>
    </row>
    <row r="25" spans="1:27" ht="15.75" x14ac:dyDescent="0.25">
      <c r="A25" s="249"/>
      <c r="B25" s="191"/>
      <c r="C25" s="199" t="s">
        <v>45</v>
      </c>
      <c r="D25" s="21" t="s">
        <v>34</v>
      </c>
      <c r="E25" s="10">
        <v>30</v>
      </c>
      <c r="F25" s="10">
        <v>16</v>
      </c>
      <c r="G25" s="11">
        <v>14</v>
      </c>
      <c r="H25" s="11">
        <v>133</v>
      </c>
      <c r="I25" s="11">
        <v>9</v>
      </c>
      <c r="J25" s="11">
        <v>156</v>
      </c>
      <c r="K25" s="11">
        <v>10</v>
      </c>
      <c r="L25" s="11">
        <v>124</v>
      </c>
      <c r="M25" s="12">
        <v>6</v>
      </c>
      <c r="N25" s="11">
        <v>1</v>
      </c>
      <c r="O25" s="11">
        <v>5</v>
      </c>
      <c r="P25" s="12">
        <v>140</v>
      </c>
      <c r="Q25" s="11">
        <v>546</v>
      </c>
      <c r="R25" s="11">
        <v>6</v>
      </c>
      <c r="S25" s="11">
        <v>514</v>
      </c>
      <c r="T25" s="12">
        <v>16</v>
      </c>
      <c r="U25" s="12">
        <v>130</v>
      </c>
      <c r="V25" s="13">
        <v>17.133333333333333</v>
      </c>
      <c r="W25" s="13">
        <v>107.08333333333333</v>
      </c>
      <c r="X25" s="13">
        <v>3.953846153846154</v>
      </c>
      <c r="Y25" s="14">
        <v>-0.26153846153846144</v>
      </c>
      <c r="Z25" s="15">
        <v>8.125</v>
      </c>
      <c r="AA25"/>
    </row>
    <row r="26" spans="1:27" ht="15.75" x14ac:dyDescent="0.25">
      <c r="A26" s="250"/>
      <c r="B26" s="191"/>
      <c r="C26" s="17" t="s">
        <v>45</v>
      </c>
      <c r="D26" s="16"/>
      <c r="E26" s="10">
        <v>30</v>
      </c>
      <c r="F26" s="17">
        <v>20</v>
      </c>
      <c r="G26" s="103">
        <v>14</v>
      </c>
      <c r="H26" s="17">
        <v>133</v>
      </c>
      <c r="I26" s="17">
        <v>9</v>
      </c>
      <c r="J26" s="17">
        <v>156</v>
      </c>
      <c r="K26" s="17">
        <v>10</v>
      </c>
      <c r="L26" s="17">
        <v>124</v>
      </c>
      <c r="M26" s="18">
        <v>6</v>
      </c>
      <c r="N26" s="17">
        <v>1</v>
      </c>
      <c r="O26" s="17">
        <v>5</v>
      </c>
      <c r="P26" s="18">
        <v>140</v>
      </c>
      <c r="Q26" s="17">
        <v>546</v>
      </c>
      <c r="R26" s="17">
        <v>6</v>
      </c>
      <c r="S26" s="17">
        <v>514</v>
      </c>
      <c r="T26" s="18">
        <v>16</v>
      </c>
      <c r="U26" s="18">
        <v>130</v>
      </c>
      <c r="V26" s="19">
        <v>17.133333333333333</v>
      </c>
      <c r="W26" s="19">
        <v>85.666666666666671</v>
      </c>
      <c r="X26" s="19">
        <v>3.953846153846154</v>
      </c>
      <c r="Y26" s="20">
        <v>0.66153846153846163</v>
      </c>
      <c r="Z26" s="20">
        <v>6.5</v>
      </c>
      <c r="AA26"/>
    </row>
    <row r="27" spans="1:27" ht="15.75" x14ac:dyDescent="0.25">
      <c r="A27" s="256">
        <v>8</v>
      </c>
      <c r="B27" s="191"/>
      <c r="C27" s="11" t="s">
        <v>46</v>
      </c>
      <c r="D27" s="21" t="s">
        <v>34</v>
      </c>
      <c r="E27" s="10">
        <v>30</v>
      </c>
      <c r="F27" s="11">
        <v>20</v>
      </c>
      <c r="G27" s="11">
        <v>12</v>
      </c>
      <c r="H27" s="11">
        <v>169</v>
      </c>
      <c r="I27" s="11">
        <v>8</v>
      </c>
      <c r="J27" s="11">
        <v>189</v>
      </c>
      <c r="K27" s="11">
        <v>10</v>
      </c>
      <c r="L27" s="11">
        <v>151</v>
      </c>
      <c r="M27" s="12">
        <v>9</v>
      </c>
      <c r="N27" s="11">
        <v>5</v>
      </c>
      <c r="O27" s="11">
        <v>4</v>
      </c>
      <c r="P27" s="12">
        <v>170</v>
      </c>
      <c r="Q27" s="11">
        <v>529</v>
      </c>
      <c r="R27" s="11">
        <v>0</v>
      </c>
      <c r="S27" s="11">
        <v>503</v>
      </c>
      <c r="T27" s="12">
        <v>19</v>
      </c>
      <c r="U27" s="12">
        <v>160</v>
      </c>
      <c r="V27" s="13">
        <v>16.766666666666666</v>
      </c>
      <c r="W27" s="13">
        <v>83.833333333333329</v>
      </c>
      <c r="X27" s="13">
        <v>3.1437499999999998</v>
      </c>
      <c r="Y27" s="14">
        <v>0.60625000000000018</v>
      </c>
      <c r="Z27" s="15">
        <v>8</v>
      </c>
      <c r="AA27"/>
    </row>
    <row r="28" spans="1:27" ht="15.75" x14ac:dyDescent="0.25">
      <c r="A28" s="256"/>
      <c r="B28" s="191"/>
      <c r="C28" s="17" t="s">
        <v>46</v>
      </c>
      <c r="D28" s="16"/>
      <c r="E28" s="10">
        <v>30</v>
      </c>
      <c r="F28" s="17">
        <v>20</v>
      </c>
      <c r="G28" s="103">
        <v>12</v>
      </c>
      <c r="H28" s="17">
        <v>169</v>
      </c>
      <c r="I28" s="17">
        <v>8</v>
      </c>
      <c r="J28" s="17">
        <v>189</v>
      </c>
      <c r="K28" s="17">
        <v>10</v>
      </c>
      <c r="L28" s="17">
        <v>151</v>
      </c>
      <c r="M28" s="18">
        <v>9</v>
      </c>
      <c r="N28" s="17">
        <v>5</v>
      </c>
      <c r="O28" s="17">
        <v>4</v>
      </c>
      <c r="P28" s="18">
        <v>170</v>
      </c>
      <c r="Q28" s="17">
        <v>529</v>
      </c>
      <c r="R28" s="17">
        <v>0</v>
      </c>
      <c r="S28" s="17">
        <v>503</v>
      </c>
      <c r="T28" s="18">
        <v>19</v>
      </c>
      <c r="U28" s="18">
        <v>160</v>
      </c>
      <c r="V28" s="19">
        <v>16.766666666666666</v>
      </c>
      <c r="W28" s="19">
        <v>83.833333333333329</v>
      </c>
      <c r="X28" s="19">
        <v>3.1437499999999998</v>
      </c>
      <c r="Y28" s="20">
        <v>0.60625000000000018</v>
      </c>
      <c r="Z28" s="20">
        <v>8</v>
      </c>
      <c r="AA28"/>
    </row>
    <row r="29" spans="1:27" ht="15.75" x14ac:dyDescent="0.25">
      <c r="A29" s="53"/>
      <c r="B29" s="191"/>
      <c r="C29" s="200" t="s">
        <v>47</v>
      </c>
      <c r="D29" s="22" t="s">
        <v>40</v>
      </c>
      <c r="E29" s="10">
        <v>30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/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1">
        <v>0</v>
      </c>
      <c r="T29" s="12">
        <v>0</v>
      </c>
      <c r="U29" s="12">
        <v>0</v>
      </c>
      <c r="V29" s="13">
        <v>0</v>
      </c>
      <c r="W29" s="13">
        <v>0</v>
      </c>
      <c r="X29" s="13" t="e">
        <v>#DIV/0!</v>
      </c>
      <c r="Y29" s="14" t="e">
        <v>#DIV/0!</v>
      </c>
      <c r="Z29" s="15">
        <v>0</v>
      </c>
      <c r="AA29"/>
    </row>
    <row r="30" spans="1:27" ht="15.75" x14ac:dyDescent="0.25">
      <c r="A30" s="256">
        <v>9</v>
      </c>
      <c r="B30" s="191"/>
      <c r="C30" s="11" t="s">
        <v>47</v>
      </c>
      <c r="D30" s="22" t="s">
        <v>48</v>
      </c>
      <c r="E30" s="10">
        <v>30</v>
      </c>
      <c r="F30" s="11">
        <v>3</v>
      </c>
      <c r="G30" s="11">
        <v>2</v>
      </c>
      <c r="H30" s="11">
        <v>30</v>
      </c>
      <c r="I30" s="11">
        <v>13</v>
      </c>
      <c r="J30" s="11">
        <v>45</v>
      </c>
      <c r="K30" s="11">
        <v>8</v>
      </c>
      <c r="L30" s="11">
        <v>33</v>
      </c>
      <c r="M30" s="12">
        <v>0</v>
      </c>
      <c r="N30" s="11">
        <v>0</v>
      </c>
      <c r="O30" s="11">
        <v>0</v>
      </c>
      <c r="P30" s="12">
        <v>41</v>
      </c>
      <c r="Q30" s="11">
        <v>116</v>
      </c>
      <c r="R30" s="11">
        <v>0</v>
      </c>
      <c r="S30" s="11">
        <v>104</v>
      </c>
      <c r="T30" s="12">
        <v>4</v>
      </c>
      <c r="U30" s="12">
        <v>33</v>
      </c>
      <c r="V30" s="13">
        <v>3.4666666666666668</v>
      </c>
      <c r="W30" s="13">
        <v>115.55555555555557</v>
      </c>
      <c r="X30" s="13">
        <v>3.1515151515151514</v>
      </c>
      <c r="Y30" s="14">
        <v>-0.42424242424242437</v>
      </c>
      <c r="Z30" s="15">
        <v>11</v>
      </c>
      <c r="AA30">
        <f>+S32+S34+S44+S87+S105</f>
        <v>821</v>
      </c>
    </row>
    <row r="31" spans="1:27" ht="15.75" x14ac:dyDescent="0.25">
      <c r="A31" s="256"/>
      <c r="B31" s="191"/>
      <c r="C31" s="200" t="s">
        <v>47</v>
      </c>
      <c r="D31" s="22" t="s">
        <v>112</v>
      </c>
      <c r="E31" s="10">
        <v>30</v>
      </c>
      <c r="F31" s="11">
        <v>8</v>
      </c>
      <c r="G31" s="11">
        <v>3</v>
      </c>
      <c r="H31" s="11">
        <v>44</v>
      </c>
      <c r="I31" s="11">
        <v>7</v>
      </c>
      <c r="J31" s="11">
        <v>54</v>
      </c>
      <c r="K31" s="11">
        <v>12</v>
      </c>
      <c r="L31" s="11">
        <v>33</v>
      </c>
      <c r="M31" s="12">
        <v>2</v>
      </c>
      <c r="N31" s="11">
        <v>0</v>
      </c>
      <c r="O31" s="11">
        <v>2</v>
      </c>
      <c r="P31" s="12">
        <v>47</v>
      </c>
      <c r="Q31" s="11">
        <v>141</v>
      </c>
      <c r="R31" s="11">
        <v>0</v>
      </c>
      <c r="S31" s="11">
        <v>155</v>
      </c>
      <c r="T31" s="12">
        <v>7</v>
      </c>
      <c r="U31" s="12">
        <v>35</v>
      </c>
      <c r="V31" s="13">
        <v>5.166666666666667</v>
      </c>
      <c r="W31" s="13">
        <v>64.583333333333343</v>
      </c>
      <c r="X31" s="13">
        <v>4.4285714285714288</v>
      </c>
      <c r="Y31" s="14">
        <v>2.4285714285714284</v>
      </c>
      <c r="Z31" s="15">
        <v>4.375</v>
      </c>
      <c r="AA31"/>
    </row>
    <row r="32" spans="1:27" ht="15.75" x14ac:dyDescent="0.25">
      <c r="A32" s="256"/>
      <c r="B32" s="191"/>
      <c r="C32" s="17" t="s">
        <v>47</v>
      </c>
      <c r="D32" s="16"/>
      <c r="E32" s="10">
        <v>30</v>
      </c>
      <c r="F32" s="17">
        <v>12</v>
      </c>
      <c r="G32" s="103">
        <v>5</v>
      </c>
      <c r="H32" s="17">
        <v>74</v>
      </c>
      <c r="I32" s="17">
        <v>20</v>
      </c>
      <c r="J32" s="17">
        <v>99</v>
      </c>
      <c r="K32" s="17">
        <v>20</v>
      </c>
      <c r="L32" s="17">
        <v>66</v>
      </c>
      <c r="M32" s="18">
        <v>2</v>
      </c>
      <c r="N32" s="17">
        <v>0</v>
      </c>
      <c r="O32" s="17">
        <v>2</v>
      </c>
      <c r="P32" s="18">
        <v>88</v>
      </c>
      <c r="Q32" s="17">
        <v>257</v>
      </c>
      <c r="R32" s="17">
        <v>0</v>
      </c>
      <c r="S32" s="17">
        <v>259</v>
      </c>
      <c r="T32" s="18">
        <v>11</v>
      </c>
      <c r="U32" s="18">
        <v>68</v>
      </c>
      <c r="V32" s="19">
        <v>8.6333333333333329</v>
      </c>
      <c r="W32" s="19">
        <v>71.944444444444443</v>
      </c>
      <c r="X32" s="19">
        <v>3.8088235294117645</v>
      </c>
      <c r="Y32" s="20">
        <v>1.4852941176470591</v>
      </c>
      <c r="Z32" s="20">
        <v>5.666666666666667</v>
      </c>
      <c r="AA32">
        <f>+S35+S42+S47+S49+S88+S111</f>
        <v>873</v>
      </c>
    </row>
    <row r="33" spans="1:28" ht="15.75" x14ac:dyDescent="0.25">
      <c r="A33" s="262">
        <v>10</v>
      </c>
      <c r="B33" s="191"/>
      <c r="C33" s="200" t="s">
        <v>49</v>
      </c>
      <c r="D33" s="22" t="s">
        <v>40</v>
      </c>
      <c r="E33" s="10">
        <v>30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/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1">
        <v>0</v>
      </c>
      <c r="T33" s="12">
        <v>0</v>
      </c>
      <c r="U33" s="12">
        <v>0</v>
      </c>
      <c r="V33" s="13">
        <v>0</v>
      </c>
      <c r="W33" s="13">
        <v>0</v>
      </c>
      <c r="X33" s="13" t="e">
        <v>#DIV/0!</v>
      </c>
      <c r="Y33" s="14" t="e">
        <v>#DIV/0!</v>
      </c>
      <c r="Z33" s="15">
        <v>0</v>
      </c>
      <c r="AA33"/>
    </row>
    <row r="34" spans="1:28" ht="15.75" x14ac:dyDescent="0.25">
      <c r="A34" s="263"/>
      <c r="B34" s="191"/>
      <c r="C34" s="11" t="s">
        <v>49</v>
      </c>
      <c r="D34" s="22" t="s">
        <v>48</v>
      </c>
      <c r="E34" s="10">
        <v>30</v>
      </c>
      <c r="F34" s="11">
        <v>2</v>
      </c>
      <c r="G34" s="11">
        <v>2</v>
      </c>
      <c r="H34" s="11">
        <v>14</v>
      </c>
      <c r="I34" s="11">
        <v>6</v>
      </c>
      <c r="J34" s="11">
        <v>22</v>
      </c>
      <c r="K34" s="11">
        <v>0</v>
      </c>
      <c r="L34" s="11">
        <v>19</v>
      </c>
      <c r="M34" s="12">
        <v>0</v>
      </c>
      <c r="N34" s="11">
        <v>0</v>
      </c>
      <c r="O34" s="11">
        <v>0</v>
      </c>
      <c r="P34" s="12">
        <v>19</v>
      </c>
      <c r="Q34" s="11">
        <v>82</v>
      </c>
      <c r="R34" s="11">
        <v>0</v>
      </c>
      <c r="S34" s="11">
        <v>70</v>
      </c>
      <c r="T34" s="12">
        <v>3</v>
      </c>
      <c r="U34" s="12">
        <v>19</v>
      </c>
      <c r="V34" s="13">
        <v>2.3333333333333335</v>
      </c>
      <c r="W34" s="13">
        <v>116.66666666666667</v>
      </c>
      <c r="X34" s="13">
        <v>3.6842105263157894</v>
      </c>
      <c r="Y34" s="14">
        <v>-0.5263157894736844</v>
      </c>
      <c r="Z34" s="15">
        <v>9.5</v>
      </c>
      <c r="AA34">
        <f>+S7+S10+S13+S21+S23+S26+S28+S36+S48+S50+S57+S89</f>
        <v>4502</v>
      </c>
    </row>
    <row r="35" spans="1:28" ht="15.75" x14ac:dyDescent="0.25">
      <c r="A35" s="263"/>
      <c r="B35" s="191"/>
      <c r="C35" s="200" t="s">
        <v>49</v>
      </c>
      <c r="D35" s="22" t="s">
        <v>38</v>
      </c>
      <c r="E35" s="10">
        <v>30</v>
      </c>
      <c r="F35" s="11">
        <v>4</v>
      </c>
      <c r="G35" s="11">
        <v>2</v>
      </c>
      <c r="H35" s="11">
        <v>24</v>
      </c>
      <c r="I35" s="11">
        <v>1</v>
      </c>
      <c r="J35" s="11">
        <v>27</v>
      </c>
      <c r="K35" s="11">
        <v>1</v>
      </c>
      <c r="L35" s="11">
        <v>20</v>
      </c>
      <c r="M35" s="12">
        <v>2</v>
      </c>
      <c r="N35" s="11">
        <v>1</v>
      </c>
      <c r="O35" s="11">
        <v>1</v>
      </c>
      <c r="P35" s="12">
        <v>23</v>
      </c>
      <c r="Q35" s="11">
        <v>132</v>
      </c>
      <c r="R35" s="11">
        <v>1</v>
      </c>
      <c r="S35" s="11">
        <v>102</v>
      </c>
      <c r="T35" s="12">
        <v>4</v>
      </c>
      <c r="U35" s="12">
        <v>22</v>
      </c>
      <c r="V35" s="13">
        <v>3.4</v>
      </c>
      <c r="W35" s="13">
        <v>85</v>
      </c>
      <c r="X35" s="13">
        <v>4.6363636363636367</v>
      </c>
      <c r="Y35" s="14">
        <v>0.81818181818181834</v>
      </c>
      <c r="Z35" s="15">
        <v>5.5</v>
      </c>
      <c r="AA35"/>
    </row>
    <row r="36" spans="1:28" ht="15.75" x14ac:dyDescent="0.25">
      <c r="A36" s="263"/>
      <c r="B36" s="191"/>
      <c r="C36" s="200" t="s">
        <v>49</v>
      </c>
      <c r="D36" s="22" t="s">
        <v>34</v>
      </c>
      <c r="E36" s="10">
        <v>30</v>
      </c>
      <c r="F36" s="11">
        <v>12</v>
      </c>
      <c r="G36" s="11">
        <v>7</v>
      </c>
      <c r="H36" s="11">
        <v>81</v>
      </c>
      <c r="I36" s="11">
        <v>3</v>
      </c>
      <c r="J36" s="11">
        <v>91</v>
      </c>
      <c r="K36" s="11">
        <v>2</v>
      </c>
      <c r="L36" s="11">
        <v>77</v>
      </c>
      <c r="M36" s="12">
        <v>1</v>
      </c>
      <c r="N36" s="11">
        <v>1</v>
      </c>
      <c r="O36" s="11">
        <v>0</v>
      </c>
      <c r="P36" s="12">
        <v>80</v>
      </c>
      <c r="Q36" s="11">
        <v>374</v>
      </c>
      <c r="R36" s="11">
        <v>1</v>
      </c>
      <c r="S36" s="11">
        <v>285</v>
      </c>
      <c r="T36" s="12">
        <v>11</v>
      </c>
      <c r="U36" s="12">
        <v>78</v>
      </c>
      <c r="V36" s="13">
        <v>9.5</v>
      </c>
      <c r="W36" s="13">
        <v>79.166666666666657</v>
      </c>
      <c r="X36" s="13">
        <v>3.6538461538461537</v>
      </c>
      <c r="Y36" s="14">
        <v>0.96153846153846156</v>
      </c>
      <c r="Z36" s="15">
        <v>6.5</v>
      </c>
      <c r="AA36"/>
    </row>
    <row r="37" spans="1:28" ht="15.75" x14ac:dyDescent="0.25">
      <c r="A37" s="264"/>
      <c r="B37" s="191"/>
      <c r="C37" s="17" t="s">
        <v>49</v>
      </c>
      <c r="D37" s="16"/>
      <c r="E37" s="10">
        <v>30</v>
      </c>
      <c r="F37" s="17">
        <v>19</v>
      </c>
      <c r="G37" s="17">
        <v>11</v>
      </c>
      <c r="H37" s="17">
        <v>119</v>
      </c>
      <c r="I37" s="17">
        <v>10</v>
      </c>
      <c r="J37" s="17">
        <v>140</v>
      </c>
      <c r="K37" s="17">
        <v>3</v>
      </c>
      <c r="L37" s="17">
        <v>116</v>
      </c>
      <c r="M37" s="18">
        <v>3</v>
      </c>
      <c r="N37" s="17">
        <v>2</v>
      </c>
      <c r="O37" s="17">
        <v>1</v>
      </c>
      <c r="P37" s="18">
        <v>122</v>
      </c>
      <c r="Q37" s="17">
        <v>588</v>
      </c>
      <c r="R37" s="17">
        <v>2</v>
      </c>
      <c r="S37" s="17">
        <v>457</v>
      </c>
      <c r="T37" s="18">
        <v>18</v>
      </c>
      <c r="U37" s="18">
        <v>119</v>
      </c>
      <c r="V37" s="19">
        <v>15.233333333333333</v>
      </c>
      <c r="W37" s="19">
        <v>80.175438596491219</v>
      </c>
      <c r="X37" s="19">
        <v>3.8403361344537816</v>
      </c>
      <c r="Y37" s="20">
        <v>0.9495798319327734</v>
      </c>
      <c r="Z37" s="20">
        <v>6.2631578947368425</v>
      </c>
      <c r="AA37"/>
    </row>
    <row r="38" spans="1:28" ht="15.75" x14ac:dyDescent="0.25">
      <c r="A38" s="231">
        <v>11</v>
      </c>
      <c r="B38" s="191"/>
      <c r="C38" s="198" t="s">
        <v>50</v>
      </c>
      <c r="D38" s="22" t="s">
        <v>51</v>
      </c>
      <c r="E38" s="10">
        <v>30</v>
      </c>
      <c r="F38" s="10">
        <v>6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2">
        <v>0</v>
      </c>
      <c r="N38" s="11">
        <v>0</v>
      </c>
      <c r="O38" s="11">
        <v>0</v>
      </c>
      <c r="P38" s="12">
        <v>0</v>
      </c>
      <c r="Q38" s="11">
        <v>0</v>
      </c>
      <c r="R38" s="11">
        <v>0</v>
      </c>
      <c r="S38" s="11">
        <v>0</v>
      </c>
      <c r="T38" s="12">
        <v>0</v>
      </c>
      <c r="U38" s="12">
        <v>0</v>
      </c>
      <c r="V38" s="13">
        <v>0</v>
      </c>
      <c r="W38" s="13">
        <v>0</v>
      </c>
      <c r="X38" s="13" t="e">
        <v>#DIV/0!</v>
      </c>
      <c r="Y38" s="14" t="e">
        <v>#DIV/0!</v>
      </c>
      <c r="Z38" s="15">
        <v>0</v>
      </c>
      <c r="AA38"/>
    </row>
    <row r="39" spans="1:28" ht="15.75" customHeight="1" x14ac:dyDescent="0.25">
      <c r="A39" s="231"/>
      <c r="B39" s="191"/>
      <c r="C39" s="189" t="s">
        <v>50</v>
      </c>
      <c r="D39" s="22" t="s">
        <v>52</v>
      </c>
      <c r="E39" s="10">
        <v>30</v>
      </c>
      <c r="F39" s="10">
        <v>8</v>
      </c>
      <c r="G39" s="11">
        <v>8</v>
      </c>
      <c r="H39" s="11">
        <v>80</v>
      </c>
      <c r="I39" s="11">
        <v>13</v>
      </c>
      <c r="J39" s="11">
        <v>101</v>
      </c>
      <c r="K39" s="11">
        <v>11</v>
      </c>
      <c r="L39" s="11">
        <v>73</v>
      </c>
      <c r="M39" s="12">
        <v>5</v>
      </c>
      <c r="N39" s="11">
        <v>0</v>
      </c>
      <c r="O39" s="11">
        <v>5</v>
      </c>
      <c r="P39" s="12">
        <v>89</v>
      </c>
      <c r="Q39" s="11">
        <v>268</v>
      </c>
      <c r="R39" s="11">
        <v>0</v>
      </c>
      <c r="S39" s="11">
        <v>304</v>
      </c>
      <c r="T39" s="12">
        <v>12</v>
      </c>
      <c r="U39" s="12">
        <v>78</v>
      </c>
      <c r="V39" s="13">
        <v>10.133333333333333</v>
      </c>
      <c r="W39" s="13">
        <v>126.66666666666666</v>
      </c>
      <c r="X39" s="13">
        <v>3.8974358974358974</v>
      </c>
      <c r="Y39" s="14">
        <v>-0.82051282051282037</v>
      </c>
      <c r="Z39" s="15">
        <v>9.75</v>
      </c>
      <c r="AA39"/>
    </row>
    <row r="40" spans="1:28" ht="15.75" x14ac:dyDescent="0.25">
      <c r="A40" s="231"/>
      <c r="B40" s="191"/>
      <c r="C40" s="198" t="s">
        <v>50</v>
      </c>
      <c r="D40" s="22" t="s">
        <v>53</v>
      </c>
      <c r="E40" s="10">
        <v>30</v>
      </c>
      <c r="F40" s="10">
        <v>14</v>
      </c>
      <c r="G40" s="11">
        <v>6</v>
      </c>
      <c r="H40" s="11">
        <v>110</v>
      </c>
      <c r="I40" s="11">
        <v>12</v>
      </c>
      <c r="J40" s="11">
        <v>128</v>
      </c>
      <c r="K40" s="11">
        <v>15</v>
      </c>
      <c r="L40" s="11">
        <v>89</v>
      </c>
      <c r="M40" s="12">
        <v>11</v>
      </c>
      <c r="N40" s="11">
        <v>5</v>
      </c>
      <c r="O40" s="11">
        <v>6</v>
      </c>
      <c r="P40" s="12">
        <v>115</v>
      </c>
      <c r="Q40" s="11">
        <v>328</v>
      </c>
      <c r="R40" s="11">
        <v>0</v>
      </c>
      <c r="S40" s="11">
        <v>320</v>
      </c>
      <c r="T40" s="12">
        <v>13</v>
      </c>
      <c r="U40" s="12">
        <v>100</v>
      </c>
      <c r="V40" s="13">
        <v>10.666666666666666</v>
      </c>
      <c r="W40" s="13">
        <v>76.19047619047619</v>
      </c>
      <c r="X40" s="13">
        <v>3.2</v>
      </c>
      <c r="Y40" s="23">
        <v>1.0000000000000002</v>
      </c>
      <c r="Z40" s="24">
        <v>7.1428571428571432</v>
      </c>
      <c r="AA40"/>
    </row>
    <row r="41" spans="1:28" ht="15.75" x14ac:dyDescent="0.25">
      <c r="A41" s="231"/>
      <c r="B41" s="191"/>
      <c r="C41" s="189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 t="e">
        <v>#DIV/0!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  <c r="AA41"/>
    </row>
    <row r="42" spans="1:28" ht="15.75" x14ac:dyDescent="0.25">
      <c r="A42" s="231"/>
      <c r="B42" s="191"/>
      <c r="C42" s="17" t="s">
        <v>50</v>
      </c>
      <c r="D42" s="16"/>
      <c r="E42" s="10">
        <v>30</v>
      </c>
      <c r="F42" s="17">
        <v>28</v>
      </c>
      <c r="G42" s="103">
        <v>14</v>
      </c>
      <c r="H42" s="17">
        <v>190</v>
      </c>
      <c r="I42" s="17">
        <v>25</v>
      </c>
      <c r="J42" s="17">
        <v>229</v>
      </c>
      <c r="K42" s="17">
        <v>26</v>
      </c>
      <c r="L42" s="17">
        <v>162</v>
      </c>
      <c r="M42" s="18">
        <v>16</v>
      </c>
      <c r="N42" s="17">
        <v>5</v>
      </c>
      <c r="O42" s="17">
        <v>11</v>
      </c>
      <c r="P42" s="18">
        <v>204</v>
      </c>
      <c r="Q42" s="17">
        <v>596</v>
      </c>
      <c r="R42" s="17">
        <v>0</v>
      </c>
      <c r="S42" s="17">
        <v>624</v>
      </c>
      <c r="T42" s="18">
        <v>25</v>
      </c>
      <c r="U42" s="18">
        <v>178</v>
      </c>
      <c r="V42" s="19">
        <v>20.8</v>
      </c>
      <c r="W42" s="19">
        <v>74.285714285714292</v>
      </c>
      <c r="X42" s="19">
        <v>3.50561797752809</v>
      </c>
      <c r="Y42" s="20">
        <v>1.2134831460674156</v>
      </c>
      <c r="Z42" s="20">
        <v>6.3571428571428568</v>
      </c>
      <c r="AA42"/>
    </row>
    <row r="43" spans="1:28" ht="15.75" x14ac:dyDescent="0.25">
      <c r="A43" s="59"/>
      <c r="B43" s="191"/>
      <c r="C43" s="201" t="s">
        <v>54</v>
      </c>
      <c r="D43" s="22" t="s">
        <v>40</v>
      </c>
      <c r="E43" s="10">
        <v>30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4" t="e">
        <v>#DIV/0!</v>
      </c>
      <c r="Z43" s="15">
        <v>0</v>
      </c>
      <c r="AA43"/>
    </row>
    <row r="44" spans="1:28" ht="15.75" x14ac:dyDescent="0.25">
      <c r="A44" s="231">
        <v>12</v>
      </c>
      <c r="B44" s="191"/>
      <c r="C44" s="10" t="s">
        <v>54</v>
      </c>
      <c r="D44" s="21" t="s">
        <v>48</v>
      </c>
      <c r="E44" s="10">
        <v>30</v>
      </c>
      <c r="F44" s="10">
        <v>13</v>
      </c>
      <c r="G44" s="11">
        <v>12</v>
      </c>
      <c r="H44" s="11">
        <v>113</v>
      </c>
      <c r="I44" s="11">
        <v>13</v>
      </c>
      <c r="J44" s="11">
        <v>138</v>
      </c>
      <c r="K44" s="11">
        <v>8</v>
      </c>
      <c r="L44" s="11">
        <v>107</v>
      </c>
      <c r="M44" s="12">
        <v>8</v>
      </c>
      <c r="N44" s="11">
        <v>2</v>
      </c>
      <c r="O44" s="11">
        <v>6</v>
      </c>
      <c r="P44" s="12">
        <v>123</v>
      </c>
      <c r="Q44" s="11">
        <v>431</v>
      </c>
      <c r="R44" s="11">
        <v>1</v>
      </c>
      <c r="S44" s="11">
        <v>415</v>
      </c>
      <c r="T44" s="12">
        <v>15</v>
      </c>
      <c r="U44" s="12">
        <v>115</v>
      </c>
      <c r="V44" s="13">
        <v>13.833333333333334</v>
      </c>
      <c r="W44" s="13">
        <v>106.41025641025641</v>
      </c>
      <c r="X44" s="13">
        <v>3.6086956521739131</v>
      </c>
      <c r="Y44" s="14">
        <v>-0.21739130434782625</v>
      </c>
      <c r="Z44" s="15">
        <v>8.8461538461538467</v>
      </c>
      <c r="AA44"/>
    </row>
    <row r="45" spans="1:28" ht="15.75" x14ac:dyDescent="0.25">
      <c r="A45" s="231"/>
      <c r="B45" s="191"/>
      <c r="C45" s="201" t="s">
        <v>54</v>
      </c>
      <c r="D45" s="21" t="s">
        <v>55</v>
      </c>
      <c r="E45" s="10">
        <v>30</v>
      </c>
      <c r="F45" s="10">
        <v>2</v>
      </c>
      <c r="G45" s="11">
        <v>0</v>
      </c>
      <c r="H45" s="11">
        <v>1</v>
      </c>
      <c r="I45" s="11">
        <v>0</v>
      </c>
      <c r="J45" s="11">
        <v>1</v>
      </c>
      <c r="K45" s="11">
        <v>0</v>
      </c>
      <c r="L45" s="11">
        <v>1</v>
      </c>
      <c r="M45" s="12">
        <v>0</v>
      </c>
      <c r="N45" s="11">
        <v>0</v>
      </c>
      <c r="O45" s="11">
        <v>0</v>
      </c>
      <c r="P45" s="12">
        <v>1</v>
      </c>
      <c r="Q45" s="11">
        <v>2</v>
      </c>
      <c r="R45" s="11">
        <v>0</v>
      </c>
      <c r="S45" s="11">
        <v>2</v>
      </c>
      <c r="T45" s="12">
        <v>0</v>
      </c>
      <c r="U45" s="12">
        <v>1</v>
      </c>
      <c r="V45" s="13">
        <v>6.6666666666666666E-2</v>
      </c>
      <c r="W45" s="13">
        <v>3.3333333333333335</v>
      </c>
      <c r="X45" s="13">
        <v>2</v>
      </c>
      <c r="Y45" s="14">
        <v>58</v>
      </c>
      <c r="Z45" s="15">
        <v>0.5</v>
      </c>
      <c r="AA45"/>
    </row>
    <row r="46" spans="1:28" ht="15.75" x14ac:dyDescent="0.25">
      <c r="A46" s="231"/>
      <c r="B46" s="191"/>
      <c r="C46" s="17" t="s">
        <v>54</v>
      </c>
      <c r="D46" s="16"/>
      <c r="E46" s="10">
        <v>30</v>
      </c>
      <c r="F46" s="17">
        <v>17</v>
      </c>
      <c r="G46" s="103">
        <v>12</v>
      </c>
      <c r="H46" s="17">
        <v>114</v>
      </c>
      <c r="I46" s="17">
        <v>13</v>
      </c>
      <c r="J46" s="17">
        <v>139</v>
      </c>
      <c r="K46" s="17">
        <v>8</v>
      </c>
      <c r="L46" s="17">
        <v>108</v>
      </c>
      <c r="M46" s="18">
        <v>8</v>
      </c>
      <c r="N46" s="17">
        <v>2</v>
      </c>
      <c r="O46" s="17">
        <v>6</v>
      </c>
      <c r="P46" s="18">
        <v>124</v>
      </c>
      <c r="Q46" s="17">
        <v>433</v>
      </c>
      <c r="R46" s="17">
        <v>1</v>
      </c>
      <c r="S46" s="17">
        <v>417</v>
      </c>
      <c r="T46" s="18">
        <v>15</v>
      </c>
      <c r="U46" s="18">
        <v>116</v>
      </c>
      <c r="V46" s="25">
        <v>13.9</v>
      </c>
      <c r="W46" s="19">
        <v>81.764705882352942</v>
      </c>
      <c r="X46" s="19">
        <v>3.5948275862068964</v>
      </c>
      <c r="Y46" s="20">
        <v>0.80172413793103436</v>
      </c>
      <c r="Z46" s="20">
        <v>6.8235294117647056</v>
      </c>
      <c r="AA46"/>
      <c r="AB46" s="89">
        <f>+S45+S53</f>
        <v>150</v>
      </c>
    </row>
    <row r="47" spans="1:28" ht="15.75" customHeight="1" x14ac:dyDescent="0.25">
      <c r="A47" s="245">
        <v>13</v>
      </c>
      <c r="B47" s="191"/>
      <c r="C47" s="202" t="s">
        <v>61</v>
      </c>
      <c r="D47" s="22" t="s">
        <v>57</v>
      </c>
      <c r="E47" s="10">
        <v>30</v>
      </c>
      <c r="F47" s="11">
        <v>2</v>
      </c>
      <c r="G47" s="11">
        <v>0</v>
      </c>
      <c r="H47" s="11">
        <v>2</v>
      </c>
      <c r="I47" s="11">
        <v>0</v>
      </c>
      <c r="J47" s="11">
        <v>2</v>
      </c>
      <c r="K47" s="11">
        <v>0</v>
      </c>
      <c r="L47" s="11">
        <v>2</v>
      </c>
      <c r="M47" s="12">
        <v>0</v>
      </c>
      <c r="N47" s="11">
        <v>0</v>
      </c>
      <c r="O47" s="11">
        <v>0</v>
      </c>
      <c r="P47" s="12">
        <v>2</v>
      </c>
      <c r="Q47" s="11">
        <v>7</v>
      </c>
      <c r="R47" s="11">
        <v>0</v>
      </c>
      <c r="S47" s="11">
        <v>7</v>
      </c>
      <c r="T47" s="12">
        <v>0</v>
      </c>
      <c r="U47" s="12">
        <v>2</v>
      </c>
      <c r="V47" s="13">
        <v>0.23333333333333334</v>
      </c>
      <c r="W47" s="13">
        <v>11.666666666666666</v>
      </c>
      <c r="X47" s="13">
        <v>3.5</v>
      </c>
      <c r="Y47" s="14">
        <v>26.5</v>
      </c>
      <c r="Z47" s="15">
        <v>1</v>
      </c>
      <c r="AA47"/>
    </row>
    <row r="48" spans="1:28" ht="15.75" x14ac:dyDescent="0.25">
      <c r="A48" s="246"/>
      <c r="B48" s="191"/>
      <c r="C48" s="202" t="s">
        <v>61</v>
      </c>
      <c r="D48" s="99" t="s">
        <v>58</v>
      </c>
      <c r="E48" s="10">
        <v>30</v>
      </c>
      <c r="F48" s="26">
        <v>3</v>
      </c>
      <c r="G48" s="26">
        <v>0</v>
      </c>
      <c r="H48" s="26">
        <v>7</v>
      </c>
      <c r="I48" s="26">
        <v>0</v>
      </c>
      <c r="J48" s="11">
        <v>7</v>
      </c>
      <c r="K48" s="26">
        <v>0</v>
      </c>
      <c r="L48" s="26">
        <v>5</v>
      </c>
      <c r="M48" s="12">
        <v>1</v>
      </c>
      <c r="N48" s="26">
        <v>1</v>
      </c>
      <c r="O48" s="26">
        <v>0</v>
      </c>
      <c r="P48" s="12">
        <v>6</v>
      </c>
      <c r="Q48" s="26">
        <v>22</v>
      </c>
      <c r="R48" s="26">
        <v>0</v>
      </c>
      <c r="S48" s="26">
        <v>25</v>
      </c>
      <c r="T48" s="12">
        <v>1</v>
      </c>
      <c r="U48" s="12">
        <v>6</v>
      </c>
      <c r="V48" s="13">
        <v>0.83333333333333337</v>
      </c>
      <c r="W48" s="13">
        <v>27.777777777777779</v>
      </c>
      <c r="X48" s="13">
        <v>4.166666666666667</v>
      </c>
      <c r="Y48" s="14">
        <v>10.833333333333334</v>
      </c>
      <c r="Z48" s="15">
        <v>2</v>
      </c>
      <c r="AA48"/>
    </row>
    <row r="49" spans="1:27" ht="15.75" x14ac:dyDescent="0.25">
      <c r="A49" s="246"/>
      <c r="B49" s="191"/>
      <c r="C49" s="203" t="s">
        <v>61</v>
      </c>
      <c r="D49" s="99" t="s">
        <v>59</v>
      </c>
      <c r="E49" s="10">
        <v>30</v>
      </c>
      <c r="F49" s="26">
        <v>2</v>
      </c>
      <c r="G49" s="26">
        <v>2</v>
      </c>
      <c r="H49" s="26">
        <v>2</v>
      </c>
      <c r="I49" s="26">
        <v>1</v>
      </c>
      <c r="J49" s="11">
        <v>5</v>
      </c>
      <c r="K49" s="26">
        <v>1</v>
      </c>
      <c r="L49" s="26">
        <v>3</v>
      </c>
      <c r="M49" s="12">
        <v>1</v>
      </c>
      <c r="N49" s="26">
        <v>0</v>
      </c>
      <c r="O49" s="26">
        <v>1</v>
      </c>
      <c r="P49" s="12">
        <v>5</v>
      </c>
      <c r="Q49" s="26">
        <v>23</v>
      </c>
      <c r="R49" s="26">
        <v>0</v>
      </c>
      <c r="S49" s="26">
        <v>16</v>
      </c>
      <c r="T49" s="12">
        <v>0</v>
      </c>
      <c r="U49" s="12">
        <v>4</v>
      </c>
      <c r="V49" s="13">
        <v>0.53333333333333333</v>
      </c>
      <c r="W49" s="13">
        <v>26.666666666666668</v>
      </c>
      <c r="X49" s="13">
        <v>4</v>
      </c>
      <c r="Y49" s="14">
        <v>11</v>
      </c>
      <c r="Z49" s="15">
        <v>2</v>
      </c>
      <c r="AA49"/>
    </row>
    <row r="50" spans="1:27" ht="15.75" x14ac:dyDescent="0.25">
      <c r="A50" s="246"/>
      <c r="B50" s="191"/>
      <c r="C50" s="202" t="s">
        <v>61</v>
      </c>
      <c r="D50" s="99" t="s">
        <v>60</v>
      </c>
      <c r="E50" s="10">
        <v>30</v>
      </c>
      <c r="F50" s="26">
        <v>10</v>
      </c>
      <c r="G50" s="26">
        <v>7</v>
      </c>
      <c r="H50" s="26">
        <v>54</v>
      </c>
      <c r="I50" s="26">
        <v>3</v>
      </c>
      <c r="J50" s="11">
        <v>64</v>
      </c>
      <c r="K50" s="26">
        <v>2</v>
      </c>
      <c r="L50" s="26">
        <v>39</v>
      </c>
      <c r="M50" s="12">
        <v>15</v>
      </c>
      <c r="N50" s="26">
        <v>11</v>
      </c>
      <c r="O50" s="26">
        <v>4</v>
      </c>
      <c r="P50" s="12">
        <v>56</v>
      </c>
      <c r="Q50" s="26">
        <v>205</v>
      </c>
      <c r="R50" s="26">
        <v>2</v>
      </c>
      <c r="S50" s="26">
        <v>196</v>
      </c>
      <c r="T50" s="12">
        <v>8</v>
      </c>
      <c r="U50" s="12">
        <v>54</v>
      </c>
      <c r="V50" s="13">
        <v>6.5333333333333332</v>
      </c>
      <c r="W50" s="13">
        <v>65.333333333333329</v>
      </c>
      <c r="X50" s="13">
        <v>3.6296296296296298</v>
      </c>
      <c r="Y50" s="14">
        <v>1.9259259259259258</v>
      </c>
      <c r="Z50" s="15">
        <v>5.4</v>
      </c>
      <c r="AA50"/>
    </row>
    <row r="51" spans="1:27" ht="15.75" x14ac:dyDescent="0.25">
      <c r="A51" s="247"/>
      <c r="B51" s="191"/>
      <c r="C51" s="17" t="s">
        <v>61</v>
      </c>
      <c r="D51" s="16"/>
      <c r="E51" s="10">
        <v>30</v>
      </c>
      <c r="F51" s="17">
        <v>17</v>
      </c>
      <c r="G51" s="103">
        <v>9</v>
      </c>
      <c r="H51" s="17">
        <v>65</v>
      </c>
      <c r="I51" s="17">
        <v>4</v>
      </c>
      <c r="J51" s="17">
        <v>78</v>
      </c>
      <c r="K51" s="17">
        <v>3</v>
      </c>
      <c r="L51" s="17">
        <v>49</v>
      </c>
      <c r="M51" s="18">
        <v>17</v>
      </c>
      <c r="N51" s="17">
        <v>12</v>
      </c>
      <c r="O51" s="17">
        <v>5</v>
      </c>
      <c r="P51" s="18">
        <v>69</v>
      </c>
      <c r="Q51" s="17">
        <v>257</v>
      </c>
      <c r="R51" s="17">
        <v>2</v>
      </c>
      <c r="S51" s="17">
        <v>244</v>
      </c>
      <c r="T51" s="18">
        <v>9</v>
      </c>
      <c r="U51" s="18">
        <v>66</v>
      </c>
      <c r="V51" s="19">
        <v>8.1333333333333329</v>
      </c>
      <c r="W51" s="19">
        <v>47.843137254901954</v>
      </c>
      <c r="X51" s="19">
        <v>3.6969696969696968</v>
      </c>
      <c r="Y51" s="20">
        <v>4.0303030303030303</v>
      </c>
      <c r="Z51" s="20">
        <v>3.8823529411764706</v>
      </c>
      <c r="AA51"/>
    </row>
    <row r="52" spans="1:27" ht="15.75" x14ac:dyDescent="0.25">
      <c r="A52" s="231">
        <v>14</v>
      </c>
      <c r="B52" s="191"/>
      <c r="C52" s="11" t="s">
        <v>62</v>
      </c>
      <c r="D52" s="22" t="s">
        <v>55</v>
      </c>
      <c r="E52" s="10">
        <v>30</v>
      </c>
      <c r="F52" s="11">
        <v>8</v>
      </c>
      <c r="G52" s="11">
        <v>4</v>
      </c>
      <c r="H52" s="11">
        <v>38</v>
      </c>
      <c r="I52" s="11">
        <v>5</v>
      </c>
      <c r="J52" s="11">
        <v>47</v>
      </c>
      <c r="K52" s="11">
        <v>3</v>
      </c>
      <c r="L52" s="11">
        <v>36</v>
      </c>
      <c r="M52" s="12">
        <v>4</v>
      </c>
      <c r="N52" s="11">
        <v>1</v>
      </c>
      <c r="O52" s="11">
        <v>3</v>
      </c>
      <c r="P52" s="12">
        <v>43</v>
      </c>
      <c r="Q52" s="11">
        <v>158</v>
      </c>
      <c r="R52" s="11">
        <v>0</v>
      </c>
      <c r="S52" s="11">
        <v>148</v>
      </c>
      <c r="T52" s="12">
        <v>4</v>
      </c>
      <c r="U52" s="12">
        <v>40</v>
      </c>
      <c r="V52" s="13">
        <v>4.9333333333333336</v>
      </c>
      <c r="W52" s="24">
        <v>61.666666666666671</v>
      </c>
      <c r="X52" s="24">
        <v>3.7</v>
      </c>
      <c r="Y52" s="23">
        <v>2.2999999999999998</v>
      </c>
      <c r="Z52" s="24">
        <v>5</v>
      </c>
      <c r="AA52"/>
    </row>
    <row r="53" spans="1:27" ht="15.75" x14ac:dyDescent="0.25">
      <c r="A53" s="231"/>
      <c r="B53" s="191"/>
      <c r="C53" s="17" t="s">
        <v>62</v>
      </c>
      <c r="D53" s="16" t="s">
        <v>55</v>
      </c>
      <c r="E53" s="10">
        <v>30</v>
      </c>
      <c r="F53" s="17">
        <v>8</v>
      </c>
      <c r="G53" s="103">
        <v>4</v>
      </c>
      <c r="H53" s="17">
        <v>38</v>
      </c>
      <c r="I53" s="17">
        <v>5</v>
      </c>
      <c r="J53" s="17">
        <v>47</v>
      </c>
      <c r="K53" s="17">
        <v>3</v>
      </c>
      <c r="L53" s="17">
        <v>36</v>
      </c>
      <c r="M53" s="18">
        <v>4</v>
      </c>
      <c r="N53" s="17">
        <v>1</v>
      </c>
      <c r="O53" s="17">
        <v>3</v>
      </c>
      <c r="P53" s="18">
        <v>43</v>
      </c>
      <c r="Q53" s="17">
        <v>158</v>
      </c>
      <c r="R53" s="17">
        <v>0</v>
      </c>
      <c r="S53" s="17">
        <v>148</v>
      </c>
      <c r="T53" s="18">
        <v>4</v>
      </c>
      <c r="U53" s="18">
        <v>40</v>
      </c>
      <c r="V53" s="19">
        <v>4.9333333333333336</v>
      </c>
      <c r="W53" s="27">
        <v>61.666666666666671</v>
      </c>
      <c r="X53" s="27">
        <v>3.7</v>
      </c>
      <c r="Y53" s="27">
        <v>2.2999999999999998</v>
      </c>
      <c r="Z53" s="27">
        <v>5</v>
      </c>
      <c r="AA53"/>
    </row>
    <row r="54" spans="1:27" ht="15.75" x14ac:dyDescent="0.25">
      <c r="A54" s="59"/>
      <c r="B54" s="191"/>
      <c r="C54" s="181" t="s">
        <v>63</v>
      </c>
      <c r="D54" s="22" t="s">
        <v>40</v>
      </c>
      <c r="E54" s="10">
        <v>30</v>
      </c>
      <c r="F54" s="11">
        <v>4</v>
      </c>
      <c r="G54" s="11">
        <v>0</v>
      </c>
      <c r="H54" s="11">
        <v>0</v>
      </c>
      <c r="I54" s="11">
        <v>0</v>
      </c>
      <c r="J54" s="11"/>
      <c r="K54" s="11">
        <v>0</v>
      </c>
      <c r="L54" s="11">
        <v>0</v>
      </c>
      <c r="M54" s="12"/>
      <c r="N54" s="11">
        <v>0</v>
      </c>
      <c r="O54" s="11">
        <v>0</v>
      </c>
      <c r="P54" s="12"/>
      <c r="Q54" s="11">
        <v>0</v>
      </c>
      <c r="R54" s="11">
        <v>0</v>
      </c>
      <c r="S54" s="11">
        <v>0</v>
      </c>
      <c r="T54" s="12">
        <v>0</v>
      </c>
      <c r="U54" s="12">
        <v>0</v>
      </c>
      <c r="V54" s="13">
        <v>0</v>
      </c>
      <c r="W54" s="13">
        <v>0</v>
      </c>
      <c r="X54" s="13" t="e">
        <v>#DIV/0!</v>
      </c>
      <c r="Y54" s="14" t="e">
        <v>#DIV/0!</v>
      </c>
      <c r="Z54" s="15">
        <v>0</v>
      </c>
      <c r="AA54"/>
    </row>
    <row r="55" spans="1:27" ht="15.75" x14ac:dyDescent="0.25">
      <c r="A55" s="231">
        <v>15</v>
      </c>
      <c r="B55" s="191"/>
      <c r="C55" s="182" t="s">
        <v>63</v>
      </c>
      <c r="D55" s="22" t="s">
        <v>34</v>
      </c>
      <c r="E55" s="10">
        <v>30</v>
      </c>
      <c r="F55" s="11">
        <v>14</v>
      </c>
      <c r="G55" s="11">
        <v>11</v>
      </c>
      <c r="H55" s="11">
        <v>128</v>
      </c>
      <c r="I55" s="11">
        <v>17</v>
      </c>
      <c r="J55" s="11">
        <v>156</v>
      </c>
      <c r="K55" s="11">
        <v>11</v>
      </c>
      <c r="L55" s="11">
        <v>111</v>
      </c>
      <c r="M55" s="11">
        <v>17</v>
      </c>
      <c r="N55" s="11">
        <v>9</v>
      </c>
      <c r="O55" s="11">
        <v>8</v>
      </c>
      <c r="P55" s="11">
        <v>139</v>
      </c>
      <c r="Q55" s="11">
        <v>541</v>
      </c>
      <c r="R55" s="11">
        <v>1</v>
      </c>
      <c r="S55" s="11">
        <v>503</v>
      </c>
      <c r="T55" s="11">
        <v>17</v>
      </c>
      <c r="U55" s="11">
        <v>128</v>
      </c>
      <c r="V55" s="15">
        <v>16.766666666666666</v>
      </c>
      <c r="W55" s="15">
        <v>119.76190476190476</v>
      </c>
      <c r="X55" s="15">
        <v>3.9296875</v>
      </c>
      <c r="Y55" s="14">
        <v>-0.64843749999999978</v>
      </c>
      <c r="Z55" s="15">
        <v>9.1428571428571423</v>
      </c>
      <c r="AA55"/>
    </row>
    <row r="56" spans="1:27" ht="15.75" x14ac:dyDescent="0.25">
      <c r="A56" s="231"/>
      <c r="B56" s="191"/>
      <c r="C56" s="17" t="s">
        <v>63</v>
      </c>
      <c r="D56" s="16"/>
      <c r="E56" s="10">
        <v>30</v>
      </c>
      <c r="F56" s="17">
        <v>18</v>
      </c>
      <c r="G56" s="103">
        <v>11</v>
      </c>
      <c r="H56" s="17">
        <v>128</v>
      </c>
      <c r="I56" s="17">
        <v>17</v>
      </c>
      <c r="J56" s="17">
        <v>156</v>
      </c>
      <c r="K56" s="17">
        <v>11</v>
      </c>
      <c r="L56" s="17">
        <v>111</v>
      </c>
      <c r="M56" s="17">
        <v>17</v>
      </c>
      <c r="N56" s="17">
        <v>9</v>
      </c>
      <c r="O56" s="17">
        <v>8</v>
      </c>
      <c r="P56" s="17">
        <v>139</v>
      </c>
      <c r="Q56" s="17">
        <v>541</v>
      </c>
      <c r="R56" s="17">
        <v>1</v>
      </c>
      <c r="S56" s="17">
        <v>503</v>
      </c>
      <c r="T56" s="17">
        <v>17</v>
      </c>
      <c r="U56" s="17">
        <v>128</v>
      </c>
      <c r="V56" s="20">
        <v>16.766666666666666</v>
      </c>
      <c r="W56" s="20">
        <v>93.148148148148152</v>
      </c>
      <c r="X56" s="20">
        <v>3.9296875</v>
      </c>
      <c r="Y56" s="20">
        <v>0.28906250000000022</v>
      </c>
      <c r="Z56" s="20">
        <v>7.1111111111111107</v>
      </c>
      <c r="AA56"/>
    </row>
    <row r="57" spans="1:27" ht="15.75" x14ac:dyDescent="0.25">
      <c r="A57" s="59"/>
      <c r="B57" s="191"/>
      <c r="C57" s="248" t="s">
        <v>64</v>
      </c>
      <c r="D57" s="22" t="s">
        <v>112</v>
      </c>
      <c r="E57" s="10">
        <v>30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2">
        <v>0</v>
      </c>
      <c r="U57" s="12">
        <v>0</v>
      </c>
      <c r="V57" s="13">
        <v>0</v>
      </c>
      <c r="W57" s="13" t="e">
        <v>#DIV/0!</v>
      </c>
      <c r="X57" s="13" t="e">
        <v>#DIV/0!</v>
      </c>
      <c r="Y57" s="14" t="e">
        <v>#DIV/0!</v>
      </c>
      <c r="Z57" s="15" t="e">
        <v>#DIV/0!</v>
      </c>
      <c r="AA57"/>
    </row>
    <row r="58" spans="1:27" ht="15.75" x14ac:dyDescent="0.25">
      <c r="A58" s="253">
        <v>16</v>
      </c>
      <c r="B58" s="191"/>
      <c r="C58" s="249"/>
      <c r="D58" s="21" t="s">
        <v>48</v>
      </c>
      <c r="E58" s="10">
        <v>30</v>
      </c>
      <c r="F58" s="10">
        <v>3</v>
      </c>
      <c r="G58" s="11">
        <v>3</v>
      </c>
      <c r="H58" s="10">
        <v>24</v>
      </c>
      <c r="I58" s="10">
        <v>27</v>
      </c>
      <c r="J58" s="11">
        <v>54</v>
      </c>
      <c r="K58" s="10">
        <v>39</v>
      </c>
      <c r="L58" s="10">
        <v>13</v>
      </c>
      <c r="M58" s="11">
        <v>0</v>
      </c>
      <c r="N58" s="10">
        <v>0</v>
      </c>
      <c r="O58" s="10">
        <v>0</v>
      </c>
      <c r="P58" s="11">
        <v>52</v>
      </c>
      <c r="Q58" s="10">
        <v>31</v>
      </c>
      <c r="R58" s="10">
        <v>0</v>
      </c>
      <c r="S58" s="10">
        <v>36</v>
      </c>
      <c r="T58" s="12">
        <v>2</v>
      </c>
      <c r="U58" s="12">
        <v>13</v>
      </c>
      <c r="V58" s="13">
        <v>1.2</v>
      </c>
      <c r="W58" s="24">
        <v>40</v>
      </c>
      <c r="X58" s="24">
        <v>2.7692307692307692</v>
      </c>
      <c r="Y58" s="23">
        <v>4.1538461538461542</v>
      </c>
      <c r="Z58" s="24">
        <v>4.333333333333333</v>
      </c>
      <c r="AA58"/>
    </row>
    <row r="59" spans="1:27" ht="15.75" x14ac:dyDescent="0.25">
      <c r="A59" s="253"/>
      <c r="B59" s="191"/>
      <c r="C59" s="249"/>
      <c r="D59" s="21" t="s">
        <v>38</v>
      </c>
      <c r="E59" s="10">
        <v>30</v>
      </c>
      <c r="F59" s="10">
        <v>8</v>
      </c>
      <c r="G59" s="11">
        <v>3</v>
      </c>
      <c r="H59" s="10">
        <v>89</v>
      </c>
      <c r="I59" s="10">
        <v>72</v>
      </c>
      <c r="J59" s="11">
        <v>164</v>
      </c>
      <c r="K59" s="10">
        <v>137</v>
      </c>
      <c r="L59" s="10">
        <v>20</v>
      </c>
      <c r="M59" s="11">
        <v>1</v>
      </c>
      <c r="N59" s="10">
        <v>0</v>
      </c>
      <c r="O59" s="10">
        <v>1</v>
      </c>
      <c r="P59" s="11">
        <v>158</v>
      </c>
      <c r="Q59" s="10">
        <v>55</v>
      </c>
      <c r="R59" s="10">
        <v>0</v>
      </c>
      <c r="S59" s="10">
        <v>229</v>
      </c>
      <c r="T59" s="12">
        <v>6</v>
      </c>
      <c r="U59" s="12">
        <v>21</v>
      </c>
      <c r="V59" s="13">
        <v>7.6333333333333337</v>
      </c>
      <c r="W59" s="24">
        <v>95.416666666666671</v>
      </c>
      <c r="X59" s="24">
        <v>10.904761904761905</v>
      </c>
      <c r="Y59" s="23">
        <v>0.52380952380952317</v>
      </c>
      <c r="Z59" s="24">
        <v>2.625</v>
      </c>
      <c r="AA59" s="140"/>
    </row>
    <row r="60" spans="1:27" ht="15.75" x14ac:dyDescent="0.25">
      <c r="A60" s="253"/>
      <c r="B60" s="191"/>
      <c r="C60" s="250"/>
      <c r="D60" s="21" t="s">
        <v>34</v>
      </c>
      <c r="E60" s="10">
        <v>30</v>
      </c>
      <c r="F60" s="10">
        <v>25</v>
      </c>
      <c r="G60" s="11">
        <v>14</v>
      </c>
      <c r="H60" s="10">
        <v>347</v>
      </c>
      <c r="I60" s="10">
        <v>233</v>
      </c>
      <c r="J60" s="11">
        <v>594</v>
      </c>
      <c r="K60" s="10">
        <v>81</v>
      </c>
      <c r="L60" s="10">
        <v>485</v>
      </c>
      <c r="M60" s="11">
        <v>2</v>
      </c>
      <c r="N60" s="10">
        <v>1</v>
      </c>
      <c r="O60" s="10">
        <v>1</v>
      </c>
      <c r="P60" s="11">
        <v>568</v>
      </c>
      <c r="Q60" s="10">
        <v>975</v>
      </c>
      <c r="R60" s="10">
        <v>1</v>
      </c>
      <c r="S60" s="10">
        <v>664</v>
      </c>
      <c r="T60" s="12">
        <v>26</v>
      </c>
      <c r="U60" s="12">
        <v>487</v>
      </c>
      <c r="V60" s="13">
        <v>22.133333333333333</v>
      </c>
      <c r="W60" s="24">
        <v>88.533333333333331</v>
      </c>
      <c r="X60" s="24">
        <v>1.3634496919917864</v>
      </c>
      <c r="Y60" s="23">
        <v>0.17659137577002057</v>
      </c>
      <c r="Z60" s="24">
        <v>19.48</v>
      </c>
      <c r="AA60" s="140"/>
    </row>
    <row r="61" spans="1:27" ht="15.75" x14ac:dyDescent="0.25">
      <c r="A61" s="253"/>
      <c r="B61" s="191"/>
      <c r="C61" s="17" t="s">
        <v>64</v>
      </c>
      <c r="D61" s="16"/>
      <c r="E61" s="10">
        <v>30</v>
      </c>
      <c r="F61" s="17">
        <v>36</v>
      </c>
      <c r="G61" s="103">
        <v>20</v>
      </c>
      <c r="H61" s="17">
        <v>460</v>
      </c>
      <c r="I61" s="17">
        <v>332</v>
      </c>
      <c r="J61" s="17">
        <v>812</v>
      </c>
      <c r="K61" s="17">
        <v>257</v>
      </c>
      <c r="L61" s="17">
        <v>518</v>
      </c>
      <c r="M61" s="17">
        <v>3</v>
      </c>
      <c r="N61" s="17">
        <v>1</v>
      </c>
      <c r="O61" s="17">
        <v>2</v>
      </c>
      <c r="P61" s="17">
        <v>778</v>
      </c>
      <c r="Q61" s="17">
        <v>1061</v>
      </c>
      <c r="R61" s="17">
        <v>1</v>
      </c>
      <c r="S61" s="17">
        <v>929</v>
      </c>
      <c r="T61" s="17">
        <v>34</v>
      </c>
      <c r="U61" s="17">
        <v>521</v>
      </c>
      <c r="V61" s="20">
        <v>30.966666666666665</v>
      </c>
      <c r="W61" s="20">
        <v>86.018518518518519</v>
      </c>
      <c r="X61" s="20">
        <v>1.783109404990403</v>
      </c>
      <c r="Y61" s="20">
        <v>0.28982725527831105</v>
      </c>
      <c r="Z61" s="20">
        <v>14.472222222222221</v>
      </c>
      <c r="AA61" s="140"/>
    </row>
    <row r="62" spans="1:27" ht="15.75" x14ac:dyDescent="0.25">
      <c r="A62" s="253">
        <v>17</v>
      </c>
      <c r="B62" s="191"/>
      <c r="C62" s="11"/>
      <c r="D62" s="2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4"/>
      <c r="W62" s="14"/>
      <c r="X62" s="14"/>
      <c r="Y62" s="14"/>
      <c r="Z62" s="14"/>
      <c r="AA62"/>
    </row>
    <row r="63" spans="1:27" ht="15.75" x14ac:dyDescent="0.25">
      <c r="A63" s="253"/>
      <c r="B63" s="192"/>
      <c r="C63" s="17"/>
      <c r="D63" s="16"/>
      <c r="E63" s="103"/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20" t="e">
        <v>#DIV/0!</v>
      </c>
      <c r="W63" s="20" t="e">
        <v>#DIV/0!</v>
      </c>
      <c r="X63" s="20" t="e">
        <v>#DIV/0!</v>
      </c>
      <c r="Y63" s="20" t="e">
        <v>#DIV/0!</v>
      </c>
      <c r="Z63" s="20" t="e">
        <v>#DIV/0!</v>
      </c>
      <c r="AA63" s="140"/>
    </row>
    <row r="64" spans="1:27" ht="15.75" x14ac:dyDescent="0.25">
      <c r="A64" s="255" t="s">
        <v>65</v>
      </c>
      <c r="B64" s="255"/>
      <c r="C64" s="255"/>
      <c r="D64" s="255"/>
      <c r="E64" s="10">
        <v>30</v>
      </c>
      <c r="F64" s="29">
        <v>325</v>
      </c>
      <c r="G64" s="29">
        <v>207</v>
      </c>
      <c r="H64" s="29">
        <v>2438</v>
      </c>
      <c r="I64" s="29">
        <v>584</v>
      </c>
      <c r="J64" s="28">
        <v>3229</v>
      </c>
      <c r="K64" s="29">
        <v>447</v>
      </c>
      <c r="L64" s="29">
        <v>2307</v>
      </c>
      <c r="M64" s="28">
        <v>180</v>
      </c>
      <c r="N64" s="29">
        <v>82</v>
      </c>
      <c r="O64" s="29">
        <v>98</v>
      </c>
      <c r="P64" s="28">
        <v>2934</v>
      </c>
      <c r="Q64" s="29">
        <v>8864</v>
      </c>
      <c r="R64" s="29">
        <v>20</v>
      </c>
      <c r="S64" s="29">
        <v>8181</v>
      </c>
      <c r="T64" s="28">
        <v>295</v>
      </c>
      <c r="U64" s="28">
        <v>2487</v>
      </c>
      <c r="V64" s="30">
        <v>272.7</v>
      </c>
      <c r="W64" s="30">
        <v>83.907692307692301</v>
      </c>
      <c r="X64" s="30">
        <v>3.289505428226779</v>
      </c>
      <c r="Y64" s="30">
        <v>0.63088057901085659</v>
      </c>
      <c r="Z64" s="30">
        <v>7.6523076923076925</v>
      </c>
      <c r="AA64"/>
    </row>
    <row r="65" spans="1:27" ht="15.75" x14ac:dyDescent="0.25">
      <c r="A65" s="31"/>
      <c r="B65" s="108"/>
      <c r="C65" s="109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/>
    </row>
    <row r="66" spans="1:27" ht="15.75" x14ac:dyDescent="0.25">
      <c r="A66" s="33" t="s">
        <v>66</v>
      </c>
      <c r="B66" s="34"/>
      <c r="C66" s="32"/>
      <c r="D66" s="32"/>
      <c r="E66" s="11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/>
    </row>
    <row r="67" spans="1:27" x14ac:dyDescent="0.25">
      <c r="A67" s="243" t="s">
        <v>1</v>
      </c>
      <c r="B67" s="243" t="s">
        <v>2</v>
      </c>
      <c r="C67" s="240" t="s">
        <v>3</v>
      </c>
      <c r="D67" s="240" t="s">
        <v>4</v>
      </c>
      <c r="E67" s="244" t="s">
        <v>5</v>
      </c>
      <c r="F67" s="240" t="s">
        <v>6</v>
      </c>
      <c r="G67" s="240" t="s">
        <v>7</v>
      </c>
      <c r="H67" s="240" t="s">
        <v>8</v>
      </c>
      <c r="I67" s="244" t="s">
        <v>9</v>
      </c>
      <c r="J67" s="240" t="s">
        <v>10</v>
      </c>
      <c r="K67" s="240" t="s">
        <v>11</v>
      </c>
      <c r="L67" s="240" t="s">
        <v>12</v>
      </c>
      <c r="M67" s="240" t="s">
        <v>13</v>
      </c>
      <c r="N67" s="240" t="s">
        <v>14</v>
      </c>
      <c r="O67" s="240" t="s">
        <v>15</v>
      </c>
      <c r="P67" s="240" t="s">
        <v>16</v>
      </c>
      <c r="Q67" s="240" t="s">
        <v>17</v>
      </c>
      <c r="R67" s="240" t="s">
        <v>18</v>
      </c>
      <c r="S67" s="240" t="s">
        <v>19</v>
      </c>
      <c r="T67" s="240" t="s">
        <v>20</v>
      </c>
      <c r="U67" s="241" t="s">
        <v>21</v>
      </c>
      <c r="V67" s="8" t="s">
        <v>22</v>
      </c>
      <c r="W67" s="8" t="s">
        <v>23</v>
      </c>
      <c r="X67" s="8" t="s">
        <v>24</v>
      </c>
      <c r="Y67" s="8" t="s">
        <v>25</v>
      </c>
      <c r="Z67" s="8" t="s">
        <v>26</v>
      </c>
      <c r="AA67"/>
    </row>
    <row r="68" spans="1:27" ht="15" customHeight="1" x14ac:dyDescent="0.25">
      <c r="A68" s="243"/>
      <c r="B68" s="243"/>
      <c r="C68" s="240"/>
      <c r="D68" s="240"/>
      <c r="E68" s="244"/>
      <c r="F68" s="240"/>
      <c r="G68" s="240"/>
      <c r="H68" s="240"/>
      <c r="I68" s="244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1"/>
      <c r="V68" s="238" t="s">
        <v>27</v>
      </c>
      <c r="W68" s="238" t="s">
        <v>28</v>
      </c>
      <c r="X68" s="238" t="s">
        <v>29</v>
      </c>
      <c r="Y68" s="238" t="s">
        <v>30</v>
      </c>
      <c r="Z68" s="238" t="s">
        <v>31</v>
      </c>
      <c r="AA68"/>
    </row>
    <row r="69" spans="1:27" ht="15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42"/>
      <c r="W69" s="238"/>
      <c r="X69" s="238"/>
      <c r="Y69" s="238"/>
      <c r="Z69" s="238"/>
      <c r="AA69"/>
    </row>
    <row r="70" spans="1:27" x14ac:dyDescent="0.25">
      <c r="A70" s="243"/>
      <c r="B70" s="243"/>
      <c r="C70" s="240"/>
      <c r="D70" s="240"/>
      <c r="E70" s="244"/>
      <c r="F70" s="240"/>
      <c r="G70" s="9">
        <v>1</v>
      </c>
      <c r="H70" s="9">
        <v>2</v>
      </c>
      <c r="I70" s="9">
        <v>3</v>
      </c>
      <c r="J70" s="9">
        <v>4</v>
      </c>
      <c r="K70" s="9">
        <v>5</v>
      </c>
      <c r="L70" s="9">
        <v>6</v>
      </c>
      <c r="M70" s="9">
        <v>7</v>
      </c>
      <c r="N70" s="9">
        <v>8</v>
      </c>
      <c r="O70" s="9">
        <v>9</v>
      </c>
      <c r="P70" s="9">
        <v>10</v>
      </c>
      <c r="Q70" s="9">
        <v>11</v>
      </c>
      <c r="R70" s="9">
        <v>12</v>
      </c>
      <c r="S70" s="9">
        <v>13</v>
      </c>
      <c r="T70" s="9">
        <v>14</v>
      </c>
      <c r="U70" s="241"/>
      <c r="V70" s="58">
        <v>15</v>
      </c>
      <c r="W70" s="58">
        <v>16</v>
      </c>
      <c r="X70" s="58">
        <v>17</v>
      </c>
      <c r="Y70" s="58">
        <v>18</v>
      </c>
      <c r="Z70" s="58">
        <v>19</v>
      </c>
      <c r="AA70"/>
    </row>
    <row r="71" spans="1:27" ht="15" customHeight="1" x14ac:dyDescent="0.25">
      <c r="A71" s="245">
        <v>1</v>
      </c>
      <c r="B71" s="245" t="s">
        <v>40</v>
      </c>
      <c r="C71" s="11" t="s">
        <v>69</v>
      </c>
      <c r="D71" s="11" t="s">
        <v>38</v>
      </c>
      <c r="E71" s="10">
        <v>31</v>
      </c>
      <c r="F71" s="11"/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5">
        <v>0</v>
      </c>
      <c r="W71" s="35" t="e">
        <v>#DIV/0!</v>
      </c>
      <c r="X71" s="35" t="e">
        <v>#DIV/0!</v>
      </c>
      <c r="Y71" s="36" t="e">
        <v>#DIV/0!</v>
      </c>
      <c r="Z71" s="35" t="e">
        <v>#DIV/0!</v>
      </c>
      <c r="AA71"/>
    </row>
    <row r="72" spans="1:27" ht="15.75" x14ac:dyDescent="0.25">
      <c r="A72" s="247"/>
      <c r="B72" s="246"/>
      <c r="C72" s="17" t="s">
        <v>69</v>
      </c>
      <c r="D72" s="17"/>
      <c r="E72" s="10">
        <v>31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20">
        <v>0</v>
      </c>
      <c r="W72" s="37">
        <v>0</v>
      </c>
      <c r="X72" s="37" t="e">
        <v>#DIV/0!</v>
      </c>
      <c r="Y72" s="37" t="e">
        <v>#DIV/0!</v>
      </c>
      <c r="Z72" s="37" t="e">
        <v>#DIV/0!</v>
      </c>
      <c r="AA72"/>
    </row>
    <row r="73" spans="1:27" ht="15.75" x14ac:dyDescent="0.25">
      <c r="A73" s="245">
        <v>2</v>
      </c>
      <c r="B73" s="246"/>
      <c r="C73" s="11" t="s">
        <v>70</v>
      </c>
      <c r="D73" s="11" t="s">
        <v>48</v>
      </c>
      <c r="E73" s="10">
        <v>31</v>
      </c>
      <c r="F73" s="11"/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5">
        <v>0</v>
      </c>
      <c r="W73" s="15" t="e">
        <v>#DIV/0!</v>
      </c>
      <c r="X73" s="15" t="e">
        <v>#DIV/0!</v>
      </c>
      <c r="Y73" s="14" t="e">
        <v>#DIV/0!</v>
      </c>
      <c r="Z73" s="15" t="e">
        <v>#DIV/0!</v>
      </c>
      <c r="AA73"/>
    </row>
    <row r="74" spans="1:27" ht="15.75" x14ac:dyDescent="0.25">
      <c r="A74" s="247"/>
      <c r="B74" s="246"/>
      <c r="C74" s="17" t="s">
        <v>70</v>
      </c>
      <c r="D74" s="17"/>
      <c r="E74" s="10">
        <v>31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20">
        <v>0</v>
      </c>
      <c r="W74" s="20" t="e">
        <v>#DIV/0!</v>
      </c>
      <c r="X74" s="20" t="e">
        <v>#DIV/0!</v>
      </c>
      <c r="Y74" s="20" t="e">
        <v>#DIV/0!</v>
      </c>
      <c r="Z74" s="20" t="e">
        <v>#DIV/0!</v>
      </c>
      <c r="AA74"/>
    </row>
    <row r="75" spans="1:27" ht="15.75" x14ac:dyDescent="0.25">
      <c r="A75" s="245">
        <v>3</v>
      </c>
      <c r="B75" s="246"/>
      <c r="C75" s="11" t="s">
        <v>63</v>
      </c>
      <c r="D75" s="11"/>
      <c r="E75" s="10">
        <v>31</v>
      </c>
      <c r="F75" s="11"/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5">
        <v>0</v>
      </c>
      <c r="W75" s="35" t="e">
        <v>#DIV/0!</v>
      </c>
      <c r="X75" s="35" t="e">
        <v>#DIV/0!</v>
      </c>
      <c r="Y75" s="36" t="e">
        <v>#DIV/0!</v>
      </c>
      <c r="Z75" s="35" t="e">
        <v>#DIV/0!</v>
      </c>
      <c r="AA75"/>
    </row>
    <row r="76" spans="1:27" ht="15.75" x14ac:dyDescent="0.25">
      <c r="A76" s="247"/>
      <c r="B76" s="247"/>
      <c r="C76" s="17" t="s">
        <v>63</v>
      </c>
      <c r="D76" s="17"/>
      <c r="E76" s="10">
        <v>31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20">
        <v>0</v>
      </c>
      <c r="W76" s="37" t="e">
        <v>#DIV/0!</v>
      </c>
      <c r="X76" s="37" t="e">
        <v>#DIV/0!</v>
      </c>
      <c r="Y76" s="37" t="e">
        <v>#DIV/0!</v>
      </c>
      <c r="Z76" s="37" t="e">
        <v>#DIV/0!</v>
      </c>
      <c r="AA76"/>
    </row>
    <row r="77" spans="1:27" ht="15.75" x14ac:dyDescent="0.25">
      <c r="A77" s="105" t="s">
        <v>71</v>
      </c>
      <c r="B77" s="105"/>
      <c r="C77" s="105"/>
      <c r="D77" s="105"/>
      <c r="E77" s="10">
        <v>31</v>
      </c>
      <c r="F77" s="29">
        <v>0</v>
      </c>
      <c r="G77" s="29">
        <v>0</v>
      </c>
      <c r="H77" s="29">
        <v>0</v>
      </c>
      <c r="I77" s="29">
        <v>0</v>
      </c>
      <c r="J77" s="28">
        <v>0</v>
      </c>
      <c r="K77" s="29">
        <v>0</v>
      </c>
      <c r="L77" s="29">
        <v>0</v>
      </c>
      <c r="M77" s="28">
        <v>0</v>
      </c>
      <c r="N77" s="29">
        <v>0</v>
      </c>
      <c r="O77" s="29">
        <v>0</v>
      </c>
      <c r="P77" s="28">
        <v>0</v>
      </c>
      <c r="Q77" s="29">
        <v>0</v>
      </c>
      <c r="R77" s="29">
        <v>0</v>
      </c>
      <c r="S77" s="29">
        <v>0</v>
      </c>
      <c r="T77" s="28">
        <v>0</v>
      </c>
      <c r="U77" s="28">
        <v>0</v>
      </c>
      <c r="V77" s="30">
        <v>0</v>
      </c>
      <c r="W77" s="30" t="e">
        <v>#DIV/0!</v>
      </c>
      <c r="X77" s="30" t="e">
        <v>#DIV/0!</v>
      </c>
      <c r="Y77" s="30" t="e">
        <v>#DIV/0!</v>
      </c>
      <c r="Z77" s="30" t="e">
        <v>#DIV/0!</v>
      </c>
      <c r="AA77"/>
    </row>
    <row r="78" spans="1:27" ht="18.75" x14ac:dyDescent="0.25">
      <c r="A78" s="106"/>
      <c r="B78" s="106"/>
      <c r="C78" s="106"/>
      <c r="D78" s="106"/>
      <c r="E78" s="10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9"/>
      <c r="W78" s="40"/>
      <c r="X78" s="40"/>
      <c r="Y78" s="40"/>
      <c r="Z78" s="40"/>
      <c r="AA78"/>
    </row>
    <row r="79" spans="1:27" x14ac:dyDescent="0.25">
      <c r="A79" s="243" t="s">
        <v>1</v>
      </c>
      <c r="B79" s="243" t="s">
        <v>2</v>
      </c>
      <c r="C79" s="240" t="s">
        <v>3</v>
      </c>
      <c r="D79" s="240" t="s">
        <v>4</v>
      </c>
      <c r="E79" s="244" t="s">
        <v>5</v>
      </c>
      <c r="F79" s="240" t="s">
        <v>6</v>
      </c>
      <c r="G79" s="240" t="s">
        <v>7</v>
      </c>
      <c r="H79" s="240" t="s">
        <v>8</v>
      </c>
      <c r="I79" s="244" t="s">
        <v>9</v>
      </c>
      <c r="J79" s="240" t="s">
        <v>10</v>
      </c>
      <c r="K79" s="240" t="s">
        <v>11</v>
      </c>
      <c r="L79" s="240" t="s">
        <v>12</v>
      </c>
      <c r="M79" s="240" t="s">
        <v>13</v>
      </c>
      <c r="N79" s="240" t="s">
        <v>14</v>
      </c>
      <c r="O79" s="240" t="s">
        <v>15</v>
      </c>
      <c r="P79" s="240" t="s">
        <v>16</v>
      </c>
      <c r="Q79" s="240" t="s">
        <v>17</v>
      </c>
      <c r="R79" s="240" t="s">
        <v>18</v>
      </c>
      <c r="S79" s="240" t="s">
        <v>19</v>
      </c>
      <c r="T79" s="240" t="s">
        <v>20</v>
      </c>
      <c r="U79" s="241" t="s">
        <v>21</v>
      </c>
      <c r="V79" s="8" t="s">
        <v>22</v>
      </c>
      <c r="W79" s="8" t="s">
        <v>23</v>
      </c>
      <c r="X79" s="8" t="s">
        <v>24</v>
      </c>
      <c r="Y79" s="8" t="s">
        <v>25</v>
      </c>
      <c r="Z79" s="8" t="s">
        <v>26</v>
      </c>
      <c r="AA79"/>
    </row>
    <row r="80" spans="1:27" ht="15" customHeight="1" x14ac:dyDescent="0.25">
      <c r="A80" s="243"/>
      <c r="B80" s="243"/>
      <c r="C80" s="240"/>
      <c r="D80" s="240"/>
      <c r="E80" s="244"/>
      <c r="F80" s="240"/>
      <c r="G80" s="240"/>
      <c r="H80" s="240"/>
      <c r="I80" s="244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1"/>
      <c r="V80" s="238" t="s">
        <v>27</v>
      </c>
      <c r="W80" s="238" t="s">
        <v>28</v>
      </c>
      <c r="X80" s="238" t="s">
        <v>29</v>
      </c>
      <c r="Y80" s="238" t="s">
        <v>30</v>
      </c>
      <c r="Z80" s="238" t="s">
        <v>31</v>
      </c>
      <c r="AA80"/>
    </row>
    <row r="81" spans="1:27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42"/>
      <c r="W81" s="238"/>
      <c r="X81" s="238"/>
      <c r="Y81" s="238"/>
      <c r="Z81" s="238"/>
      <c r="AA81"/>
    </row>
    <row r="82" spans="1:27" x14ac:dyDescent="0.25">
      <c r="A82" s="243"/>
      <c r="B82" s="243"/>
      <c r="C82" s="240"/>
      <c r="D82" s="240"/>
      <c r="E82" s="244"/>
      <c r="F82" s="240"/>
      <c r="G82" s="9">
        <v>1</v>
      </c>
      <c r="H82" s="9">
        <v>2</v>
      </c>
      <c r="I82" s="9">
        <v>3</v>
      </c>
      <c r="J82" s="9">
        <v>4</v>
      </c>
      <c r="K82" s="9">
        <v>5</v>
      </c>
      <c r="L82" s="9">
        <v>6</v>
      </c>
      <c r="M82" s="9">
        <v>7</v>
      </c>
      <c r="N82" s="9">
        <v>8</v>
      </c>
      <c r="O82" s="9">
        <v>9</v>
      </c>
      <c r="P82" s="9">
        <v>10</v>
      </c>
      <c r="Q82" s="9">
        <v>11</v>
      </c>
      <c r="R82" s="9">
        <v>12</v>
      </c>
      <c r="S82" s="9">
        <v>13</v>
      </c>
      <c r="T82" s="9">
        <v>14</v>
      </c>
      <c r="U82" s="241"/>
      <c r="V82" s="58">
        <v>15</v>
      </c>
      <c r="W82" s="58">
        <v>16</v>
      </c>
      <c r="X82" s="58">
        <v>17</v>
      </c>
      <c r="Y82" s="58">
        <v>18</v>
      </c>
      <c r="Z82" s="58">
        <v>19</v>
      </c>
      <c r="AA82"/>
    </row>
    <row r="83" spans="1:27" ht="15" customHeight="1" x14ac:dyDescent="0.25">
      <c r="A83" s="245">
        <v>1</v>
      </c>
      <c r="B83" s="245" t="s">
        <v>72</v>
      </c>
      <c r="C83" s="10" t="s">
        <v>69</v>
      </c>
      <c r="D83" s="10" t="s">
        <v>38</v>
      </c>
      <c r="E83" s="10">
        <v>30</v>
      </c>
      <c r="F83" s="10">
        <v>30</v>
      </c>
      <c r="G83" s="10">
        <v>24</v>
      </c>
      <c r="H83" s="10">
        <v>208</v>
      </c>
      <c r="I83" s="10">
        <v>13</v>
      </c>
      <c r="J83" s="11">
        <v>245</v>
      </c>
      <c r="K83" s="10">
        <v>82</v>
      </c>
      <c r="L83" s="10">
        <v>133</v>
      </c>
      <c r="M83" s="11">
        <v>6</v>
      </c>
      <c r="N83" s="10">
        <v>3</v>
      </c>
      <c r="O83" s="10">
        <v>3</v>
      </c>
      <c r="P83" s="11">
        <v>221</v>
      </c>
      <c r="Q83" s="10">
        <v>805</v>
      </c>
      <c r="R83" s="10">
        <v>1</v>
      </c>
      <c r="S83" s="10">
        <v>758</v>
      </c>
      <c r="T83" s="11">
        <v>24</v>
      </c>
      <c r="U83" s="11">
        <v>139</v>
      </c>
      <c r="V83" s="15">
        <v>25.266666666666666</v>
      </c>
      <c r="W83" s="15">
        <v>84.222222222222214</v>
      </c>
      <c r="X83" s="15">
        <v>5.4532374100719423</v>
      </c>
      <c r="Y83" s="14">
        <v>1.02158273381295</v>
      </c>
      <c r="Z83" s="15">
        <v>4.6333333333333337</v>
      </c>
      <c r="AA83"/>
    </row>
    <row r="84" spans="1:27" ht="15.75" x14ac:dyDescent="0.25">
      <c r="A84" s="247"/>
      <c r="B84" s="246"/>
      <c r="C84" s="17" t="s">
        <v>69</v>
      </c>
      <c r="D84" s="17"/>
      <c r="E84" s="10">
        <v>30</v>
      </c>
      <c r="F84" s="41">
        <v>30</v>
      </c>
      <c r="G84" s="17">
        <v>24</v>
      </c>
      <c r="H84" s="17">
        <v>208</v>
      </c>
      <c r="I84" s="17">
        <v>13</v>
      </c>
      <c r="J84" s="17">
        <v>245</v>
      </c>
      <c r="K84" s="17">
        <v>82</v>
      </c>
      <c r="L84" s="17">
        <v>133</v>
      </c>
      <c r="M84" s="17">
        <v>6</v>
      </c>
      <c r="N84" s="17">
        <v>3</v>
      </c>
      <c r="O84" s="17">
        <v>3</v>
      </c>
      <c r="P84" s="17">
        <v>221</v>
      </c>
      <c r="Q84" s="17">
        <v>805</v>
      </c>
      <c r="R84" s="17">
        <v>1</v>
      </c>
      <c r="S84" s="17">
        <v>758</v>
      </c>
      <c r="T84" s="17">
        <v>24</v>
      </c>
      <c r="U84" s="17">
        <v>139</v>
      </c>
      <c r="V84" s="20">
        <v>25.266666666666666</v>
      </c>
      <c r="W84" s="20">
        <v>84.222222222222214</v>
      </c>
      <c r="X84" s="20">
        <v>5.4532374100719423</v>
      </c>
      <c r="Y84" s="20">
        <v>1.02158273381295</v>
      </c>
      <c r="Z84" s="20">
        <v>4.6333333333333337</v>
      </c>
      <c r="AA84"/>
    </row>
    <row r="85" spans="1:27" ht="15.75" x14ac:dyDescent="0.25">
      <c r="A85" s="141"/>
      <c r="B85" s="246"/>
      <c r="C85" s="144"/>
      <c r="D85" s="11" t="s">
        <v>55</v>
      </c>
      <c r="E85" s="10">
        <v>30</v>
      </c>
      <c r="F85" s="11"/>
      <c r="G85" s="11">
        <v>0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5"/>
      <c r="X85" s="15"/>
      <c r="Y85" s="15"/>
      <c r="Z85" s="15"/>
      <c r="AA85"/>
    </row>
    <row r="86" spans="1:27" ht="15.75" x14ac:dyDescent="0.25">
      <c r="A86" s="245">
        <v>2</v>
      </c>
      <c r="B86" s="246"/>
      <c r="C86" s="248" t="s">
        <v>73</v>
      </c>
      <c r="D86" s="10" t="s">
        <v>48</v>
      </c>
      <c r="E86" s="10">
        <v>30</v>
      </c>
      <c r="F86" s="10"/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5">
        <v>0</v>
      </c>
      <c r="W86" s="15" t="e">
        <v>#DIV/0!</v>
      </c>
      <c r="X86" s="15" t="e">
        <v>#DIV/0!</v>
      </c>
      <c r="Y86" s="14" t="e">
        <v>#DIV/0!</v>
      </c>
      <c r="Z86" s="15" t="e">
        <v>#DIV/0!</v>
      </c>
      <c r="AA86"/>
    </row>
    <row r="87" spans="1:27" ht="15.75" x14ac:dyDescent="0.25">
      <c r="A87" s="246"/>
      <c r="B87" s="246"/>
      <c r="C87" s="249"/>
      <c r="D87" s="10" t="s">
        <v>38</v>
      </c>
      <c r="E87" s="10">
        <v>30</v>
      </c>
      <c r="F87" s="10"/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5">
        <v>0</v>
      </c>
      <c r="W87" s="15" t="e">
        <v>#DIV/0!</v>
      </c>
      <c r="X87" s="15" t="e">
        <v>#DIV/0!</v>
      </c>
      <c r="Y87" s="14" t="e">
        <v>#DIV/0!</v>
      </c>
      <c r="Z87" s="15" t="e">
        <v>#DIV/0!</v>
      </c>
      <c r="AA87"/>
    </row>
    <row r="88" spans="1:27" ht="15.75" x14ac:dyDescent="0.25">
      <c r="A88" s="246"/>
      <c r="B88" s="246"/>
      <c r="C88" s="250"/>
      <c r="D88" s="10" t="s">
        <v>34</v>
      </c>
      <c r="E88" s="10">
        <v>30</v>
      </c>
      <c r="F88" s="10"/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5">
        <v>0</v>
      </c>
      <c r="W88" s="15" t="e">
        <v>#DIV/0!</v>
      </c>
      <c r="X88" s="15" t="e">
        <v>#DIV/0!</v>
      </c>
      <c r="Y88" s="14" t="e">
        <v>#DIV/0!</v>
      </c>
      <c r="Z88" s="15" t="e">
        <v>#DIV/0!</v>
      </c>
      <c r="AA88"/>
    </row>
    <row r="89" spans="1:27" ht="15.75" x14ac:dyDescent="0.25">
      <c r="A89" s="247"/>
      <c r="B89" s="247"/>
      <c r="C89" s="17" t="s">
        <v>73</v>
      </c>
      <c r="D89" s="17"/>
      <c r="E89" s="10">
        <v>30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20">
        <v>0</v>
      </c>
      <c r="W89" s="20" t="e">
        <v>#DIV/0!</v>
      </c>
      <c r="X89" s="20" t="e">
        <v>#DIV/0!</v>
      </c>
      <c r="Y89" s="20" t="e">
        <v>#DIV/0!</v>
      </c>
      <c r="Z89" s="20" t="e">
        <v>#DIV/0!</v>
      </c>
      <c r="AA89"/>
    </row>
    <row r="90" spans="1:27" ht="15.75" x14ac:dyDescent="0.25">
      <c r="A90" s="105" t="s">
        <v>74</v>
      </c>
      <c r="B90" s="105"/>
      <c r="C90" s="105"/>
      <c r="D90" s="105"/>
      <c r="E90" s="10">
        <v>30</v>
      </c>
      <c r="F90" s="29">
        <v>30</v>
      </c>
      <c r="G90" s="29">
        <v>24</v>
      </c>
      <c r="H90" s="29">
        <v>208</v>
      </c>
      <c r="I90" s="29">
        <v>13</v>
      </c>
      <c r="J90" s="28">
        <v>245</v>
      </c>
      <c r="K90" s="29">
        <v>82</v>
      </c>
      <c r="L90" s="29">
        <v>133</v>
      </c>
      <c r="M90" s="28">
        <v>6</v>
      </c>
      <c r="N90" s="29">
        <v>3</v>
      </c>
      <c r="O90" s="29">
        <v>3</v>
      </c>
      <c r="P90" s="28">
        <v>221</v>
      </c>
      <c r="Q90" s="29">
        <v>805</v>
      </c>
      <c r="R90" s="29">
        <v>1</v>
      </c>
      <c r="S90" s="29">
        <v>758</v>
      </c>
      <c r="T90" s="28">
        <v>24</v>
      </c>
      <c r="U90" s="28">
        <v>139</v>
      </c>
      <c r="V90" s="29">
        <v>25.266666666666666</v>
      </c>
      <c r="W90" s="30">
        <v>84.222222222222214</v>
      </c>
      <c r="X90" s="30">
        <v>5.4532374100719423</v>
      </c>
      <c r="Y90" s="30">
        <v>1.02158273381295</v>
      </c>
      <c r="Z90" s="30">
        <v>4.6333333333333337</v>
      </c>
      <c r="AA90"/>
    </row>
    <row r="91" spans="1:27" ht="15.75" x14ac:dyDescent="0.25">
      <c r="A91" s="31"/>
      <c r="B91"/>
      <c r="C91"/>
      <c r="D91" s="32"/>
      <c r="E91" s="10"/>
      <c r="F91"/>
      <c r="G91">
        <v>48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x14ac:dyDescent="0.25">
      <c r="A92" s="243" t="s">
        <v>1</v>
      </c>
      <c r="B92" s="243" t="s">
        <v>2</v>
      </c>
      <c r="C92" s="240" t="s">
        <v>3</v>
      </c>
      <c r="D92" s="240" t="s">
        <v>4</v>
      </c>
      <c r="E92" s="244" t="s">
        <v>5</v>
      </c>
      <c r="F92" s="240" t="s">
        <v>6</v>
      </c>
      <c r="G92" s="240" t="s">
        <v>7</v>
      </c>
      <c r="H92" s="240" t="s">
        <v>8</v>
      </c>
      <c r="I92" s="244" t="s">
        <v>9</v>
      </c>
      <c r="J92" s="240" t="s">
        <v>10</v>
      </c>
      <c r="K92" s="240" t="s">
        <v>11</v>
      </c>
      <c r="L92" s="240" t="s">
        <v>12</v>
      </c>
      <c r="M92" s="240" t="s">
        <v>13</v>
      </c>
      <c r="N92" s="240" t="s">
        <v>14</v>
      </c>
      <c r="O92" s="240" t="s">
        <v>15</v>
      </c>
      <c r="P92" s="240" t="s">
        <v>16</v>
      </c>
      <c r="Q92" s="240" t="s">
        <v>17</v>
      </c>
      <c r="R92" s="240" t="s">
        <v>18</v>
      </c>
      <c r="S92" s="240" t="s">
        <v>19</v>
      </c>
      <c r="T92" s="240" t="s">
        <v>20</v>
      </c>
      <c r="U92" s="241" t="s">
        <v>21</v>
      </c>
      <c r="V92" s="8" t="s">
        <v>22</v>
      </c>
      <c r="W92" s="8" t="s">
        <v>23</v>
      </c>
      <c r="X92" s="8" t="s">
        <v>24</v>
      </c>
      <c r="Y92" s="8" t="s">
        <v>25</v>
      </c>
      <c r="Z92" s="8" t="s">
        <v>26</v>
      </c>
      <c r="AA92"/>
    </row>
    <row r="93" spans="1:27" ht="15" customHeight="1" x14ac:dyDescent="0.25">
      <c r="A93" s="243"/>
      <c r="B93" s="243"/>
      <c r="C93" s="240"/>
      <c r="D93" s="240"/>
      <c r="E93" s="244"/>
      <c r="F93" s="240"/>
      <c r="G93" s="240"/>
      <c r="H93" s="240"/>
      <c r="I93" s="244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1"/>
      <c r="V93" s="238" t="s">
        <v>27</v>
      </c>
      <c r="W93" s="238" t="s">
        <v>28</v>
      </c>
      <c r="X93" s="238" t="s">
        <v>29</v>
      </c>
      <c r="Y93" s="238" t="s">
        <v>30</v>
      </c>
      <c r="Z93" s="238" t="s">
        <v>31</v>
      </c>
      <c r="AA93"/>
    </row>
    <row r="94" spans="1:27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42"/>
      <c r="W94" s="238"/>
      <c r="X94" s="238"/>
      <c r="Y94" s="238"/>
      <c r="Z94" s="238"/>
      <c r="AA94"/>
    </row>
    <row r="95" spans="1:27" x14ac:dyDescent="0.25">
      <c r="A95" s="243"/>
      <c r="B95" s="243"/>
      <c r="C95" s="240"/>
      <c r="D95" s="240"/>
      <c r="E95" s="244"/>
      <c r="F95" s="240"/>
      <c r="G95" s="9">
        <v>1</v>
      </c>
      <c r="H95" s="9">
        <v>2</v>
      </c>
      <c r="I95" s="9">
        <v>3</v>
      </c>
      <c r="J95" s="9">
        <v>4</v>
      </c>
      <c r="K95" s="9">
        <v>5</v>
      </c>
      <c r="L95" s="9">
        <v>6</v>
      </c>
      <c r="M95" s="9">
        <v>7</v>
      </c>
      <c r="N95" s="9">
        <v>8</v>
      </c>
      <c r="O95" s="9">
        <v>9</v>
      </c>
      <c r="P95" s="9">
        <v>10</v>
      </c>
      <c r="Q95" s="9">
        <v>11</v>
      </c>
      <c r="R95" s="9">
        <v>12</v>
      </c>
      <c r="S95" s="9">
        <v>13</v>
      </c>
      <c r="T95" s="9">
        <v>14</v>
      </c>
      <c r="U95" s="241"/>
      <c r="V95" s="58">
        <v>15</v>
      </c>
      <c r="W95" s="58">
        <v>16</v>
      </c>
      <c r="X95" s="58">
        <v>17</v>
      </c>
      <c r="Y95" s="58">
        <v>18</v>
      </c>
      <c r="Z95" s="58">
        <v>19</v>
      </c>
      <c r="AA95"/>
    </row>
    <row r="96" spans="1:27" ht="15" customHeight="1" x14ac:dyDescent="0.25">
      <c r="A96" s="245">
        <v>1</v>
      </c>
      <c r="B96" s="195" t="s">
        <v>75</v>
      </c>
      <c r="C96" s="10" t="s">
        <v>76</v>
      </c>
      <c r="D96" s="10" t="s">
        <v>48</v>
      </c>
      <c r="E96" s="10">
        <v>30</v>
      </c>
      <c r="F96" s="10">
        <v>14</v>
      </c>
      <c r="G96" s="11">
        <v>8</v>
      </c>
      <c r="H96" s="11">
        <v>13</v>
      </c>
      <c r="I96" s="11">
        <v>92</v>
      </c>
      <c r="J96" s="11">
        <v>113</v>
      </c>
      <c r="K96" s="11">
        <v>86</v>
      </c>
      <c r="L96" s="11">
        <v>0</v>
      </c>
      <c r="M96" s="11">
        <v>19</v>
      </c>
      <c r="N96" s="11">
        <v>5</v>
      </c>
      <c r="O96" s="11">
        <v>14</v>
      </c>
      <c r="P96" s="11">
        <v>105</v>
      </c>
      <c r="Q96" s="11">
        <v>124</v>
      </c>
      <c r="R96" s="11">
        <v>0</v>
      </c>
      <c r="S96" s="11">
        <v>270</v>
      </c>
      <c r="T96" s="11">
        <v>8</v>
      </c>
      <c r="U96" s="11">
        <v>19</v>
      </c>
      <c r="V96" s="15">
        <v>9</v>
      </c>
      <c r="W96" s="15">
        <v>64.285714285714292</v>
      </c>
      <c r="X96" s="15">
        <v>14.210526315789474</v>
      </c>
      <c r="Y96" s="14">
        <v>7.8947368421052628</v>
      </c>
      <c r="Z96" s="15">
        <v>1.3571428571428572</v>
      </c>
      <c r="AA96"/>
    </row>
    <row r="97" spans="1:27" ht="15.75" x14ac:dyDescent="0.25">
      <c r="A97" s="247"/>
      <c r="B97" s="196"/>
      <c r="C97" s="17" t="s">
        <v>76</v>
      </c>
      <c r="D97" s="17" t="s">
        <v>48</v>
      </c>
      <c r="E97" s="10">
        <v>30</v>
      </c>
      <c r="F97" s="17">
        <v>14</v>
      </c>
      <c r="G97" s="17">
        <v>8</v>
      </c>
      <c r="H97" s="17">
        <v>13</v>
      </c>
      <c r="I97" s="17">
        <v>92</v>
      </c>
      <c r="J97" s="17">
        <v>113</v>
      </c>
      <c r="K97" s="17">
        <v>86</v>
      </c>
      <c r="L97" s="17">
        <v>0</v>
      </c>
      <c r="M97" s="17">
        <v>19</v>
      </c>
      <c r="N97" s="17">
        <v>5</v>
      </c>
      <c r="O97" s="17">
        <v>14</v>
      </c>
      <c r="P97" s="17">
        <v>105</v>
      </c>
      <c r="Q97" s="17">
        <v>124</v>
      </c>
      <c r="R97" s="17">
        <v>0</v>
      </c>
      <c r="S97" s="17">
        <v>270</v>
      </c>
      <c r="T97" s="17">
        <v>8</v>
      </c>
      <c r="U97" s="17">
        <v>19</v>
      </c>
      <c r="V97" s="20">
        <v>9</v>
      </c>
      <c r="W97" s="20">
        <v>64.285714285714292</v>
      </c>
      <c r="X97" s="20">
        <v>14.210526315789474</v>
      </c>
      <c r="Y97" s="20">
        <v>7.8947368421052628</v>
      </c>
      <c r="Z97" s="20">
        <v>1.3571428571428572</v>
      </c>
      <c r="AA97"/>
    </row>
    <row r="98" spans="1:27" ht="15.75" x14ac:dyDescent="0.25">
      <c r="A98" s="245">
        <v>2</v>
      </c>
      <c r="B98" s="196"/>
      <c r="C98" s="10" t="s">
        <v>77</v>
      </c>
      <c r="D98" s="10" t="s">
        <v>48</v>
      </c>
      <c r="E98" s="10">
        <v>30</v>
      </c>
      <c r="F98" s="10">
        <v>5</v>
      </c>
      <c r="G98" s="11">
        <v>1</v>
      </c>
      <c r="H98" s="11">
        <v>70</v>
      </c>
      <c r="I98" s="11">
        <v>13</v>
      </c>
      <c r="J98" s="11">
        <v>84</v>
      </c>
      <c r="K98" s="11">
        <v>70</v>
      </c>
      <c r="L98" s="11">
        <v>1</v>
      </c>
      <c r="M98" s="11">
        <v>10</v>
      </c>
      <c r="N98" s="11">
        <v>7</v>
      </c>
      <c r="O98" s="11">
        <v>3</v>
      </c>
      <c r="P98" s="11">
        <v>81</v>
      </c>
      <c r="Q98" s="11">
        <v>20</v>
      </c>
      <c r="R98" s="11">
        <v>3</v>
      </c>
      <c r="S98" s="11">
        <v>101</v>
      </c>
      <c r="T98" s="11">
        <v>3</v>
      </c>
      <c r="U98" s="11">
        <v>11</v>
      </c>
      <c r="V98" s="15">
        <v>3.3666666666666667</v>
      </c>
      <c r="W98" s="15">
        <v>67.333333333333329</v>
      </c>
      <c r="X98" s="15">
        <v>9.1818181818181817</v>
      </c>
      <c r="Y98" s="14">
        <v>4.4545454545454541</v>
      </c>
      <c r="Z98" s="15">
        <v>2.2000000000000002</v>
      </c>
      <c r="AA98"/>
    </row>
    <row r="99" spans="1:27" ht="15.75" x14ac:dyDescent="0.25">
      <c r="A99" s="247"/>
      <c r="B99" s="196"/>
      <c r="C99" s="17" t="s">
        <v>77</v>
      </c>
      <c r="D99" s="17" t="s">
        <v>48</v>
      </c>
      <c r="E99" s="10">
        <v>30</v>
      </c>
      <c r="F99" s="17">
        <v>5</v>
      </c>
      <c r="G99" s="17">
        <v>1</v>
      </c>
      <c r="H99" s="17">
        <v>70</v>
      </c>
      <c r="I99" s="17">
        <v>13</v>
      </c>
      <c r="J99" s="17">
        <v>84</v>
      </c>
      <c r="K99" s="17">
        <v>70</v>
      </c>
      <c r="L99" s="17">
        <v>1</v>
      </c>
      <c r="M99" s="17">
        <v>10</v>
      </c>
      <c r="N99" s="17">
        <v>7</v>
      </c>
      <c r="O99" s="17">
        <v>3</v>
      </c>
      <c r="P99" s="17">
        <v>81</v>
      </c>
      <c r="Q99" s="17">
        <v>20</v>
      </c>
      <c r="R99" s="17">
        <v>3</v>
      </c>
      <c r="S99" s="17">
        <v>101</v>
      </c>
      <c r="T99" s="17">
        <v>3</v>
      </c>
      <c r="U99" s="17">
        <v>11</v>
      </c>
      <c r="V99" s="20">
        <v>3.3666666666666667</v>
      </c>
      <c r="W99" s="20">
        <v>67.333333333333329</v>
      </c>
      <c r="X99" s="20">
        <v>9.1818181818181817</v>
      </c>
      <c r="Y99" s="20">
        <v>4.4545454545454541</v>
      </c>
      <c r="Z99" s="20">
        <v>2.2000000000000002</v>
      </c>
      <c r="AA99"/>
    </row>
    <row r="100" spans="1:27" ht="15.75" x14ac:dyDescent="0.25">
      <c r="A100" s="245">
        <v>3</v>
      </c>
      <c r="B100" s="196"/>
      <c r="C100" s="10" t="s">
        <v>78</v>
      </c>
      <c r="D100" s="10" t="s">
        <v>48</v>
      </c>
      <c r="E100" s="10">
        <v>30</v>
      </c>
      <c r="F100" s="10">
        <v>3</v>
      </c>
      <c r="G100" s="43">
        <v>3</v>
      </c>
      <c r="H100" s="43">
        <v>7</v>
      </c>
      <c r="I100" s="43">
        <v>11</v>
      </c>
      <c r="J100" s="11">
        <v>21</v>
      </c>
      <c r="K100" s="43">
        <v>15</v>
      </c>
      <c r="L100" s="43">
        <v>0</v>
      </c>
      <c r="M100" s="11">
        <v>3</v>
      </c>
      <c r="N100" s="43">
        <v>0</v>
      </c>
      <c r="O100" s="43">
        <v>3</v>
      </c>
      <c r="P100" s="11">
        <v>18</v>
      </c>
      <c r="Q100" s="43">
        <v>36</v>
      </c>
      <c r="R100" s="43">
        <v>0</v>
      </c>
      <c r="S100" s="43">
        <v>73</v>
      </c>
      <c r="T100" s="11">
        <v>3</v>
      </c>
      <c r="U100" s="11">
        <v>3</v>
      </c>
      <c r="V100" s="15">
        <v>2.4333333333333331</v>
      </c>
      <c r="W100" s="15">
        <v>81.1111111111111</v>
      </c>
      <c r="X100" s="15">
        <v>24.333333333333332</v>
      </c>
      <c r="Y100" s="14">
        <v>5.6666666666666687</v>
      </c>
      <c r="Z100" s="15">
        <v>1</v>
      </c>
      <c r="AA100"/>
    </row>
    <row r="101" spans="1:27" ht="15.75" x14ac:dyDescent="0.25">
      <c r="A101" s="247"/>
      <c r="B101" s="196"/>
      <c r="C101" s="17" t="s">
        <v>78</v>
      </c>
      <c r="D101" s="17" t="s">
        <v>48</v>
      </c>
      <c r="E101" s="10">
        <v>30</v>
      </c>
      <c r="F101" s="17">
        <v>3</v>
      </c>
      <c r="G101" s="17">
        <v>3</v>
      </c>
      <c r="H101" s="17">
        <v>7</v>
      </c>
      <c r="I101" s="17">
        <v>11</v>
      </c>
      <c r="J101" s="17">
        <v>21</v>
      </c>
      <c r="K101" s="17">
        <v>15</v>
      </c>
      <c r="L101" s="17">
        <v>0</v>
      </c>
      <c r="M101" s="17">
        <v>3</v>
      </c>
      <c r="N101" s="17">
        <v>0</v>
      </c>
      <c r="O101" s="17">
        <v>3</v>
      </c>
      <c r="P101" s="17">
        <v>18</v>
      </c>
      <c r="Q101" s="17">
        <v>36</v>
      </c>
      <c r="R101" s="17">
        <v>0</v>
      </c>
      <c r="S101" s="17">
        <v>73</v>
      </c>
      <c r="T101" s="17">
        <v>3</v>
      </c>
      <c r="U101" s="17">
        <v>3</v>
      </c>
      <c r="V101" s="20">
        <v>2.4333333333333331</v>
      </c>
      <c r="W101" s="20">
        <v>81.1111111111111</v>
      </c>
      <c r="X101" s="20">
        <v>24.333333333333332</v>
      </c>
      <c r="Y101" s="20">
        <v>5.6666666666666687</v>
      </c>
      <c r="Z101" s="20">
        <v>1</v>
      </c>
      <c r="AA101"/>
    </row>
    <row r="102" spans="1:27" ht="15.75" x14ac:dyDescent="0.25">
      <c r="A102" s="245">
        <v>4</v>
      </c>
      <c r="B102" s="196"/>
      <c r="C102" s="11" t="s">
        <v>79</v>
      </c>
      <c r="D102" s="11" t="s">
        <v>48</v>
      </c>
      <c r="E102" s="10">
        <v>30</v>
      </c>
      <c r="F102" s="11">
        <v>5</v>
      </c>
      <c r="G102" s="11">
        <v>5</v>
      </c>
      <c r="H102" s="11">
        <v>5</v>
      </c>
      <c r="I102" s="11">
        <v>14</v>
      </c>
      <c r="J102" s="11">
        <v>24</v>
      </c>
      <c r="K102" s="11">
        <v>15</v>
      </c>
      <c r="L102" s="11">
        <v>0</v>
      </c>
      <c r="M102" s="11">
        <v>4</v>
      </c>
      <c r="N102" s="11">
        <v>0</v>
      </c>
      <c r="O102" s="11">
        <v>4</v>
      </c>
      <c r="P102" s="11">
        <v>19</v>
      </c>
      <c r="Q102" s="11">
        <v>51</v>
      </c>
      <c r="R102" s="11">
        <v>0</v>
      </c>
      <c r="S102" s="11">
        <v>139</v>
      </c>
      <c r="T102" s="11">
        <v>5</v>
      </c>
      <c r="U102" s="11">
        <v>4</v>
      </c>
      <c r="V102" s="15">
        <v>4.6333333333333337</v>
      </c>
      <c r="W102" s="15">
        <v>92.666666666666671</v>
      </c>
      <c r="X102" s="15">
        <v>34.75</v>
      </c>
      <c r="Y102" s="14">
        <v>2.7499999999999969</v>
      </c>
      <c r="Z102" s="15">
        <v>0.8</v>
      </c>
      <c r="AA102"/>
    </row>
    <row r="103" spans="1:27" ht="15.75" x14ac:dyDescent="0.25">
      <c r="A103" s="247"/>
      <c r="B103" s="196"/>
      <c r="C103" s="17" t="s">
        <v>79</v>
      </c>
      <c r="D103" s="17" t="s">
        <v>48</v>
      </c>
      <c r="E103" s="10">
        <v>30</v>
      </c>
      <c r="F103" s="17">
        <v>5</v>
      </c>
      <c r="G103" s="17">
        <v>5</v>
      </c>
      <c r="H103" s="17">
        <v>5</v>
      </c>
      <c r="I103" s="17">
        <v>14</v>
      </c>
      <c r="J103" s="17">
        <v>24</v>
      </c>
      <c r="K103" s="17">
        <v>15</v>
      </c>
      <c r="L103" s="17">
        <v>0</v>
      </c>
      <c r="M103" s="17">
        <v>4</v>
      </c>
      <c r="N103" s="17">
        <v>0</v>
      </c>
      <c r="O103" s="17">
        <v>4</v>
      </c>
      <c r="P103" s="17">
        <v>19</v>
      </c>
      <c r="Q103" s="17">
        <v>51</v>
      </c>
      <c r="R103" s="17">
        <v>0</v>
      </c>
      <c r="S103" s="17">
        <v>139</v>
      </c>
      <c r="T103" s="17">
        <v>5</v>
      </c>
      <c r="U103" s="17">
        <v>4</v>
      </c>
      <c r="V103" s="20">
        <v>4.6333333333333337</v>
      </c>
      <c r="W103" s="20">
        <v>92.666666666666671</v>
      </c>
      <c r="X103" s="20">
        <v>34.75</v>
      </c>
      <c r="Y103" s="20">
        <v>2.7499999999999969</v>
      </c>
      <c r="Z103" s="20">
        <v>0.8</v>
      </c>
      <c r="AA103"/>
    </row>
    <row r="104" spans="1:27" ht="15.75" x14ac:dyDescent="0.25">
      <c r="A104" s="245">
        <v>5</v>
      </c>
      <c r="B104" s="196"/>
      <c r="C104" s="11" t="s">
        <v>80</v>
      </c>
      <c r="D104" s="11" t="s">
        <v>48</v>
      </c>
      <c r="E104" s="10">
        <v>30</v>
      </c>
      <c r="F104" s="11">
        <v>4</v>
      </c>
      <c r="G104" s="11">
        <v>3</v>
      </c>
      <c r="H104" s="11">
        <v>26</v>
      </c>
      <c r="I104" s="11">
        <v>11</v>
      </c>
      <c r="J104" s="11">
        <v>40</v>
      </c>
      <c r="K104" s="11">
        <v>21</v>
      </c>
      <c r="L104" s="11">
        <v>1</v>
      </c>
      <c r="M104" s="11">
        <v>15</v>
      </c>
      <c r="N104" s="11">
        <v>11</v>
      </c>
      <c r="O104" s="11">
        <v>4</v>
      </c>
      <c r="P104" s="11">
        <v>37</v>
      </c>
      <c r="Q104" s="11">
        <v>41</v>
      </c>
      <c r="R104" s="11">
        <v>4</v>
      </c>
      <c r="S104" s="11">
        <v>77</v>
      </c>
      <c r="T104" s="11">
        <v>3</v>
      </c>
      <c r="U104" s="11">
        <v>16</v>
      </c>
      <c r="V104" s="15">
        <v>2.5666666666666669</v>
      </c>
      <c r="W104" s="15">
        <v>64.166666666666671</v>
      </c>
      <c r="X104" s="15">
        <v>4.8125</v>
      </c>
      <c r="Y104" s="14">
        <v>2.6874999999999996</v>
      </c>
      <c r="Z104" s="15">
        <v>4</v>
      </c>
      <c r="AA104"/>
    </row>
    <row r="105" spans="1:27" ht="15.75" x14ac:dyDescent="0.25">
      <c r="A105" s="247"/>
      <c r="B105" s="196"/>
      <c r="C105" s="17" t="s">
        <v>80</v>
      </c>
      <c r="D105" s="17" t="s">
        <v>48</v>
      </c>
      <c r="E105" s="10">
        <v>30</v>
      </c>
      <c r="F105" s="17">
        <v>4</v>
      </c>
      <c r="G105" s="17">
        <v>3</v>
      </c>
      <c r="H105" s="17">
        <v>26</v>
      </c>
      <c r="I105" s="17">
        <v>11</v>
      </c>
      <c r="J105" s="17">
        <v>40</v>
      </c>
      <c r="K105" s="17">
        <v>21</v>
      </c>
      <c r="L105" s="17">
        <v>1</v>
      </c>
      <c r="M105" s="17">
        <v>15</v>
      </c>
      <c r="N105" s="17">
        <v>11</v>
      </c>
      <c r="O105" s="17">
        <v>4</v>
      </c>
      <c r="P105" s="17">
        <v>37</v>
      </c>
      <c r="Q105" s="17">
        <v>41</v>
      </c>
      <c r="R105" s="17">
        <v>4</v>
      </c>
      <c r="S105" s="17">
        <v>77</v>
      </c>
      <c r="T105" s="17">
        <v>3</v>
      </c>
      <c r="U105" s="17">
        <v>16</v>
      </c>
      <c r="V105" s="20">
        <v>2.5666666666666669</v>
      </c>
      <c r="W105" s="20">
        <v>64.166666666666671</v>
      </c>
      <c r="X105" s="20">
        <v>4.8125</v>
      </c>
      <c r="Y105" s="20">
        <v>2.6874999999999996</v>
      </c>
      <c r="Z105" s="20">
        <v>4</v>
      </c>
      <c r="AA105"/>
    </row>
    <row r="106" spans="1:27" ht="15.75" x14ac:dyDescent="0.25">
      <c r="A106" s="245">
        <v>6</v>
      </c>
      <c r="B106" s="196"/>
      <c r="C106" s="11" t="s">
        <v>70</v>
      </c>
      <c r="D106" s="11" t="s">
        <v>48</v>
      </c>
      <c r="E106" s="10">
        <v>30</v>
      </c>
      <c r="F106" s="11">
        <v>2</v>
      </c>
      <c r="G106" s="11">
        <v>1</v>
      </c>
      <c r="H106" s="11">
        <v>10</v>
      </c>
      <c r="I106" s="11">
        <v>2</v>
      </c>
      <c r="J106" s="11">
        <v>13</v>
      </c>
      <c r="K106" s="11">
        <v>7</v>
      </c>
      <c r="L106" s="11">
        <v>0</v>
      </c>
      <c r="M106" s="11">
        <v>6</v>
      </c>
      <c r="N106" s="11">
        <v>5</v>
      </c>
      <c r="O106" s="11">
        <v>1</v>
      </c>
      <c r="P106" s="11">
        <v>13</v>
      </c>
      <c r="Q106" s="11">
        <v>9</v>
      </c>
      <c r="R106" s="11">
        <v>2</v>
      </c>
      <c r="S106" s="11">
        <v>28</v>
      </c>
      <c r="T106" s="11">
        <v>0</v>
      </c>
      <c r="U106" s="11">
        <v>6</v>
      </c>
      <c r="V106" s="44">
        <v>0.93333333333333335</v>
      </c>
      <c r="W106" s="44">
        <v>46.666666666666664</v>
      </c>
      <c r="X106" s="44">
        <v>4.666666666666667</v>
      </c>
      <c r="Y106" s="45">
        <v>5.333333333333333</v>
      </c>
      <c r="Z106" s="44">
        <v>3</v>
      </c>
      <c r="AA106"/>
    </row>
    <row r="107" spans="1:27" ht="15.75" x14ac:dyDescent="0.25">
      <c r="A107" s="247"/>
      <c r="B107" s="196"/>
      <c r="C107" s="17" t="s">
        <v>70</v>
      </c>
      <c r="D107" s="17"/>
      <c r="E107" s="10">
        <v>30</v>
      </c>
      <c r="F107" s="17">
        <v>2</v>
      </c>
      <c r="G107" s="17">
        <v>1</v>
      </c>
      <c r="H107" s="17">
        <v>10</v>
      </c>
      <c r="I107" s="17">
        <v>2</v>
      </c>
      <c r="J107" s="17">
        <v>13</v>
      </c>
      <c r="K107" s="17">
        <v>7</v>
      </c>
      <c r="L107" s="17">
        <v>0</v>
      </c>
      <c r="M107" s="17">
        <v>6</v>
      </c>
      <c r="N107" s="17">
        <v>5</v>
      </c>
      <c r="O107" s="17">
        <v>1</v>
      </c>
      <c r="P107" s="17">
        <v>13</v>
      </c>
      <c r="Q107" s="17">
        <v>9</v>
      </c>
      <c r="R107" s="17">
        <v>2</v>
      </c>
      <c r="S107" s="17">
        <v>28</v>
      </c>
      <c r="T107" s="17">
        <v>0</v>
      </c>
      <c r="U107" s="17">
        <v>6</v>
      </c>
      <c r="V107" s="46">
        <v>0.93333333333333335</v>
      </c>
      <c r="W107" s="46">
        <v>46.666666666666664</v>
      </c>
      <c r="X107" s="46">
        <v>4.666666666666667</v>
      </c>
      <c r="Y107" s="46">
        <v>5.333333333333333</v>
      </c>
      <c r="Z107" s="46">
        <v>3</v>
      </c>
      <c r="AA107"/>
    </row>
    <row r="108" spans="1:27" ht="15.75" x14ac:dyDescent="0.25">
      <c r="A108" s="245">
        <v>7</v>
      </c>
      <c r="B108" s="196"/>
      <c r="C108" s="11" t="s">
        <v>81</v>
      </c>
      <c r="D108" s="11" t="s">
        <v>48</v>
      </c>
      <c r="E108" s="10">
        <v>30</v>
      </c>
      <c r="F108" s="11"/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5">
        <v>0</v>
      </c>
      <c r="W108" s="15" t="e">
        <v>#DIV/0!</v>
      </c>
      <c r="X108" s="15" t="e">
        <v>#DIV/0!</v>
      </c>
      <c r="Y108" s="14" t="e">
        <v>#DIV/0!</v>
      </c>
      <c r="Z108" s="15" t="e">
        <v>#DIV/0!</v>
      </c>
      <c r="AA108"/>
    </row>
    <row r="109" spans="1:27" ht="15.75" x14ac:dyDescent="0.25">
      <c r="A109" s="247"/>
      <c r="B109" s="196"/>
      <c r="C109" s="17" t="s">
        <v>81</v>
      </c>
      <c r="D109" s="17" t="s">
        <v>48</v>
      </c>
      <c r="E109" s="10">
        <v>30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20">
        <v>0</v>
      </c>
      <c r="W109" s="20" t="e">
        <v>#DIV/0!</v>
      </c>
      <c r="X109" s="20" t="e">
        <v>#DIV/0!</v>
      </c>
      <c r="Y109" s="20" t="e">
        <v>#DIV/0!</v>
      </c>
      <c r="Z109" s="20" t="e">
        <v>#DIV/0!</v>
      </c>
      <c r="AA109"/>
    </row>
    <row r="110" spans="1:27" ht="15.75" x14ac:dyDescent="0.25">
      <c r="A110" s="245">
        <v>8</v>
      </c>
      <c r="B110" s="196"/>
      <c r="C110" s="11" t="s">
        <v>82</v>
      </c>
      <c r="D110" s="11" t="s">
        <v>38</v>
      </c>
      <c r="E110" s="10">
        <v>30</v>
      </c>
      <c r="F110" s="11"/>
      <c r="G110" s="11">
        <v>4</v>
      </c>
      <c r="H110" s="11">
        <v>253</v>
      </c>
      <c r="I110" s="11">
        <v>2</v>
      </c>
      <c r="J110" s="11">
        <v>259</v>
      </c>
      <c r="K110" s="11">
        <v>249</v>
      </c>
      <c r="L110" s="11">
        <v>1</v>
      </c>
      <c r="M110" s="11">
        <v>3</v>
      </c>
      <c r="N110" s="11">
        <v>3</v>
      </c>
      <c r="O110" s="11">
        <v>0</v>
      </c>
      <c r="P110" s="11">
        <v>253</v>
      </c>
      <c r="Q110" s="11">
        <v>4</v>
      </c>
      <c r="R110" s="11">
        <v>3</v>
      </c>
      <c r="S110" s="11">
        <v>124</v>
      </c>
      <c r="T110" s="11">
        <v>6</v>
      </c>
      <c r="U110" s="11">
        <v>4</v>
      </c>
      <c r="V110" s="15">
        <v>4.1333333333333337</v>
      </c>
      <c r="W110" s="15" t="e">
        <v>#DIV/0!</v>
      </c>
      <c r="X110" s="15">
        <v>31</v>
      </c>
      <c r="Y110" s="14">
        <v>-31.000000000000004</v>
      </c>
      <c r="Z110" s="15" t="e">
        <v>#DIV/0!</v>
      </c>
      <c r="AA110"/>
    </row>
    <row r="111" spans="1:27" ht="15.75" x14ac:dyDescent="0.25">
      <c r="A111" s="247"/>
      <c r="B111" s="196"/>
      <c r="C111" s="17" t="s">
        <v>82</v>
      </c>
      <c r="D111" s="17" t="s">
        <v>38</v>
      </c>
      <c r="E111" s="10">
        <v>30</v>
      </c>
      <c r="F111" s="17">
        <v>0</v>
      </c>
      <c r="G111" s="17">
        <v>4</v>
      </c>
      <c r="H111" s="17">
        <v>253</v>
      </c>
      <c r="I111" s="17">
        <v>2</v>
      </c>
      <c r="J111" s="17">
        <v>259</v>
      </c>
      <c r="K111" s="17">
        <v>249</v>
      </c>
      <c r="L111" s="17">
        <v>1</v>
      </c>
      <c r="M111" s="17">
        <v>3</v>
      </c>
      <c r="N111" s="17">
        <v>3</v>
      </c>
      <c r="O111" s="17">
        <v>0</v>
      </c>
      <c r="P111" s="17">
        <v>253</v>
      </c>
      <c r="Q111" s="17">
        <v>4</v>
      </c>
      <c r="R111" s="17">
        <v>3</v>
      </c>
      <c r="S111" s="17">
        <v>124</v>
      </c>
      <c r="T111" s="17">
        <v>6</v>
      </c>
      <c r="U111" s="17">
        <v>4</v>
      </c>
      <c r="V111" s="20">
        <v>4.1333333333333337</v>
      </c>
      <c r="W111" s="20" t="e">
        <v>#DIV/0!</v>
      </c>
      <c r="X111" s="20">
        <v>31</v>
      </c>
      <c r="Y111" s="20">
        <v>-31.000000000000004</v>
      </c>
      <c r="Z111" s="20" t="e">
        <v>#DIV/0!</v>
      </c>
      <c r="AA111"/>
    </row>
    <row r="112" spans="1:27" ht="15.75" x14ac:dyDescent="0.25">
      <c r="A112" s="245">
        <v>9</v>
      </c>
      <c r="B112" s="196"/>
      <c r="C112" s="11" t="s">
        <v>64</v>
      </c>
      <c r="D112" s="11" t="s">
        <v>83</v>
      </c>
      <c r="E112" s="10">
        <v>30</v>
      </c>
      <c r="F112" s="11"/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5">
        <v>0</v>
      </c>
      <c r="W112" s="35" t="e">
        <v>#DIV/0!</v>
      </c>
      <c r="X112" s="35" t="e">
        <v>#DIV/0!</v>
      </c>
      <c r="Y112" s="36" t="e">
        <v>#DIV/0!</v>
      </c>
      <c r="Z112" s="35" t="e">
        <v>#DIV/0!</v>
      </c>
      <c r="AA112"/>
    </row>
    <row r="113" spans="1:27" ht="15.75" hidden="1" customHeight="1" x14ac:dyDescent="0.25">
      <c r="A113" s="247"/>
      <c r="B113" s="196"/>
      <c r="C113" s="17" t="s">
        <v>64</v>
      </c>
      <c r="D113" s="17" t="s">
        <v>83</v>
      </c>
      <c r="E113" s="10">
        <v>30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20">
        <v>0</v>
      </c>
      <c r="W113" s="20" t="e">
        <v>#DIV/0!</v>
      </c>
      <c r="X113" s="20" t="e">
        <v>#DIV/0!</v>
      </c>
      <c r="Y113" s="20" t="e">
        <v>#DIV/0!</v>
      </c>
      <c r="Z113" s="20" t="e">
        <v>#DIV/0!</v>
      </c>
      <c r="AA113"/>
    </row>
    <row r="114" spans="1:27" ht="15.75" hidden="1" customHeight="1" x14ac:dyDescent="0.25">
      <c r="A114" s="245">
        <v>10</v>
      </c>
      <c r="B114" s="196"/>
      <c r="C114" s="10" t="s">
        <v>73</v>
      </c>
      <c r="D114" s="10" t="s">
        <v>83</v>
      </c>
      <c r="E114" s="10">
        <v>30</v>
      </c>
      <c r="F114" s="10"/>
      <c r="G114" s="10">
        <v>0</v>
      </c>
      <c r="H114" s="10">
        <v>0</v>
      </c>
      <c r="I114" s="10">
        <v>0</v>
      </c>
      <c r="J114" s="11">
        <v>0</v>
      </c>
      <c r="K114" s="10">
        <v>0</v>
      </c>
      <c r="L114" s="10">
        <v>0</v>
      </c>
      <c r="M114" s="11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1">
        <v>0</v>
      </c>
      <c r="V114" s="15">
        <v>0</v>
      </c>
      <c r="W114" s="35" t="e">
        <v>#DIV/0!</v>
      </c>
      <c r="X114" s="35" t="e">
        <v>#DIV/0!</v>
      </c>
      <c r="Y114" s="36" t="e">
        <v>#DIV/0!</v>
      </c>
      <c r="Z114" s="35" t="e">
        <v>#DIV/0!</v>
      </c>
      <c r="AA114"/>
    </row>
    <row r="115" spans="1:27" ht="15.75" hidden="1" customHeight="1" x14ac:dyDescent="0.25">
      <c r="A115" s="247"/>
      <c r="B115" s="197"/>
      <c r="C115" s="17" t="s">
        <v>73</v>
      </c>
      <c r="D115" s="17" t="s">
        <v>83</v>
      </c>
      <c r="E115" s="10">
        <v>30</v>
      </c>
      <c r="F115" s="17"/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20">
        <v>0</v>
      </c>
      <c r="W115" s="20" t="e">
        <v>#DIV/0!</v>
      </c>
      <c r="X115" s="20" t="e">
        <v>#DIV/0!</v>
      </c>
      <c r="Y115" s="20" t="e">
        <v>#DIV/0!</v>
      </c>
      <c r="Z115" s="20" t="e">
        <v>#DIV/0!</v>
      </c>
      <c r="AA115"/>
    </row>
    <row r="116" spans="1:27" ht="15.75" hidden="1" customHeight="1" x14ac:dyDescent="0.25">
      <c r="A116" s="232" t="s">
        <v>84</v>
      </c>
      <c r="B116" s="233"/>
      <c r="C116" s="233"/>
      <c r="D116" s="234"/>
      <c r="E116" s="10">
        <v>30</v>
      </c>
      <c r="F116" s="29">
        <v>33</v>
      </c>
      <c r="G116" s="29">
        <v>25</v>
      </c>
      <c r="H116" s="29">
        <v>384</v>
      </c>
      <c r="I116" s="29">
        <v>145</v>
      </c>
      <c r="J116" s="28">
        <v>554</v>
      </c>
      <c r="K116" s="29">
        <v>463</v>
      </c>
      <c r="L116" s="29">
        <v>3</v>
      </c>
      <c r="M116" s="28">
        <v>60</v>
      </c>
      <c r="N116" s="29">
        <v>31</v>
      </c>
      <c r="O116" s="29">
        <v>29</v>
      </c>
      <c r="P116" s="28">
        <v>526</v>
      </c>
      <c r="Q116" s="29">
        <v>285</v>
      </c>
      <c r="R116" s="29">
        <v>12</v>
      </c>
      <c r="S116" s="29">
        <v>812</v>
      </c>
      <c r="T116" s="28">
        <v>28</v>
      </c>
      <c r="U116" s="28">
        <v>63</v>
      </c>
      <c r="V116" s="47">
        <v>27.066666666666666</v>
      </c>
      <c r="W116" s="30">
        <v>82.020202020202021</v>
      </c>
      <c r="X116" s="30">
        <v>12.888888888888889</v>
      </c>
      <c r="Y116" s="30">
        <v>2.8253968253968256</v>
      </c>
      <c r="Z116" s="30">
        <v>1.9090909090909092</v>
      </c>
      <c r="AA116"/>
    </row>
    <row r="117" spans="1:27" ht="15.75" x14ac:dyDescent="0.25">
      <c r="A117" s="235" t="s">
        <v>85</v>
      </c>
      <c r="B117" s="236"/>
      <c r="C117" s="236"/>
      <c r="D117" s="237"/>
      <c r="E117" s="10">
        <v>30</v>
      </c>
      <c r="F117" s="49">
        <v>388</v>
      </c>
      <c r="G117" s="49">
        <v>256</v>
      </c>
      <c r="H117" s="49">
        <v>3030</v>
      </c>
      <c r="I117" s="49">
        <v>742</v>
      </c>
      <c r="J117" s="48">
        <v>4028</v>
      </c>
      <c r="K117" s="49">
        <v>992</v>
      </c>
      <c r="L117" s="49">
        <v>2443</v>
      </c>
      <c r="M117" s="48">
        <v>246</v>
      </c>
      <c r="N117" s="49">
        <v>116</v>
      </c>
      <c r="O117" s="49">
        <v>130</v>
      </c>
      <c r="P117" s="48">
        <v>3681</v>
      </c>
      <c r="Q117" s="49">
        <v>9954</v>
      </c>
      <c r="R117" s="49">
        <v>33</v>
      </c>
      <c r="S117" s="49">
        <v>9751</v>
      </c>
      <c r="T117" s="49">
        <v>347</v>
      </c>
      <c r="U117" s="48">
        <v>2689</v>
      </c>
      <c r="V117" s="50">
        <v>325.03333333333336</v>
      </c>
      <c r="W117" s="51">
        <v>83.771477663230243</v>
      </c>
      <c r="X117" s="51">
        <v>3.6262551134250649</v>
      </c>
      <c r="Y117" s="51">
        <v>0.70249163257716585</v>
      </c>
      <c r="Z117" s="51">
        <v>6.9304123711340209</v>
      </c>
      <c r="AA117"/>
    </row>
    <row r="118" spans="1:27" s="230" customFormat="1" ht="15.75" x14ac:dyDescent="0.25">
      <c r="A118" s="326"/>
      <c r="B118" s="327"/>
      <c r="C118" s="327"/>
      <c r="D118" s="328"/>
      <c r="E118" s="10"/>
      <c r="F118" s="229"/>
      <c r="G118" s="229"/>
      <c r="H118" s="229"/>
      <c r="I118" s="229"/>
      <c r="J118" s="10"/>
      <c r="K118" s="229"/>
      <c r="L118" s="229"/>
      <c r="M118" s="10"/>
      <c r="N118" s="229"/>
      <c r="O118" s="229"/>
      <c r="P118" s="10"/>
      <c r="Q118" s="229"/>
      <c r="R118" s="229"/>
      <c r="S118" s="229"/>
      <c r="T118" s="229"/>
      <c r="U118" s="10"/>
      <c r="V118" s="23"/>
      <c r="W118" s="14"/>
      <c r="X118" s="14"/>
      <c r="Y118" s="14"/>
      <c r="Z118" s="14"/>
      <c r="AA118" s="140"/>
    </row>
    <row r="119" spans="1:27" x14ac:dyDescent="0.25">
      <c r="A119" s="90"/>
    </row>
    <row r="120" spans="1:27" x14ac:dyDescent="0.25">
      <c r="A120" s="90"/>
    </row>
    <row r="121" spans="1:27" x14ac:dyDescent="0.25">
      <c r="A121" s="94"/>
    </row>
    <row r="122" spans="1:27" x14ac:dyDescent="0.25">
      <c r="A122" s="95"/>
    </row>
    <row r="123" spans="1:27" x14ac:dyDescent="0.25">
      <c r="A123" s="95"/>
    </row>
    <row r="124" spans="1:27" x14ac:dyDescent="0.25">
      <c r="A124" s="95"/>
    </row>
    <row r="125" spans="1:27" x14ac:dyDescent="0.25">
      <c r="A125" s="96"/>
    </row>
    <row r="126" spans="1:27" x14ac:dyDescent="0.25">
      <c r="A126" s="94"/>
      <c r="N126" s="89">
        <f>125+99</f>
        <v>224</v>
      </c>
    </row>
  </sheetData>
  <sheetProtection algorithmName="SHA-512" hashValue="dRbGL0EAGUOLP1wi0ieAFKZsKbUh4jjQZJvN7f3Uia/hY6Mno+ywCleQ7aEFwPLnC89Czmf3c9Q9Mt81SxaWkg==" saltValue="ok7j+7q/8ILa5+sK5M79Tg==" spinCount="100000" sheet="1" objects="1" scenarios="1"/>
  <mergeCells count="144">
    <mergeCell ref="D67:D70"/>
    <mergeCell ref="P92:P94"/>
    <mergeCell ref="Q92:Q94"/>
    <mergeCell ref="R92:R94"/>
    <mergeCell ref="A117:D117"/>
    <mergeCell ref="A118:D118"/>
    <mergeCell ref="H67:H69"/>
    <mergeCell ref="I67:I69"/>
    <mergeCell ref="A79:A82"/>
    <mergeCell ref="B79:B82"/>
    <mergeCell ref="C79:C82"/>
    <mergeCell ref="D79:D82"/>
    <mergeCell ref="E79:E82"/>
    <mergeCell ref="F79:F82"/>
    <mergeCell ref="G79:G81"/>
    <mergeCell ref="H79:H81"/>
    <mergeCell ref="I79:I81"/>
    <mergeCell ref="A116:D116"/>
    <mergeCell ref="A98:A99"/>
    <mergeCell ref="A100:A101"/>
    <mergeCell ref="A102:A103"/>
    <mergeCell ref="A104:A105"/>
    <mergeCell ref="A106:A107"/>
    <mergeCell ref="A108:A109"/>
    <mergeCell ref="Y4:Y5"/>
    <mergeCell ref="Z4:Z5"/>
    <mergeCell ref="A7:A8"/>
    <mergeCell ref="A9:A10"/>
    <mergeCell ref="A11:A13"/>
    <mergeCell ref="A14:A17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  <mergeCell ref="S67:S69"/>
    <mergeCell ref="T67:T69"/>
    <mergeCell ref="U67:U70"/>
    <mergeCell ref="A38:A42"/>
    <mergeCell ref="A44:A46"/>
    <mergeCell ref="A47:A51"/>
    <mergeCell ref="A22:A23"/>
    <mergeCell ref="A27:A28"/>
    <mergeCell ref="A30:A32"/>
    <mergeCell ref="A18:A21"/>
    <mergeCell ref="A24:A26"/>
    <mergeCell ref="A33:A37"/>
    <mergeCell ref="A52:A53"/>
    <mergeCell ref="A55:A56"/>
    <mergeCell ref="C57:C60"/>
    <mergeCell ref="A58:A61"/>
    <mergeCell ref="A62:A63"/>
    <mergeCell ref="A64:D64"/>
    <mergeCell ref="V68:V69"/>
    <mergeCell ref="W68:W69"/>
    <mergeCell ref="X68:X69"/>
    <mergeCell ref="Y68:Y69"/>
    <mergeCell ref="Z68:Z69"/>
    <mergeCell ref="A71:A72"/>
    <mergeCell ref="B71:B76"/>
    <mergeCell ref="A73:A74"/>
    <mergeCell ref="A75:A76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E67:E70"/>
    <mergeCell ref="F67:F70"/>
    <mergeCell ref="G67:G69"/>
    <mergeCell ref="A67:A70"/>
    <mergeCell ref="B67:B70"/>
    <mergeCell ref="C67:C70"/>
    <mergeCell ref="V80:V81"/>
    <mergeCell ref="W80:W81"/>
    <mergeCell ref="X80:X81"/>
    <mergeCell ref="Y80:Y81"/>
    <mergeCell ref="Z80:Z81"/>
    <mergeCell ref="A83:A84"/>
    <mergeCell ref="B83:B89"/>
    <mergeCell ref="A86:A89"/>
    <mergeCell ref="C86:C88"/>
    <mergeCell ref="M79:M81"/>
    <mergeCell ref="N79:N81"/>
    <mergeCell ref="O79:O81"/>
    <mergeCell ref="P79:P81"/>
    <mergeCell ref="Q79:Q81"/>
    <mergeCell ref="R79:R81"/>
    <mergeCell ref="S79:S81"/>
    <mergeCell ref="T79:T81"/>
    <mergeCell ref="U79:U82"/>
    <mergeCell ref="J79:J81"/>
    <mergeCell ref="K79:K81"/>
    <mergeCell ref="L79:L81"/>
    <mergeCell ref="Z93:Z94"/>
    <mergeCell ref="A96:A97"/>
    <mergeCell ref="A92:A95"/>
    <mergeCell ref="B92:B95"/>
    <mergeCell ref="C92:C95"/>
    <mergeCell ref="D92:D95"/>
    <mergeCell ref="E92:E95"/>
    <mergeCell ref="F92:F95"/>
    <mergeCell ref="G92:G94"/>
    <mergeCell ref="H92:H94"/>
    <mergeCell ref="I92:I94"/>
    <mergeCell ref="J92:J94"/>
    <mergeCell ref="K92:K94"/>
    <mergeCell ref="L92:L94"/>
    <mergeCell ref="M92:M94"/>
    <mergeCell ref="N92:N94"/>
    <mergeCell ref="O92:O94"/>
    <mergeCell ref="A112:A113"/>
    <mergeCell ref="A114:A115"/>
    <mergeCell ref="S92:S94"/>
    <mergeCell ref="T92:T94"/>
    <mergeCell ref="U92:U95"/>
    <mergeCell ref="V93:V94"/>
    <mergeCell ref="W93:W94"/>
    <mergeCell ref="X93:X94"/>
    <mergeCell ref="Y93:Y94"/>
    <mergeCell ref="A110:A111"/>
  </mergeCells>
  <printOptions horizontalCentered="1"/>
  <pageMargins left="0.39370078740157483" right="0.39370078740157483" top="0.39370078740157483" bottom="0.39370078740157483" header="0.31496062992125984" footer="0.31496062992125984"/>
  <pageSetup paperSize="5" scale="6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8"/>
  <sheetViews>
    <sheetView topLeftCell="A37" zoomScale="70" zoomScaleNormal="70" workbookViewId="0">
      <selection activeCell="E41" sqref="E41"/>
    </sheetView>
  </sheetViews>
  <sheetFormatPr defaultRowHeight="15" x14ac:dyDescent="0.25"/>
  <cols>
    <col min="1" max="1" width="5.7109375" customWidth="1"/>
    <col min="2" max="2" width="0" hidden="1" customWidth="1"/>
    <col min="3" max="3" width="18.42578125" customWidth="1"/>
    <col min="4" max="4" width="17.5703125" bestFit="1" customWidth="1"/>
    <col min="5" max="5" width="4.85546875" customWidth="1"/>
    <col min="6" max="6" width="5.7109375" customWidth="1"/>
    <col min="12" max="12" width="10" customWidth="1"/>
    <col min="13" max="13" width="9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109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31.5" customHeight="1" x14ac:dyDescent="0.25">
      <c r="A7" s="254">
        <v>1</v>
      </c>
      <c r="B7" s="265" t="s">
        <v>32</v>
      </c>
      <c r="C7" s="97" t="s">
        <v>33</v>
      </c>
      <c r="D7" s="21" t="s">
        <v>34</v>
      </c>
      <c r="E7" s="10">
        <v>31</v>
      </c>
      <c r="F7" s="10">
        <v>20</v>
      </c>
      <c r="G7" s="28">
        <v>11</v>
      </c>
      <c r="H7" s="11">
        <v>142</v>
      </c>
      <c r="I7" s="11">
        <v>25</v>
      </c>
      <c r="J7" s="11">
        <v>178</v>
      </c>
      <c r="K7" s="11">
        <v>22</v>
      </c>
      <c r="L7" s="11">
        <v>121</v>
      </c>
      <c r="M7" s="12">
        <v>19</v>
      </c>
      <c r="N7" s="11">
        <v>9</v>
      </c>
      <c r="O7" s="11">
        <v>10</v>
      </c>
      <c r="P7" s="12">
        <v>162</v>
      </c>
      <c r="Q7" s="11">
        <v>481</v>
      </c>
      <c r="R7" s="11">
        <v>4</v>
      </c>
      <c r="S7" s="11">
        <v>523</v>
      </c>
      <c r="T7" s="12">
        <v>16</v>
      </c>
      <c r="U7" s="12">
        <v>140</v>
      </c>
      <c r="V7" s="13">
        <v>16.870967741935484</v>
      </c>
      <c r="W7" s="13">
        <v>84.354838709677409</v>
      </c>
      <c r="X7" s="13">
        <v>3.7357142857142858</v>
      </c>
      <c r="Y7" s="14">
        <v>0.69285714285714284</v>
      </c>
      <c r="Z7" s="15">
        <v>7</v>
      </c>
    </row>
    <row r="8" spans="1:26" ht="15.75" x14ac:dyDescent="0.25">
      <c r="A8" s="254"/>
      <c r="B8" s="266"/>
      <c r="C8" s="17" t="s">
        <v>35</v>
      </c>
      <c r="D8" s="16"/>
      <c r="E8" s="10">
        <v>31</v>
      </c>
      <c r="F8" s="17">
        <v>20</v>
      </c>
      <c r="G8" s="17">
        <v>11</v>
      </c>
      <c r="H8" s="17">
        <v>142</v>
      </c>
      <c r="I8" s="17">
        <v>25</v>
      </c>
      <c r="J8" s="17">
        <v>178</v>
      </c>
      <c r="K8" s="17">
        <v>22</v>
      </c>
      <c r="L8" s="17">
        <v>121</v>
      </c>
      <c r="M8" s="18">
        <v>19</v>
      </c>
      <c r="N8" s="17">
        <v>9</v>
      </c>
      <c r="O8" s="17">
        <v>10</v>
      </c>
      <c r="P8" s="18">
        <v>162</v>
      </c>
      <c r="Q8" s="17">
        <v>481</v>
      </c>
      <c r="R8" s="17">
        <v>4</v>
      </c>
      <c r="S8" s="17">
        <v>523</v>
      </c>
      <c r="T8" s="18">
        <v>16</v>
      </c>
      <c r="U8" s="18">
        <v>140</v>
      </c>
      <c r="V8" s="19">
        <v>16.870967741935484</v>
      </c>
      <c r="W8" s="19">
        <v>84.354838709677409</v>
      </c>
      <c r="X8" s="19">
        <v>3.7357142857142858</v>
      </c>
      <c r="Y8" s="20">
        <v>0.69285714285714284</v>
      </c>
      <c r="Z8" s="20">
        <v>7</v>
      </c>
    </row>
    <row r="9" spans="1:26" ht="15.75" x14ac:dyDescent="0.25">
      <c r="A9" s="256">
        <v>2</v>
      </c>
      <c r="B9" s="266"/>
      <c r="C9" s="11" t="s">
        <v>36</v>
      </c>
      <c r="D9" s="21" t="s">
        <v>34</v>
      </c>
      <c r="E9" s="10">
        <v>31</v>
      </c>
      <c r="F9" s="11">
        <v>16</v>
      </c>
      <c r="G9" s="28">
        <v>11</v>
      </c>
      <c r="H9" s="11">
        <v>74</v>
      </c>
      <c r="I9" s="11">
        <v>40</v>
      </c>
      <c r="J9" s="11">
        <v>125</v>
      </c>
      <c r="K9" s="11">
        <v>9</v>
      </c>
      <c r="L9" s="11">
        <v>99</v>
      </c>
      <c r="M9" s="12">
        <v>6</v>
      </c>
      <c r="N9" s="11">
        <v>3</v>
      </c>
      <c r="O9" s="11">
        <v>3</v>
      </c>
      <c r="P9" s="12">
        <v>114</v>
      </c>
      <c r="Q9" s="11">
        <v>414</v>
      </c>
      <c r="R9" s="11">
        <v>0</v>
      </c>
      <c r="S9" s="11">
        <v>421</v>
      </c>
      <c r="T9" s="12">
        <v>11</v>
      </c>
      <c r="U9" s="12">
        <v>105</v>
      </c>
      <c r="V9" s="13">
        <v>13.580645161290322</v>
      </c>
      <c r="W9" s="13">
        <v>84.879032258064512</v>
      </c>
      <c r="X9" s="13">
        <v>4.0095238095238095</v>
      </c>
      <c r="Y9" s="14">
        <v>0.71428571428571441</v>
      </c>
      <c r="Z9" s="15">
        <v>6.5625</v>
      </c>
    </row>
    <row r="10" spans="1:26" ht="15.75" x14ac:dyDescent="0.25">
      <c r="A10" s="256"/>
      <c r="B10" s="266"/>
      <c r="C10" s="17" t="s">
        <v>36</v>
      </c>
      <c r="D10" s="16"/>
      <c r="E10" s="10">
        <v>31</v>
      </c>
      <c r="F10" s="17">
        <v>16</v>
      </c>
      <c r="G10" s="17">
        <v>11</v>
      </c>
      <c r="H10" s="17">
        <v>74</v>
      </c>
      <c r="I10" s="17">
        <v>40</v>
      </c>
      <c r="J10" s="17">
        <v>125</v>
      </c>
      <c r="K10" s="17">
        <v>9</v>
      </c>
      <c r="L10" s="17">
        <v>99</v>
      </c>
      <c r="M10" s="18">
        <v>6</v>
      </c>
      <c r="N10" s="17">
        <v>3</v>
      </c>
      <c r="O10" s="17">
        <v>3</v>
      </c>
      <c r="P10" s="18">
        <v>114</v>
      </c>
      <c r="Q10" s="17">
        <v>414</v>
      </c>
      <c r="R10" s="17">
        <v>0</v>
      </c>
      <c r="S10" s="17">
        <v>421</v>
      </c>
      <c r="T10" s="18">
        <v>11</v>
      </c>
      <c r="U10" s="18">
        <v>105</v>
      </c>
      <c r="V10" s="19">
        <v>13.580645161290322</v>
      </c>
      <c r="W10" s="19">
        <v>84.879032258064512</v>
      </c>
      <c r="X10" s="19">
        <v>4.0095238095238095</v>
      </c>
      <c r="Y10" s="20">
        <v>0.71428571428571441</v>
      </c>
      <c r="Z10" s="20">
        <v>6.5625</v>
      </c>
    </row>
    <row r="11" spans="1:26" ht="15.75" x14ac:dyDescent="0.25">
      <c r="A11" s="256">
        <v>3</v>
      </c>
      <c r="B11" s="266"/>
      <c r="C11" s="256" t="s">
        <v>37</v>
      </c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266"/>
      <c r="C12" s="256"/>
      <c r="D12" s="21" t="s">
        <v>34</v>
      </c>
      <c r="E12" s="10">
        <v>31</v>
      </c>
      <c r="F12" s="11">
        <v>12</v>
      </c>
      <c r="G12" s="28">
        <v>5</v>
      </c>
      <c r="H12" s="11">
        <v>76</v>
      </c>
      <c r="I12" s="11">
        <v>6</v>
      </c>
      <c r="J12" s="11">
        <v>87</v>
      </c>
      <c r="K12" s="11">
        <v>6</v>
      </c>
      <c r="L12" s="11">
        <v>61</v>
      </c>
      <c r="M12" s="12">
        <v>10</v>
      </c>
      <c r="N12" s="11">
        <v>7</v>
      </c>
      <c r="O12" s="11">
        <v>3</v>
      </c>
      <c r="P12" s="12">
        <v>77</v>
      </c>
      <c r="Q12" s="11">
        <v>245</v>
      </c>
      <c r="R12" s="11">
        <v>1</v>
      </c>
      <c r="S12" s="11">
        <v>256</v>
      </c>
      <c r="T12" s="12">
        <v>10</v>
      </c>
      <c r="U12" s="12">
        <v>71</v>
      </c>
      <c r="V12" s="13">
        <v>8.258064516129032</v>
      </c>
      <c r="W12" s="13">
        <v>68.817204301075265</v>
      </c>
      <c r="X12" s="13">
        <v>3.6056338028169015</v>
      </c>
      <c r="Y12" s="14">
        <v>1.6338028169014085</v>
      </c>
      <c r="Z12" s="15">
        <v>5.916666666666667</v>
      </c>
    </row>
    <row r="13" spans="1:26" ht="15.75" x14ac:dyDescent="0.25">
      <c r="A13" s="256"/>
      <c r="B13" s="266"/>
      <c r="C13" s="17" t="s">
        <v>37</v>
      </c>
      <c r="D13" s="16"/>
      <c r="E13" s="10">
        <v>31</v>
      </c>
      <c r="F13" s="17">
        <v>12</v>
      </c>
      <c r="G13" s="17">
        <v>5</v>
      </c>
      <c r="H13" s="17">
        <v>76</v>
      </c>
      <c r="I13" s="17">
        <v>6</v>
      </c>
      <c r="J13" s="17">
        <v>87</v>
      </c>
      <c r="K13" s="17">
        <v>6</v>
      </c>
      <c r="L13" s="17">
        <v>61</v>
      </c>
      <c r="M13" s="18">
        <v>10</v>
      </c>
      <c r="N13" s="17">
        <v>7</v>
      </c>
      <c r="O13" s="17">
        <v>3</v>
      </c>
      <c r="P13" s="18">
        <v>77</v>
      </c>
      <c r="Q13" s="17">
        <v>245</v>
      </c>
      <c r="R13" s="17">
        <v>1</v>
      </c>
      <c r="S13" s="17">
        <v>256</v>
      </c>
      <c r="T13" s="18">
        <v>10</v>
      </c>
      <c r="U13" s="18">
        <v>71</v>
      </c>
      <c r="V13" s="19">
        <v>8.258064516129032</v>
      </c>
      <c r="W13" s="19">
        <v>68.817204301075265</v>
      </c>
      <c r="X13" s="19">
        <v>3.6056338028169015</v>
      </c>
      <c r="Y13" s="20">
        <v>1.6338028169014085</v>
      </c>
      <c r="Z13" s="20">
        <v>5.916666666666667</v>
      </c>
    </row>
    <row r="14" spans="1:26" ht="15.75" x14ac:dyDescent="0.25">
      <c r="A14" s="256">
        <v>4</v>
      </c>
      <c r="B14" s="266"/>
      <c r="C14" s="254" t="s">
        <v>39</v>
      </c>
      <c r="D14" s="21" t="s">
        <v>38</v>
      </c>
      <c r="E14" s="10">
        <v>31</v>
      </c>
      <c r="F14" s="10">
        <v>2</v>
      </c>
      <c r="G14" s="28">
        <v>1</v>
      </c>
      <c r="H14" s="11">
        <v>7</v>
      </c>
      <c r="I14" s="11">
        <v>3</v>
      </c>
      <c r="J14" s="11">
        <v>11</v>
      </c>
      <c r="K14" s="11">
        <v>2</v>
      </c>
      <c r="L14" s="11">
        <v>7</v>
      </c>
      <c r="M14" s="12">
        <v>0</v>
      </c>
      <c r="N14" s="11">
        <v>0</v>
      </c>
      <c r="O14" s="11">
        <v>0</v>
      </c>
      <c r="P14" s="12">
        <v>9</v>
      </c>
      <c r="Q14" s="11">
        <v>29</v>
      </c>
      <c r="R14" s="11">
        <v>0</v>
      </c>
      <c r="S14" s="11">
        <v>47</v>
      </c>
      <c r="T14" s="12">
        <v>2</v>
      </c>
      <c r="U14" s="12">
        <v>7</v>
      </c>
      <c r="V14" s="13">
        <v>1.5161290322580645</v>
      </c>
      <c r="W14" s="13">
        <v>75.806451612903231</v>
      </c>
      <c r="X14" s="13">
        <v>6.7142857142857144</v>
      </c>
      <c r="Y14" s="14">
        <v>2.1428571428571428</v>
      </c>
      <c r="Z14" s="15">
        <v>3.5</v>
      </c>
    </row>
    <row r="15" spans="1:26" ht="15.75" x14ac:dyDescent="0.25">
      <c r="A15" s="256"/>
      <c r="B15" s="266"/>
      <c r="C15" s="254"/>
      <c r="D15" s="21" t="s">
        <v>34</v>
      </c>
      <c r="E15" s="10">
        <v>31</v>
      </c>
      <c r="F15" s="10">
        <v>17</v>
      </c>
      <c r="G15" s="28">
        <v>14</v>
      </c>
      <c r="H15" s="11">
        <v>94</v>
      </c>
      <c r="I15" s="11">
        <v>27</v>
      </c>
      <c r="J15" s="11">
        <v>135</v>
      </c>
      <c r="K15" s="11">
        <v>16</v>
      </c>
      <c r="L15" s="11">
        <v>101</v>
      </c>
      <c r="M15" s="12">
        <v>2</v>
      </c>
      <c r="N15" s="11">
        <v>2</v>
      </c>
      <c r="O15" s="11">
        <v>0</v>
      </c>
      <c r="P15" s="12">
        <v>119</v>
      </c>
      <c r="Q15" s="11">
        <v>444</v>
      </c>
      <c r="R15" s="11">
        <v>1</v>
      </c>
      <c r="S15" s="11">
        <v>406</v>
      </c>
      <c r="T15" s="12">
        <v>16</v>
      </c>
      <c r="U15" s="12">
        <v>103</v>
      </c>
      <c r="V15" s="13">
        <v>13.096774193548388</v>
      </c>
      <c r="W15" s="13">
        <v>77.03984819734346</v>
      </c>
      <c r="X15" s="13">
        <v>3.941747572815534</v>
      </c>
      <c r="Y15" s="14">
        <v>1.1747572815533978</v>
      </c>
      <c r="Z15" s="15">
        <v>6.0588235294117645</v>
      </c>
    </row>
    <row r="16" spans="1:26" ht="15.75" x14ac:dyDescent="0.25">
      <c r="A16" s="256"/>
      <c r="B16" s="266"/>
      <c r="C16" s="254"/>
      <c r="D16" s="21" t="s">
        <v>40</v>
      </c>
      <c r="E16" s="10">
        <v>31</v>
      </c>
      <c r="F16" s="10">
        <v>5</v>
      </c>
      <c r="G16" s="28">
        <v>3</v>
      </c>
      <c r="H16" s="11">
        <v>17</v>
      </c>
      <c r="I16" s="11">
        <v>5</v>
      </c>
      <c r="J16" s="11">
        <v>25</v>
      </c>
      <c r="K16" s="11">
        <v>3</v>
      </c>
      <c r="L16" s="11">
        <v>20</v>
      </c>
      <c r="M16" s="12">
        <v>0</v>
      </c>
      <c r="N16" s="11">
        <v>0</v>
      </c>
      <c r="O16" s="11">
        <v>0</v>
      </c>
      <c r="P16" s="12">
        <v>23</v>
      </c>
      <c r="Q16" s="11">
        <v>97</v>
      </c>
      <c r="R16" s="11">
        <v>0</v>
      </c>
      <c r="S16" s="11">
        <v>73</v>
      </c>
      <c r="T16" s="12">
        <v>2</v>
      </c>
      <c r="U16" s="12">
        <v>20</v>
      </c>
      <c r="V16" s="13">
        <v>2.3548387096774195</v>
      </c>
      <c r="W16" s="13">
        <v>47.096774193548391</v>
      </c>
      <c r="X16" s="13">
        <v>3.65</v>
      </c>
      <c r="Y16" s="14">
        <v>4.0999999999999996</v>
      </c>
      <c r="Z16" s="15">
        <v>4</v>
      </c>
    </row>
    <row r="17" spans="1:26" ht="15.75" x14ac:dyDescent="0.25">
      <c r="A17" s="256"/>
      <c r="B17" s="266"/>
      <c r="C17" s="17" t="s">
        <v>39</v>
      </c>
      <c r="D17" s="16"/>
      <c r="E17" s="10">
        <v>31</v>
      </c>
      <c r="F17" s="17">
        <v>24</v>
      </c>
      <c r="G17" s="17">
        <v>18</v>
      </c>
      <c r="H17" s="17">
        <v>118</v>
      </c>
      <c r="I17" s="17">
        <v>35</v>
      </c>
      <c r="J17" s="17">
        <v>171</v>
      </c>
      <c r="K17" s="17">
        <v>21</v>
      </c>
      <c r="L17" s="17">
        <v>128</v>
      </c>
      <c r="M17" s="18">
        <v>2</v>
      </c>
      <c r="N17" s="17">
        <v>2</v>
      </c>
      <c r="O17" s="17">
        <v>0</v>
      </c>
      <c r="P17" s="18">
        <v>151</v>
      </c>
      <c r="Q17" s="17">
        <v>570</v>
      </c>
      <c r="R17" s="17">
        <v>1</v>
      </c>
      <c r="S17" s="17">
        <v>526</v>
      </c>
      <c r="T17" s="18">
        <v>20</v>
      </c>
      <c r="U17" s="18">
        <v>130</v>
      </c>
      <c r="V17" s="19">
        <v>16.967741935483872</v>
      </c>
      <c r="W17" s="19">
        <v>70.6989247311828</v>
      </c>
      <c r="X17" s="19">
        <v>4.046153846153846</v>
      </c>
      <c r="Y17" s="20">
        <v>1.6769230769230767</v>
      </c>
      <c r="Z17" s="20">
        <v>5.416666666666667</v>
      </c>
    </row>
    <row r="18" spans="1:26" ht="15.75" x14ac:dyDescent="0.25">
      <c r="A18" s="53"/>
      <c r="B18" s="266"/>
      <c r="C18" s="17"/>
      <c r="D18" s="16"/>
      <c r="E18" s="10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8"/>
      <c r="Q18" s="17"/>
      <c r="R18" s="17"/>
      <c r="S18" s="17"/>
      <c r="T18" s="18"/>
      <c r="U18" s="18"/>
      <c r="V18" s="19"/>
      <c r="W18" s="19"/>
      <c r="X18" s="19"/>
      <c r="Y18" s="20"/>
      <c r="Z18" s="20"/>
    </row>
    <row r="19" spans="1:26" ht="15.75" x14ac:dyDescent="0.25">
      <c r="A19" s="254">
        <v>5</v>
      </c>
      <c r="B19" s="266"/>
      <c r="C19" s="254" t="s">
        <v>41</v>
      </c>
      <c r="D19" s="98" t="s">
        <v>42</v>
      </c>
      <c r="E19" s="10">
        <v>31</v>
      </c>
      <c r="F19" s="10">
        <v>19</v>
      </c>
      <c r="G19" s="28">
        <v>17</v>
      </c>
      <c r="H19" s="11">
        <v>146</v>
      </c>
      <c r="I19" s="11">
        <v>29</v>
      </c>
      <c r="J19" s="11">
        <v>192</v>
      </c>
      <c r="K19" s="11">
        <v>27</v>
      </c>
      <c r="L19" s="11">
        <v>111</v>
      </c>
      <c r="M19" s="12">
        <v>36</v>
      </c>
      <c r="N19" s="11">
        <v>24</v>
      </c>
      <c r="O19" s="11">
        <v>12</v>
      </c>
      <c r="P19" s="12">
        <v>174</v>
      </c>
      <c r="Q19" s="11">
        <v>482</v>
      </c>
      <c r="R19" s="11">
        <v>7</v>
      </c>
      <c r="S19" s="11">
        <v>543</v>
      </c>
      <c r="T19" s="12">
        <v>18</v>
      </c>
      <c r="U19" s="12">
        <v>147</v>
      </c>
      <c r="V19" s="13">
        <v>17.516129032258064</v>
      </c>
      <c r="W19" s="13">
        <v>92.190152801358224</v>
      </c>
      <c r="X19" s="13">
        <v>3.693877551020408</v>
      </c>
      <c r="Y19" s="14">
        <v>0.31292517006802728</v>
      </c>
      <c r="Z19" s="15">
        <v>7.7368421052631575</v>
      </c>
    </row>
    <row r="20" spans="1:26" ht="15.75" x14ac:dyDescent="0.25">
      <c r="A20" s="254"/>
      <c r="B20" s="266"/>
      <c r="C20" s="254"/>
      <c r="D20" s="98" t="s">
        <v>43</v>
      </c>
      <c r="E20" s="10">
        <v>31</v>
      </c>
      <c r="F20" s="10">
        <v>12</v>
      </c>
      <c r="G20" s="28">
        <v>11</v>
      </c>
      <c r="H20" s="11">
        <v>65</v>
      </c>
      <c r="I20" s="11">
        <v>29</v>
      </c>
      <c r="J20" s="11">
        <v>105</v>
      </c>
      <c r="K20" s="11">
        <v>15</v>
      </c>
      <c r="L20" s="11">
        <v>63</v>
      </c>
      <c r="M20" s="12">
        <v>16</v>
      </c>
      <c r="N20" s="11">
        <v>9</v>
      </c>
      <c r="O20" s="11">
        <v>7</v>
      </c>
      <c r="P20" s="12">
        <v>94</v>
      </c>
      <c r="Q20" s="11">
        <v>316</v>
      </c>
      <c r="R20" s="11">
        <v>2</v>
      </c>
      <c r="S20" s="11">
        <v>333</v>
      </c>
      <c r="T20" s="12">
        <v>11</v>
      </c>
      <c r="U20" s="12">
        <v>79</v>
      </c>
      <c r="V20" s="13">
        <v>10.741935483870968</v>
      </c>
      <c r="W20" s="13">
        <v>89.516129032258064</v>
      </c>
      <c r="X20" s="13">
        <v>4.2151898734177218</v>
      </c>
      <c r="Y20" s="14">
        <v>0.49367088607594928</v>
      </c>
      <c r="Z20" s="15">
        <v>6.583333333333333</v>
      </c>
    </row>
    <row r="21" spans="1:26" ht="15.75" x14ac:dyDescent="0.25">
      <c r="A21" s="254"/>
      <c r="B21" s="266"/>
      <c r="C21" s="17" t="s">
        <v>41</v>
      </c>
      <c r="D21" s="16"/>
      <c r="E21" s="10">
        <v>31</v>
      </c>
      <c r="F21" s="17">
        <v>31</v>
      </c>
      <c r="G21" s="17">
        <v>28</v>
      </c>
      <c r="H21" s="17">
        <v>211</v>
      </c>
      <c r="I21" s="17">
        <v>58</v>
      </c>
      <c r="J21" s="17">
        <v>297</v>
      </c>
      <c r="K21" s="17">
        <v>42</v>
      </c>
      <c r="L21" s="17">
        <v>174</v>
      </c>
      <c r="M21" s="18">
        <v>52</v>
      </c>
      <c r="N21" s="17">
        <v>33</v>
      </c>
      <c r="O21" s="17">
        <v>19</v>
      </c>
      <c r="P21" s="18">
        <v>268</v>
      </c>
      <c r="Q21" s="17">
        <v>798</v>
      </c>
      <c r="R21" s="17">
        <v>9</v>
      </c>
      <c r="S21" s="17">
        <v>876</v>
      </c>
      <c r="T21" s="18">
        <v>29</v>
      </c>
      <c r="U21" s="18">
        <v>226</v>
      </c>
      <c r="V21" s="19">
        <v>28.258064516129032</v>
      </c>
      <c r="W21" s="19">
        <v>91.155046826222687</v>
      </c>
      <c r="X21" s="19">
        <v>3.8761061946902653</v>
      </c>
      <c r="Y21" s="20">
        <v>0.37610619469026546</v>
      </c>
      <c r="Z21" s="20">
        <v>14.32017543859649</v>
      </c>
    </row>
    <row r="22" spans="1:26" ht="15.75" x14ac:dyDescent="0.25">
      <c r="A22" s="254">
        <v>6</v>
      </c>
      <c r="B22" s="266"/>
      <c r="C22" s="10" t="s">
        <v>44</v>
      </c>
      <c r="D22" s="21" t="s">
        <v>34</v>
      </c>
      <c r="E22" s="10">
        <v>31</v>
      </c>
      <c r="F22" s="10">
        <v>18</v>
      </c>
      <c r="G22" s="28">
        <v>17</v>
      </c>
      <c r="H22" s="11">
        <v>145</v>
      </c>
      <c r="I22" s="11">
        <v>12</v>
      </c>
      <c r="J22" s="11">
        <v>174</v>
      </c>
      <c r="K22" s="11">
        <v>11</v>
      </c>
      <c r="L22" s="11">
        <v>142</v>
      </c>
      <c r="M22" s="12">
        <v>4</v>
      </c>
      <c r="N22" s="11">
        <v>3</v>
      </c>
      <c r="O22" s="11">
        <v>1</v>
      </c>
      <c r="P22" s="12">
        <v>157</v>
      </c>
      <c r="Q22" s="11">
        <v>483</v>
      </c>
      <c r="R22" s="11">
        <v>2</v>
      </c>
      <c r="S22" s="11">
        <v>493</v>
      </c>
      <c r="T22" s="12">
        <v>17</v>
      </c>
      <c r="U22" s="12">
        <v>146</v>
      </c>
      <c r="V22" s="13">
        <v>15.903225806451612</v>
      </c>
      <c r="W22" s="13">
        <v>88.351254480286741</v>
      </c>
      <c r="X22" s="13">
        <v>3.3767123287671232</v>
      </c>
      <c r="Y22" s="14">
        <v>0.44520547945205496</v>
      </c>
      <c r="Z22" s="15">
        <v>8.1111111111111107</v>
      </c>
    </row>
    <row r="23" spans="1:26" ht="15.75" x14ac:dyDescent="0.25">
      <c r="A23" s="254"/>
      <c r="B23" s="266"/>
      <c r="C23" s="17" t="s">
        <v>44</v>
      </c>
      <c r="D23" s="16"/>
      <c r="E23" s="10">
        <v>31</v>
      </c>
      <c r="F23" s="17">
        <v>18</v>
      </c>
      <c r="G23" s="17">
        <v>17</v>
      </c>
      <c r="H23" s="17">
        <v>145</v>
      </c>
      <c r="I23" s="17">
        <v>12</v>
      </c>
      <c r="J23" s="17">
        <v>174</v>
      </c>
      <c r="K23" s="17">
        <v>11</v>
      </c>
      <c r="L23" s="17">
        <v>142</v>
      </c>
      <c r="M23" s="18">
        <v>4</v>
      </c>
      <c r="N23" s="17">
        <v>3</v>
      </c>
      <c r="O23" s="17">
        <v>1</v>
      </c>
      <c r="P23" s="18">
        <v>157</v>
      </c>
      <c r="Q23" s="17">
        <v>483</v>
      </c>
      <c r="R23" s="17">
        <v>2</v>
      </c>
      <c r="S23" s="17">
        <v>493</v>
      </c>
      <c r="T23" s="18">
        <v>17</v>
      </c>
      <c r="U23" s="18">
        <v>146</v>
      </c>
      <c r="V23" s="19">
        <v>15.903225806451612</v>
      </c>
      <c r="W23" s="19">
        <v>88.351254480286741</v>
      </c>
      <c r="X23" s="19">
        <v>3.3767123287671232</v>
      </c>
      <c r="Y23" s="20">
        <v>0.44520547945205496</v>
      </c>
      <c r="Z23" s="20">
        <v>8.1111111111111107</v>
      </c>
    </row>
    <row r="24" spans="1:26" ht="15.75" x14ac:dyDescent="0.25">
      <c r="A24" s="52"/>
      <c r="B24" s="266"/>
      <c r="C24" s="17"/>
      <c r="D24" s="16"/>
      <c r="E24" s="10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8"/>
      <c r="Q24" s="17"/>
      <c r="R24" s="17"/>
      <c r="S24" s="17"/>
      <c r="T24" s="18"/>
      <c r="U24" s="18"/>
      <c r="V24" s="19"/>
      <c r="W24" s="19"/>
      <c r="X24" s="19"/>
      <c r="Y24" s="20"/>
      <c r="Z24" s="20"/>
    </row>
    <row r="25" spans="1:26" ht="15.75" x14ac:dyDescent="0.25">
      <c r="A25" s="254">
        <v>7</v>
      </c>
      <c r="B25" s="266"/>
      <c r="C25" s="10" t="s">
        <v>45</v>
      </c>
      <c r="D25" s="21" t="s">
        <v>34</v>
      </c>
      <c r="E25" s="10">
        <v>31</v>
      </c>
      <c r="F25" s="10">
        <v>20</v>
      </c>
      <c r="G25" s="28">
        <v>17</v>
      </c>
      <c r="H25" s="11">
        <v>119</v>
      </c>
      <c r="I25" s="11">
        <v>20</v>
      </c>
      <c r="J25" s="11">
        <v>156</v>
      </c>
      <c r="K25" s="11">
        <v>14</v>
      </c>
      <c r="L25" s="11">
        <v>114</v>
      </c>
      <c r="M25" s="12">
        <v>9</v>
      </c>
      <c r="N25" s="11">
        <v>5</v>
      </c>
      <c r="O25" s="11">
        <v>4</v>
      </c>
      <c r="P25" s="12">
        <v>137</v>
      </c>
      <c r="Q25" s="11">
        <v>534</v>
      </c>
      <c r="R25" s="11">
        <v>0</v>
      </c>
      <c r="S25" s="11">
        <v>539</v>
      </c>
      <c r="T25" s="12">
        <v>19</v>
      </c>
      <c r="U25" s="12">
        <v>123</v>
      </c>
      <c r="V25" s="13">
        <v>17.387096774193548</v>
      </c>
      <c r="W25" s="13">
        <v>86.935483870967744</v>
      </c>
      <c r="X25" s="13">
        <v>4.3821138211382111</v>
      </c>
      <c r="Y25" s="14">
        <v>0.6585365853658538</v>
      </c>
      <c r="Z25" s="15">
        <v>6.15</v>
      </c>
    </row>
    <row r="26" spans="1:26" ht="15.75" x14ac:dyDescent="0.25">
      <c r="A26" s="254"/>
      <c r="B26" s="266"/>
      <c r="C26" s="17" t="s">
        <v>45</v>
      </c>
      <c r="D26" s="16"/>
      <c r="E26" s="10">
        <v>31</v>
      </c>
      <c r="F26" s="17">
        <v>20</v>
      </c>
      <c r="G26" s="17">
        <v>17</v>
      </c>
      <c r="H26" s="17">
        <v>119</v>
      </c>
      <c r="I26" s="17">
        <v>20</v>
      </c>
      <c r="J26" s="17">
        <v>156</v>
      </c>
      <c r="K26" s="17">
        <v>14</v>
      </c>
      <c r="L26" s="17">
        <v>114</v>
      </c>
      <c r="M26" s="18">
        <v>9</v>
      </c>
      <c r="N26" s="17">
        <v>5</v>
      </c>
      <c r="O26" s="17">
        <v>4</v>
      </c>
      <c r="P26" s="18">
        <v>137</v>
      </c>
      <c r="Q26" s="17">
        <v>534</v>
      </c>
      <c r="R26" s="17">
        <v>0</v>
      </c>
      <c r="S26" s="17">
        <v>539</v>
      </c>
      <c r="T26" s="18">
        <v>19</v>
      </c>
      <c r="U26" s="18">
        <v>123</v>
      </c>
      <c r="V26" s="19">
        <v>17.387096774193548</v>
      </c>
      <c r="W26" s="19">
        <v>86.935483870967744</v>
      </c>
      <c r="X26" s="19">
        <v>4.3821138211382111</v>
      </c>
      <c r="Y26" s="20">
        <v>0.6585365853658538</v>
      </c>
      <c r="Z26" s="20">
        <v>6.15</v>
      </c>
    </row>
    <row r="27" spans="1:26" ht="15.75" x14ac:dyDescent="0.25">
      <c r="A27" s="256">
        <v>8</v>
      </c>
      <c r="B27" s="266"/>
      <c r="C27" s="11" t="s">
        <v>46</v>
      </c>
      <c r="D27" s="21" t="s">
        <v>34</v>
      </c>
      <c r="E27" s="10">
        <v>31</v>
      </c>
      <c r="F27" s="11">
        <v>20</v>
      </c>
      <c r="G27" s="28">
        <v>19</v>
      </c>
      <c r="H27" s="11">
        <v>154</v>
      </c>
      <c r="I27" s="11">
        <v>11</v>
      </c>
      <c r="J27" s="11">
        <v>184</v>
      </c>
      <c r="K27" s="11">
        <v>10</v>
      </c>
      <c r="L27" s="11">
        <v>143</v>
      </c>
      <c r="M27" s="12">
        <v>13</v>
      </c>
      <c r="N27" s="11">
        <v>10</v>
      </c>
      <c r="O27" s="11">
        <v>3</v>
      </c>
      <c r="P27" s="12">
        <v>166</v>
      </c>
      <c r="Q27" s="11">
        <v>506</v>
      </c>
      <c r="R27" s="11">
        <v>4</v>
      </c>
      <c r="S27" s="11">
        <v>544</v>
      </c>
      <c r="T27" s="12">
        <v>18</v>
      </c>
      <c r="U27" s="12">
        <v>156</v>
      </c>
      <c r="V27" s="13">
        <v>17.548387096774192</v>
      </c>
      <c r="W27" s="13">
        <v>87.741935483870961</v>
      </c>
      <c r="X27" s="13">
        <v>3.4871794871794872</v>
      </c>
      <c r="Y27" s="14">
        <v>0.48717948717948745</v>
      </c>
      <c r="Z27" s="15">
        <v>7.8</v>
      </c>
    </row>
    <row r="28" spans="1:26" ht="15.75" x14ac:dyDescent="0.25">
      <c r="A28" s="256"/>
      <c r="B28" s="266"/>
      <c r="C28" s="17" t="s">
        <v>46</v>
      </c>
      <c r="D28" s="16"/>
      <c r="E28" s="10">
        <v>31</v>
      </c>
      <c r="F28" s="17">
        <v>20</v>
      </c>
      <c r="G28" s="17">
        <v>19</v>
      </c>
      <c r="H28" s="17">
        <v>154</v>
      </c>
      <c r="I28" s="17">
        <v>11</v>
      </c>
      <c r="J28" s="17">
        <v>184</v>
      </c>
      <c r="K28" s="17">
        <v>10</v>
      </c>
      <c r="L28" s="17">
        <v>143</v>
      </c>
      <c r="M28" s="18">
        <v>13</v>
      </c>
      <c r="N28" s="17">
        <v>10</v>
      </c>
      <c r="O28" s="17">
        <v>3</v>
      </c>
      <c r="P28" s="18">
        <v>166</v>
      </c>
      <c r="Q28" s="17">
        <v>506</v>
      </c>
      <c r="R28" s="17">
        <v>4</v>
      </c>
      <c r="S28" s="17">
        <v>544</v>
      </c>
      <c r="T28" s="18">
        <v>18</v>
      </c>
      <c r="U28" s="18">
        <v>156</v>
      </c>
      <c r="V28" s="19">
        <v>17.548387096774192</v>
      </c>
      <c r="W28" s="19">
        <v>87.741935483870961</v>
      </c>
      <c r="X28" s="19">
        <v>3.4871794871794872</v>
      </c>
      <c r="Y28" s="20">
        <v>0.48717948717948745</v>
      </c>
      <c r="Z28" s="20">
        <v>7.8</v>
      </c>
    </row>
    <row r="29" spans="1:26" ht="15.75" x14ac:dyDescent="0.25">
      <c r="A29" s="53"/>
      <c r="B29" s="266"/>
      <c r="C29" s="17"/>
      <c r="D29" s="16"/>
      <c r="E29" s="10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8"/>
      <c r="Q29" s="17"/>
      <c r="R29" s="17"/>
      <c r="S29" s="17"/>
      <c r="T29" s="18"/>
      <c r="U29" s="18"/>
      <c r="V29" s="19"/>
      <c r="W29" s="19"/>
      <c r="X29" s="19"/>
      <c r="Y29" s="20"/>
      <c r="Z29" s="20"/>
    </row>
    <row r="30" spans="1:26" ht="15.75" x14ac:dyDescent="0.25">
      <c r="A30" s="256">
        <v>9</v>
      </c>
      <c r="B30" s="266"/>
      <c r="C30" s="11" t="s">
        <v>47</v>
      </c>
      <c r="D30" s="22" t="s">
        <v>48</v>
      </c>
      <c r="E30" s="10">
        <v>31</v>
      </c>
      <c r="F30" s="11">
        <v>12</v>
      </c>
      <c r="G30" s="28">
        <v>10</v>
      </c>
      <c r="H30" s="11">
        <v>77</v>
      </c>
      <c r="I30" s="11">
        <v>17</v>
      </c>
      <c r="J30" s="11">
        <v>104</v>
      </c>
      <c r="K30" s="11">
        <v>13</v>
      </c>
      <c r="L30" s="11">
        <v>76</v>
      </c>
      <c r="M30" s="12">
        <v>5</v>
      </c>
      <c r="N30" s="11">
        <v>1</v>
      </c>
      <c r="O30" s="11">
        <v>4</v>
      </c>
      <c r="P30" s="12">
        <v>94</v>
      </c>
      <c r="Q30" s="11">
        <v>268</v>
      </c>
      <c r="R30" s="11">
        <v>2</v>
      </c>
      <c r="S30" s="11">
        <v>263</v>
      </c>
      <c r="T30" s="12">
        <v>10</v>
      </c>
      <c r="U30" s="12">
        <v>81</v>
      </c>
      <c r="V30" s="13">
        <v>8.4838709677419359</v>
      </c>
      <c r="W30" s="13">
        <v>70.6989247311828</v>
      </c>
      <c r="X30" s="13">
        <v>3.2469135802469138</v>
      </c>
      <c r="Y30" s="14">
        <v>1.3456790123456788</v>
      </c>
      <c r="Z30" s="15">
        <v>6.75</v>
      </c>
    </row>
    <row r="31" spans="1:26" ht="15.75" x14ac:dyDescent="0.25">
      <c r="A31" s="256"/>
      <c r="B31" s="266"/>
      <c r="C31" s="11"/>
      <c r="D31" s="22"/>
      <c r="E31" s="10"/>
      <c r="F31" s="11"/>
      <c r="G31" s="28"/>
      <c r="H31" s="11"/>
      <c r="I31" s="11"/>
      <c r="J31" s="11"/>
      <c r="K31" s="11"/>
      <c r="L31" s="11"/>
      <c r="M31" s="12"/>
      <c r="N31" s="11"/>
      <c r="O31" s="11"/>
      <c r="P31" s="12"/>
      <c r="Q31" s="11"/>
      <c r="R31" s="11"/>
      <c r="S31" s="11"/>
      <c r="T31" s="12"/>
      <c r="U31" s="12"/>
      <c r="V31" s="13"/>
      <c r="W31" s="13"/>
      <c r="X31" s="13"/>
      <c r="Y31" s="14"/>
      <c r="Z31" s="15"/>
    </row>
    <row r="32" spans="1:26" ht="15.75" x14ac:dyDescent="0.25">
      <c r="A32" s="256"/>
      <c r="B32" s="266"/>
      <c r="C32" s="17" t="s">
        <v>47</v>
      </c>
      <c r="D32" s="16"/>
      <c r="E32" s="10">
        <v>31</v>
      </c>
      <c r="F32" s="17">
        <v>12</v>
      </c>
      <c r="G32" s="17">
        <v>10</v>
      </c>
      <c r="H32" s="17">
        <v>77</v>
      </c>
      <c r="I32" s="17">
        <v>17</v>
      </c>
      <c r="J32" s="17">
        <v>104</v>
      </c>
      <c r="K32" s="17">
        <v>13</v>
      </c>
      <c r="L32" s="17">
        <v>76</v>
      </c>
      <c r="M32" s="18">
        <v>5</v>
      </c>
      <c r="N32" s="17">
        <v>1</v>
      </c>
      <c r="O32" s="17">
        <v>4</v>
      </c>
      <c r="P32" s="18">
        <v>94</v>
      </c>
      <c r="Q32" s="17">
        <v>268</v>
      </c>
      <c r="R32" s="17">
        <v>2</v>
      </c>
      <c r="S32" s="17">
        <v>263</v>
      </c>
      <c r="T32" s="18">
        <v>10</v>
      </c>
      <c r="U32" s="18">
        <v>81</v>
      </c>
      <c r="V32" s="19">
        <v>8.4838709677419359</v>
      </c>
      <c r="W32" s="19">
        <v>70.6989247311828</v>
      </c>
      <c r="X32" s="19">
        <v>3.2469135802469138</v>
      </c>
      <c r="Y32" s="20">
        <v>1.3456790123456788</v>
      </c>
      <c r="Z32" s="20">
        <v>6.75</v>
      </c>
    </row>
    <row r="33" spans="1:26" ht="15.75" x14ac:dyDescent="0.25">
      <c r="A33" s="53"/>
      <c r="B33" s="266"/>
      <c r="C33" s="17"/>
      <c r="D33" s="16"/>
      <c r="E33" s="10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8"/>
      <c r="Q33" s="17"/>
      <c r="R33" s="17"/>
      <c r="S33" s="17"/>
      <c r="T33" s="18"/>
      <c r="U33" s="18"/>
      <c r="V33" s="19"/>
      <c r="W33" s="19"/>
      <c r="X33" s="19"/>
      <c r="Y33" s="20"/>
      <c r="Z33" s="20"/>
    </row>
    <row r="34" spans="1:26" ht="15.75" x14ac:dyDescent="0.25">
      <c r="A34" s="256">
        <v>10</v>
      </c>
      <c r="B34" s="266"/>
      <c r="C34" s="11" t="s">
        <v>49</v>
      </c>
      <c r="D34" s="22" t="s">
        <v>48</v>
      </c>
      <c r="E34" s="10">
        <v>31</v>
      </c>
      <c r="F34" s="11">
        <v>3</v>
      </c>
      <c r="G34" s="28">
        <v>3</v>
      </c>
      <c r="H34" s="11">
        <v>12</v>
      </c>
      <c r="I34" s="11">
        <v>10</v>
      </c>
      <c r="J34" s="11">
        <v>25</v>
      </c>
      <c r="K34" s="11">
        <v>2</v>
      </c>
      <c r="L34" s="11">
        <v>16</v>
      </c>
      <c r="M34" s="12">
        <v>4</v>
      </c>
      <c r="N34" s="11">
        <v>0</v>
      </c>
      <c r="O34" s="11">
        <v>4</v>
      </c>
      <c r="P34" s="12">
        <v>22</v>
      </c>
      <c r="Q34" s="11">
        <v>67</v>
      </c>
      <c r="R34" s="11">
        <v>2</v>
      </c>
      <c r="S34" s="11">
        <v>72</v>
      </c>
      <c r="T34" s="12">
        <v>3</v>
      </c>
      <c r="U34" s="12">
        <v>20</v>
      </c>
      <c r="V34" s="13">
        <v>2.3225806451612905</v>
      </c>
      <c r="W34" s="13">
        <v>77.41935483870968</v>
      </c>
      <c r="X34" s="13">
        <v>3.6</v>
      </c>
      <c r="Y34" s="14">
        <v>1.0499999999999998</v>
      </c>
      <c r="Z34" s="15">
        <v>6.666666666666667</v>
      </c>
    </row>
    <row r="35" spans="1:26" ht="15.75" x14ac:dyDescent="0.25">
      <c r="A35" s="256"/>
      <c r="B35" s="266"/>
      <c r="C35" s="11"/>
      <c r="D35" s="22" t="s">
        <v>38</v>
      </c>
      <c r="E35" s="10">
        <v>31</v>
      </c>
      <c r="F35" s="11">
        <v>4</v>
      </c>
      <c r="G35" s="28">
        <v>4</v>
      </c>
      <c r="H35" s="11">
        <v>29</v>
      </c>
      <c r="I35" s="11">
        <v>5</v>
      </c>
      <c r="J35" s="11">
        <v>38</v>
      </c>
      <c r="K35" s="11">
        <v>10</v>
      </c>
      <c r="L35" s="11">
        <v>22</v>
      </c>
      <c r="M35" s="12">
        <v>2</v>
      </c>
      <c r="N35" s="11">
        <v>2</v>
      </c>
      <c r="O35" s="11">
        <v>0</v>
      </c>
      <c r="P35" s="12">
        <v>34</v>
      </c>
      <c r="Q35" s="11">
        <v>77</v>
      </c>
      <c r="R35" s="11">
        <v>0</v>
      </c>
      <c r="S35" s="11">
        <v>96</v>
      </c>
      <c r="T35" s="12">
        <v>4</v>
      </c>
      <c r="U35" s="12">
        <v>24</v>
      </c>
      <c r="V35" s="13">
        <v>3.096774193548387</v>
      </c>
      <c r="W35" s="13">
        <v>77.41935483870968</v>
      </c>
      <c r="X35" s="13">
        <v>4</v>
      </c>
      <c r="Y35" s="14">
        <v>1.1666666666666667</v>
      </c>
      <c r="Z35" s="15">
        <v>6</v>
      </c>
    </row>
    <row r="36" spans="1:26" ht="15.75" x14ac:dyDescent="0.25">
      <c r="A36" s="256"/>
      <c r="B36" s="266"/>
      <c r="C36" s="11"/>
      <c r="D36" s="22" t="s">
        <v>34</v>
      </c>
      <c r="E36" s="10">
        <v>31</v>
      </c>
      <c r="F36" s="11">
        <v>12</v>
      </c>
      <c r="G36" s="28">
        <v>10</v>
      </c>
      <c r="H36" s="11">
        <v>72</v>
      </c>
      <c r="I36" s="11">
        <v>13</v>
      </c>
      <c r="J36" s="11">
        <v>95</v>
      </c>
      <c r="K36" s="11">
        <v>8</v>
      </c>
      <c r="L36" s="11">
        <v>73</v>
      </c>
      <c r="M36" s="12">
        <v>2</v>
      </c>
      <c r="N36" s="11">
        <v>2</v>
      </c>
      <c r="O36" s="11">
        <v>0</v>
      </c>
      <c r="P36" s="12">
        <v>83</v>
      </c>
      <c r="Q36" s="11">
        <v>281</v>
      </c>
      <c r="R36" s="11">
        <v>2</v>
      </c>
      <c r="S36" s="11">
        <v>307</v>
      </c>
      <c r="T36" s="12">
        <v>12</v>
      </c>
      <c r="U36" s="12">
        <v>75</v>
      </c>
      <c r="V36" s="13">
        <v>9.9032258064516121</v>
      </c>
      <c r="W36" s="13">
        <v>82.526881720430097</v>
      </c>
      <c r="X36" s="13">
        <v>4.0933333333333337</v>
      </c>
      <c r="Y36" s="14">
        <v>0.86666666666666703</v>
      </c>
      <c r="Z36" s="15">
        <v>6.25</v>
      </c>
    </row>
    <row r="37" spans="1:26" ht="15.75" x14ac:dyDescent="0.25">
      <c r="A37" s="256"/>
      <c r="B37" s="266"/>
      <c r="C37" s="17" t="s">
        <v>49</v>
      </c>
      <c r="D37" s="16"/>
      <c r="E37" s="10">
        <v>31</v>
      </c>
      <c r="F37" s="17">
        <v>19</v>
      </c>
      <c r="G37" s="17">
        <v>17</v>
      </c>
      <c r="H37" s="17">
        <v>113</v>
      </c>
      <c r="I37" s="17">
        <v>28</v>
      </c>
      <c r="J37" s="17">
        <v>158</v>
      </c>
      <c r="K37" s="17">
        <v>20</v>
      </c>
      <c r="L37" s="17">
        <v>111</v>
      </c>
      <c r="M37" s="18">
        <v>8</v>
      </c>
      <c r="N37" s="17">
        <v>4</v>
      </c>
      <c r="O37" s="17">
        <v>4</v>
      </c>
      <c r="P37" s="18">
        <v>139</v>
      </c>
      <c r="Q37" s="17">
        <v>425</v>
      </c>
      <c r="R37" s="17">
        <v>4</v>
      </c>
      <c r="S37" s="17">
        <v>475</v>
      </c>
      <c r="T37" s="18">
        <v>19</v>
      </c>
      <c r="U37" s="18">
        <v>119</v>
      </c>
      <c r="V37" s="19">
        <v>15.32258064516129</v>
      </c>
      <c r="W37" s="19">
        <v>80.645161290322577</v>
      </c>
      <c r="X37" s="19">
        <v>3.9915966386554622</v>
      </c>
      <c r="Y37" s="20">
        <v>0.95798319327731107</v>
      </c>
      <c r="Z37" s="20">
        <v>6.2631578947368425</v>
      </c>
    </row>
    <row r="38" spans="1:26" ht="15.75" x14ac:dyDescent="0.25">
      <c r="A38" s="231">
        <v>11</v>
      </c>
      <c r="B38" s="266"/>
      <c r="C38" s="254" t="s">
        <v>50</v>
      </c>
      <c r="D38" s="22" t="s">
        <v>51</v>
      </c>
      <c r="E38" s="10">
        <v>31</v>
      </c>
      <c r="F38" s="10">
        <v>6</v>
      </c>
      <c r="G38" s="28">
        <v>7</v>
      </c>
      <c r="H38" s="11">
        <v>52</v>
      </c>
      <c r="I38" s="11">
        <v>5</v>
      </c>
      <c r="J38" s="11">
        <v>64</v>
      </c>
      <c r="K38" s="11">
        <v>12</v>
      </c>
      <c r="L38" s="11">
        <v>45</v>
      </c>
      <c r="M38" s="12">
        <v>2</v>
      </c>
      <c r="N38" s="11">
        <v>2</v>
      </c>
      <c r="O38" s="11">
        <v>0</v>
      </c>
      <c r="P38" s="12">
        <v>59</v>
      </c>
      <c r="Q38" s="11">
        <v>145</v>
      </c>
      <c r="R38" s="11">
        <v>2</v>
      </c>
      <c r="S38" s="11">
        <v>201</v>
      </c>
      <c r="T38" s="12">
        <v>5</v>
      </c>
      <c r="U38" s="12">
        <v>47</v>
      </c>
      <c r="V38" s="13">
        <v>6.4838709677419351</v>
      </c>
      <c r="W38" s="13">
        <v>108.06451612903226</v>
      </c>
      <c r="X38" s="13">
        <v>4.2765957446808507</v>
      </c>
      <c r="Y38" s="14">
        <v>-0.31914893617021245</v>
      </c>
      <c r="Z38" s="15">
        <v>7.833333333333333</v>
      </c>
    </row>
    <row r="39" spans="1:26" ht="15.75" x14ac:dyDescent="0.25">
      <c r="A39" s="231"/>
      <c r="B39" s="266"/>
      <c r="C39" s="254"/>
      <c r="D39" s="22" t="s">
        <v>52</v>
      </c>
      <c r="E39" s="10">
        <v>31</v>
      </c>
      <c r="F39" s="10">
        <v>6</v>
      </c>
      <c r="G39" s="28">
        <v>1</v>
      </c>
      <c r="H39" s="11">
        <v>48</v>
      </c>
      <c r="I39" s="11">
        <v>7</v>
      </c>
      <c r="J39" s="11">
        <v>56</v>
      </c>
      <c r="K39" s="11">
        <v>10</v>
      </c>
      <c r="L39" s="11">
        <v>39</v>
      </c>
      <c r="M39" s="12">
        <v>2</v>
      </c>
      <c r="N39" s="11">
        <v>1</v>
      </c>
      <c r="O39" s="11">
        <v>1</v>
      </c>
      <c r="P39" s="12">
        <v>51</v>
      </c>
      <c r="Q39" s="11">
        <v>133</v>
      </c>
      <c r="R39" s="11">
        <v>1</v>
      </c>
      <c r="S39" s="11">
        <v>100</v>
      </c>
      <c r="T39" s="12">
        <v>5</v>
      </c>
      <c r="U39" s="12">
        <v>41</v>
      </c>
      <c r="V39" s="13">
        <v>3.225806451612903</v>
      </c>
      <c r="W39" s="13">
        <v>53.763440860215049</v>
      </c>
      <c r="X39" s="13">
        <v>2.4390243902439024</v>
      </c>
      <c r="Y39" s="14">
        <v>2.0975609756097562</v>
      </c>
      <c r="Z39" s="15">
        <v>6.833333333333333</v>
      </c>
    </row>
    <row r="40" spans="1:26" ht="15.75" x14ac:dyDescent="0.25">
      <c r="A40" s="231"/>
      <c r="B40" s="266"/>
      <c r="C40" s="254"/>
      <c r="D40" s="22" t="s">
        <v>53</v>
      </c>
      <c r="E40" s="10">
        <v>31</v>
      </c>
      <c r="F40" s="10">
        <v>14</v>
      </c>
      <c r="G40" s="28">
        <v>11</v>
      </c>
      <c r="H40" s="11">
        <v>89</v>
      </c>
      <c r="I40" s="11">
        <v>7</v>
      </c>
      <c r="J40" s="11">
        <v>107</v>
      </c>
      <c r="K40" s="11">
        <v>15</v>
      </c>
      <c r="L40" s="11">
        <v>76</v>
      </c>
      <c r="M40" s="12">
        <v>8</v>
      </c>
      <c r="N40" s="11">
        <v>6</v>
      </c>
      <c r="O40" s="11">
        <v>2</v>
      </c>
      <c r="P40" s="12">
        <v>99</v>
      </c>
      <c r="Q40" s="11">
        <v>292</v>
      </c>
      <c r="R40" s="11">
        <v>3</v>
      </c>
      <c r="S40" s="11">
        <v>300</v>
      </c>
      <c r="T40" s="12">
        <v>8</v>
      </c>
      <c r="U40" s="12">
        <v>84</v>
      </c>
      <c r="V40" s="13">
        <v>9.67741935483871</v>
      </c>
      <c r="W40" s="13">
        <v>69.124423963133637</v>
      </c>
      <c r="X40" s="13">
        <v>3.5714285714285716</v>
      </c>
      <c r="Y40" s="23">
        <v>1.5952380952380953</v>
      </c>
      <c r="Z40" s="24">
        <v>6</v>
      </c>
    </row>
    <row r="41" spans="1:26" ht="15.75" x14ac:dyDescent="0.25">
      <c r="A41" s="231"/>
      <c r="B41" s="266"/>
      <c r="C41" s="254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31</v>
      </c>
      <c r="F42" s="17">
        <v>26</v>
      </c>
      <c r="G42" s="17">
        <v>19</v>
      </c>
      <c r="H42" s="17">
        <v>189</v>
      </c>
      <c r="I42" s="17">
        <v>19</v>
      </c>
      <c r="J42" s="17">
        <v>227</v>
      </c>
      <c r="K42" s="17">
        <v>37</v>
      </c>
      <c r="L42" s="17">
        <v>160</v>
      </c>
      <c r="M42" s="18">
        <v>12</v>
      </c>
      <c r="N42" s="17">
        <v>9</v>
      </c>
      <c r="O42" s="17">
        <v>3</v>
      </c>
      <c r="P42" s="18">
        <v>209</v>
      </c>
      <c r="Q42" s="17">
        <v>570</v>
      </c>
      <c r="R42" s="17">
        <v>6</v>
      </c>
      <c r="S42" s="17">
        <v>601</v>
      </c>
      <c r="T42" s="18">
        <v>18</v>
      </c>
      <c r="U42" s="18">
        <v>172</v>
      </c>
      <c r="V42" s="19">
        <v>19.387096774193548</v>
      </c>
      <c r="W42" s="19">
        <v>74.565756823821346</v>
      </c>
      <c r="X42" s="19">
        <v>3.4941860465116279</v>
      </c>
      <c r="Y42" s="20">
        <v>1.191860465116279</v>
      </c>
      <c r="Z42" s="20">
        <v>6.615384615384615</v>
      </c>
    </row>
    <row r="43" spans="1:26" ht="15.75" x14ac:dyDescent="0.25">
      <c r="A43" s="59"/>
      <c r="B43" s="266"/>
      <c r="C43" s="17"/>
      <c r="D43" s="16"/>
      <c r="E43" s="10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8"/>
      <c r="Q43" s="17"/>
      <c r="R43" s="17"/>
      <c r="S43" s="17"/>
      <c r="T43" s="18"/>
      <c r="U43" s="18"/>
      <c r="V43" s="19"/>
      <c r="W43" s="19"/>
      <c r="X43" s="19"/>
      <c r="Y43" s="20"/>
      <c r="Z43" s="20"/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31</v>
      </c>
      <c r="F44" s="10">
        <v>15</v>
      </c>
      <c r="G44" s="28">
        <v>13</v>
      </c>
      <c r="H44" s="11">
        <v>102</v>
      </c>
      <c r="I44" s="11">
        <v>23</v>
      </c>
      <c r="J44" s="11">
        <v>138</v>
      </c>
      <c r="K44" s="11">
        <v>23</v>
      </c>
      <c r="L44" s="11">
        <v>99</v>
      </c>
      <c r="M44" s="12">
        <v>9</v>
      </c>
      <c r="N44" s="11">
        <v>4</v>
      </c>
      <c r="O44" s="11">
        <v>5</v>
      </c>
      <c r="P44" s="12">
        <v>131</v>
      </c>
      <c r="Q44" s="11">
        <v>353</v>
      </c>
      <c r="R44" s="11">
        <v>2</v>
      </c>
      <c r="S44" s="11">
        <v>353</v>
      </c>
      <c r="T44" s="12">
        <v>7</v>
      </c>
      <c r="U44" s="12">
        <v>108</v>
      </c>
      <c r="V44" s="13">
        <v>11.387096774193548</v>
      </c>
      <c r="W44" s="13">
        <v>75.913978494623663</v>
      </c>
      <c r="X44" s="13">
        <v>3.2685185185185186</v>
      </c>
      <c r="Y44" s="14">
        <v>1.0370370370370372</v>
      </c>
      <c r="Z44" s="15">
        <v>7.2</v>
      </c>
    </row>
    <row r="45" spans="1:26" ht="15.75" customHeight="1" x14ac:dyDescent="0.25">
      <c r="A45" s="231"/>
      <c r="B45" s="266"/>
      <c r="C45" s="10"/>
      <c r="D45" s="21" t="s">
        <v>55</v>
      </c>
      <c r="E45" s="10">
        <v>31</v>
      </c>
      <c r="F45" s="10">
        <v>2</v>
      </c>
      <c r="G45" s="28">
        <v>2</v>
      </c>
      <c r="H45" s="11">
        <v>6</v>
      </c>
      <c r="I45" s="11">
        <v>5</v>
      </c>
      <c r="J45" s="11">
        <v>13</v>
      </c>
      <c r="K45" s="11">
        <v>3</v>
      </c>
      <c r="L45" s="11">
        <v>7</v>
      </c>
      <c r="M45" s="12">
        <v>1</v>
      </c>
      <c r="N45" s="11">
        <v>0</v>
      </c>
      <c r="O45" s="11">
        <v>1</v>
      </c>
      <c r="P45" s="12">
        <v>11</v>
      </c>
      <c r="Q45" s="11">
        <v>21</v>
      </c>
      <c r="R45" s="11">
        <v>0</v>
      </c>
      <c r="S45" s="11">
        <v>38</v>
      </c>
      <c r="T45" s="12">
        <v>2</v>
      </c>
      <c r="U45" s="12">
        <v>8</v>
      </c>
      <c r="V45" s="13">
        <v>1.2258064516129032</v>
      </c>
      <c r="W45" s="13">
        <v>61.29032258064516</v>
      </c>
      <c r="X45" s="13">
        <v>4.75</v>
      </c>
      <c r="Y45" s="14">
        <v>3</v>
      </c>
      <c r="Z45" s="15">
        <v>4</v>
      </c>
    </row>
    <row r="46" spans="1:26" ht="15.75" x14ac:dyDescent="0.25">
      <c r="A46" s="231"/>
      <c r="B46" s="266"/>
      <c r="C46" s="17" t="s">
        <v>54</v>
      </c>
      <c r="D46" s="16"/>
      <c r="E46" s="10">
        <v>31</v>
      </c>
      <c r="F46" s="17">
        <v>17</v>
      </c>
      <c r="G46" s="17">
        <v>15</v>
      </c>
      <c r="H46" s="17">
        <v>108</v>
      </c>
      <c r="I46" s="17">
        <v>28</v>
      </c>
      <c r="J46" s="17">
        <v>151</v>
      </c>
      <c r="K46" s="17">
        <v>26</v>
      </c>
      <c r="L46" s="17">
        <v>106</v>
      </c>
      <c r="M46" s="18">
        <v>10</v>
      </c>
      <c r="N46" s="17">
        <v>4</v>
      </c>
      <c r="O46" s="17">
        <v>6</v>
      </c>
      <c r="P46" s="18">
        <v>142</v>
      </c>
      <c r="Q46" s="17">
        <v>374</v>
      </c>
      <c r="R46" s="17">
        <v>2</v>
      </c>
      <c r="S46" s="17">
        <v>391</v>
      </c>
      <c r="T46" s="18">
        <v>9</v>
      </c>
      <c r="U46" s="18">
        <v>116</v>
      </c>
      <c r="V46" s="25">
        <v>12.612903225806452</v>
      </c>
      <c r="W46" s="19">
        <v>74.193548387096769</v>
      </c>
      <c r="X46" s="19">
        <v>3.3706896551724137</v>
      </c>
      <c r="Y46" s="20">
        <v>1.1724137931034482</v>
      </c>
      <c r="Z46" s="20">
        <v>6.8235294117647056</v>
      </c>
    </row>
    <row r="47" spans="1:26" ht="15.75" customHeight="1" x14ac:dyDescent="0.25">
      <c r="A47" s="245">
        <v>13</v>
      </c>
      <c r="B47" s="266"/>
      <c r="C47" s="257" t="s">
        <v>56</v>
      </c>
      <c r="D47" s="22" t="s">
        <v>57</v>
      </c>
      <c r="E47" s="10">
        <v>31</v>
      </c>
      <c r="F47" s="11">
        <v>2</v>
      </c>
      <c r="G47" s="28">
        <v>0</v>
      </c>
      <c r="H47" s="11">
        <v>3</v>
      </c>
      <c r="I47" s="11">
        <v>0</v>
      </c>
      <c r="J47" s="11">
        <v>3</v>
      </c>
      <c r="K47" s="11">
        <v>2</v>
      </c>
      <c r="L47" s="11">
        <v>0</v>
      </c>
      <c r="M47" s="12">
        <v>0</v>
      </c>
      <c r="N47" s="11">
        <v>0</v>
      </c>
      <c r="O47" s="11">
        <v>0</v>
      </c>
      <c r="P47" s="12">
        <v>2</v>
      </c>
      <c r="Q47" s="11">
        <v>0</v>
      </c>
      <c r="R47" s="11">
        <v>0</v>
      </c>
      <c r="S47" s="11">
        <v>5</v>
      </c>
      <c r="T47" s="12">
        <v>1</v>
      </c>
      <c r="U47" s="12">
        <v>0</v>
      </c>
      <c r="V47" s="13">
        <v>0.16129032258064516</v>
      </c>
      <c r="W47" s="13">
        <v>8.064516129032258</v>
      </c>
      <c r="X47" s="13" t="e">
        <v>#DIV/0!</v>
      </c>
      <c r="Y47" s="14" t="e">
        <v>#DIV/0!</v>
      </c>
      <c r="Z47" s="15">
        <v>0</v>
      </c>
    </row>
    <row r="48" spans="1:26" ht="15.75" x14ac:dyDescent="0.25">
      <c r="A48" s="246"/>
      <c r="B48" s="266"/>
      <c r="C48" s="257"/>
      <c r="D48" s="99" t="s">
        <v>58</v>
      </c>
      <c r="E48" s="10">
        <v>31</v>
      </c>
      <c r="F48" s="26">
        <v>3</v>
      </c>
      <c r="G48" s="56">
        <v>3</v>
      </c>
      <c r="H48" s="26">
        <v>14</v>
      </c>
      <c r="I48" s="26">
        <v>0</v>
      </c>
      <c r="J48" s="11">
        <v>17</v>
      </c>
      <c r="K48" s="26">
        <v>0</v>
      </c>
      <c r="L48" s="26">
        <v>9</v>
      </c>
      <c r="M48" s="12">
        <v>6</v>
      </c>
      <c r="N48" s="26">
        <v>4</v>
      </c>
      <c r="O48" s="26">
        <v>2</v>
      </c>
      <c r="P48" s="12">
        <v>15</v>
      </c>
      <c r="Q48" s="26">
        <v>54</v>
      </c>
      <c r="R48" s="26">
        <v>0</v>
      </c>
      <c r="S48" s="26">
        <v>42</v>
      </c>
      <c r="T48" s="12">
        <v>2</v>
      </c>
      <c r="U48" s="12">
        <v>15</v>
      </c>
      <c r="V48" s="13">
        <v>1.3548387096774193</v>
      </c>
      <c r="W48" s="13">
        <v>45.161290322580641</v>
      </c>
      <c r="X48" s="13">
        <v>2.8</v>
      </c>
      <c r="Y48" s="14">
        <v>3.4</v>
      </c>
      <c r="Z48" s="15">
        <v>5</v>
      </c>
    </row>
    <row r="49" spans="1:26" ht="15.75" x14ac:dyDescent="0.25">
      <c r="A49" s="246"/>
      <c r="B49" s="266"/>
      <c r="C49" s="257"/>
      <c r="D49" s="99" t="s">
        <v>59</v>
      </c>
      <c r="E49" s="10">
        <v>31</v>
      </c>
      <c r="F49" s="26">
        <v>2</v>
      </c>
      <c r="G49" s="56">
        <v>1</v>
      </c>
      <c r="H49" s="26">
        <v>6</v>
      </c>
      <c r="I49" s="26">
        <v>3</v>
      </c>
      <c r="J49" s="11">
        <v>10</v>
      </c>
      <c r="K49" s="26">
        <v>0</v>
      </c>
      <c r="L49" s="26">
        <v>5</v>
      </c>
      <c r="M49" s="12">
        <v>3</v>
      </c>
      <c r="N49" s="26">
        <v>2</v>
      </c>
      <c r="O49" s="26">
        <v>1</v>
      </c>
      <c r="P49" s="12">
        <v>8</v>
      </c>
      <c r="Q49" s="26">
        <v>29</v>
      </c>
      <c r="R49" s="26">
        <v>0</v>
      </c>
      <c r="S49" s="26">
        <v>22</v>
      </c>
      <c r="T49" s="12">
        <v>2</v>
      </c>
      <c r="U49" s="12">
        <v>8</v>
      </c>
      <c r="V49" s="13">
        <v>0.70967741935483875</v>
      </c>
      <c r="W49" s="13">
        <v>35.483870967741936</v>
      </c>
      <c r="X49" s="13">
        <v>2.75</v>
      </c>
      <c r="Y49" s="14">
        <v>5</v>
      </c>
      <c r="Z49" s="15">
        <v>4</v>
      </c>
    </row>
    <row r="50" spans="1:26" ht="15.75" x14ac:dyDescent="0.25">
      <c r="A50" s="246"/>
      <c r="B50" s="266"/>
      <c r="C50" s="257"/>
      <c r="D50" s="99" t="s">
        <v>60</v>
      </c>
      <c r="E50" s="10">
        <v>31</v>
      </c>
      <c r="F50" s="26">
        <v>10</v>
      </c>
      <c r="G50" s="56">
        <v>3</v>
      </c>
      <c r="H50" s="26">
        <v>49</v>
      </c>
      <c r="I50" s="26">
        <v>10</v>
      </c>
      <c r="J50" s="11">
        <v>62</v>
      </c>
      <c r="K50" s="26">
        <v>4</v>
      </c>
      <c r="L50" s="26">
        <v>33</v>
      </c>
      <c r="M50" s="12">
        <v>15</v>
      </c>
      <c r="N50" s="26">
        <v>7</v>
      </c>
      <c r="O50" s="26">
        <v>8</v>
      </c>
      <c r="P50" s="12">
        <v>52</v>
      </c>
      <c r="Q50" s="26">
        <v>245</v>
      </c>
      <c r="R50" s="26">
        <v>0</v>
      </c>
      <c r="S50" s="26">
        <v>245</v>
      </c>
      <c r="T50" s="12">
        <v>10</v>
      </c>
      <c r="U50" s="12">
        <v>48</v>
      </c>
      <c r="V50" s="13">
        <v>7.903225806451613</v>
      </c>
      <c r="W50" s="13">
        <v>79.032258064516128</v>
      </c>
      <c r="X50" s="13">
        <v>5.104166666666667</v>
      </c>
      <c r="Y50" s="14">
        <v>1.3541666666666667</v>
      </c>
      <c r="Z50" s="15">
        <v>4.8</v>
      </c>
    </row>
    <row r="51" spans="1:26" ht="15.75" x14ac:dyDescent="0.25">
      <c r="A51" s="247"/>
      <c r="B51" s="266"/>
      <c r="C51" s="17" t="s">
        <v>61</v>
      </c>
      <c r="D51" s="16"/>
      <c r="E51" s="10">
        <v>31</v>
      </c>
      <c r="F51" s="17">
        <v>17</v>
      </c>
      <c r="G51" s="17">
        <v>7</v>
      </c>
      <c r="H51" s="17">
        <v>72</v>
      </c>
      <c r="I51" s="17">
        <v>13</v>
      </c>
      <c r="J51" s="17">
        <v>92</v>
      </c>
      <c r="K51" s="17">
        <v>6</v>
      </c>
      <c r="L51" s="17">
        <v>47</v>
      </c>
      <c r="M51" s="18">
        <v>24</v>
      </c>
      <c r="N51" s="17">
        <v>13</v>
      </c>
      <c r="O51" s="17">
        <v>11</v>
      </c>
      <c r="P51" s="18">
        <v>77</v>
      </c>
      <c r="Q51" s="17">
        <v>328</v>
      </c>
      <c r="R51" s="17">
        <v>0</v>
      </c>
      <c r="S51" s="17">
        <v>314</v>
      </c>
      <c r="T51" s="18">
        <v>15</v>
      </c>
      <c r="U51" s="18">
        <v>71</v>
      </c>
      <c r="V51" s="19">
        <v>10.129032258064516</v>
      </c>
      <c r="W51" s="19">
        <v>59.582542694497157</v>
      </c>
      <c r="X51" s="19">
        <v>4.422535211267606</v>
      </c>
      <c r="Y51" s="20">
        <v>3</v>
      </c>
      <c r="Z51" s="20">
        <v>4.1764705882352944</v>
      </c>
    </row>
    <row r="52" spans="1:26" ht="15.75" x14ac:dyDescent="0.25">
      <c r="A52" s="145"/>
      <c r="B52" s="266"/>
      <c r="C52" s="17"/>
      <c r="D52" s="16"/>
      <c r="E52" s="10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31</v>
      </c>
      <c r="F53" s="11">
        <v>8</v>
      </c>
      <c r="G53" s="28">
        <v>3</v>
      </c>
      <c r="H53" s="11">
        <v>32</v>
      </c>
      <c r="I53" s="11">
        <v>8</v>
      </c>
      <c r="J53" s="11">
        <v>43</v>
      </c>
      <c r="K53" s="11">
        <v>8</v>
      </c>
      <c r="L53" s="11">
        <v>29</v>
      </c>
      <c r="M53" s="12">
        <v>3</v>
      </c>
      <c r="N53" s="11">
        <v>0</v>
      </c>
      <c r="O53" s="11">
        <v>3</v>
      </c>
      <c r="P53" s="12">
        <v>40</v>
      </c>
      <c r="Q53" s="11">
        <v>130</v>
      </c>
      <c r="R53" s="11">
        <v>1</v>
      </c>
      <c r="S53" s="11">
        <v>158</v>
      </c>
      <c r="T53" s="12">
        <v>3</v>
      </c>
      <c r="U53" s="12">
        <v>32</v>
      </c>
      <c r="V53" s="13">
        <v>5.096774193548387</v>
      </c>
      <c r="W53" s="24">
        <v>63.70967741935484</v>
      </c>
      <c r="X53" s="24">
        <v>4.9375</v>
      </c>
      <c r="Y53" s="23">
        <v>2.8125</v>
      </c>
      <c r="Z53" s="24">
        <v>4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">
        <v>31</v>
      </c>
      <c r="F54" s="17">
        <v>8</v>
      </c>
      <c r="G54" s="17">
        <v>3</v>
      </c>
      <c r="H54" s="17">
        <v>32</v>
      </c>
      <c r="I54" s="17">
        <v>8</v>
      </c>
      <c r="J54" s="17">
        <v>43</v>
      </c>
      <c r="K54" s="17">
        <v>8</v>
      </c>
      <c r="L54" s="17">
        <v>29</v>
      </c>
      <c r="M54" s="18">
        <v>3</v>
      </c>
      <c r="N54" s="17">
        <v>0</v>
      </c>
      <c r="O54" s="17">
        <v>3</v>
      </c>
      <c r="P54" s="18">
        <v>40</v>
      </c>
      <c r="Q54" s="17">
        <v>130</v>
      </c>
      <c r="R54" s="17">
        <v>1</v>
      </c>
      <c r="S54" s="17">
        <v>158</v>
      </c>
      <c r="T54" s="18">
        <v>3</v>
      </c>
      <c r="U54" s="18">
        <v>32</v>
      </c>
      <c r="V54" s="19">
        <v>5.096774193548387</v>
      </c>
      <c r="W54" s="27">
        <v>63.70967741935484</v>
      </c>
      <c r="X54" s="27">
        <v>4.9375</v>
      </c>
      <c r="Y54" s="27">
        <v>2.8125</v>
      </c>
      <c r="Z54" s="27">
        <v>4</v>
      </c>
    </row>
    <row r="55" spans="1:26" ht="15.75" x14ac:dyDescent="0.25">
      <c r="A55" s="59"/>
      <c r="B55" s="266"/>
      <c r="C55" s="17"/>
      <c r="D55" s="16"/>
      <c r="E55" s="10"/>
      <c r="F55" s="17"/>
      <c r="G55" s="17"/>
      <c r="H55" s="17"/>
      <c r="I55" s="17"/>
      <c r="J55" s="17"/>
      <c r="K55" s="17"/>
      <c r="L55" s="17"/>
      <c r="M55" s="18"/>
      <c r="N55" s="17"/>
      <c r="O55" s="17"/>
      <c r="P55" s="18"/>
      <c r="Q55" s="17"/>
      <c r="R55" s="17"/>
      <c r="S55" s="17"/>
      <c r="T55" s="18"/>
      <c r="U55" s="18"/>
      <c r="V55" s="19"/>
      <c r="W55" s="27"/>
      <c r="X55" s="27"/>
      <c r="Y55" s="27"/>
      <c r="Z55" s="27"/>
    </row>
    <row r="56" spans="1:26" ht="15.75" x14ac:dyDescent="0.25">
      <c r="A56" s="231">
        <v>15</v>
      </c>
      <c r="B56" s="266"/>
      <c r="C56" s="11" t="s">
        <v>63</v>
      </c>
      <c r="D56" s="22" t="s">
        <v>34</v>
      </c>
      <c r="E56" s="10">
        <v>31</v>
      </c>
      <c r="F56" s="11">
        <v>16</v>
      </c>
      <c r="G56" s="28">
        <v>14</v>
      </c>
      <c r="H56" s="11">
        <v>120</v>
      </c>
      <c r="I56" s="11">
        <v>28</v>
      </c>
      <c r="J56" s="11">
        <v>162</v>
      </c>
      <c r="K56" s="11">
        <v>15</v>
      </c>
      <c r="L56" s="11">
        <v>116</v>
      </c>
      <c r="M56" s="11">
        <v>18</v>
      </c>
      <c r="N56" s="11">
        <v>10</v>
      </c>
      <c r="O56" s="11">
        <v>8</v>
      </c>
      <c r="P56" s="11">
        <v>149</v>
      </c>
      <c r="Q56" s="11">
        <v>455</v>
      </c>
      <c r="R56" s="11">
        <v>3</v>
      </c>
      <c r="S56" s="11">
        <v>461</v>
      </c>
      <c r="T56" s="11">
        <v>13</v>
      </c>
      <c r="U56" s="11">
        <v>134</v>
      </c>
      <c r="V56" s="15">
        <v>14.870967741935484</v>
      </c>
      <c r="W56" s="15">
        <v>92.943548387096769</v>
      </c>
      <c r="X56" s="15">
        <v>3.4402985074626864</v>
      </c>
      <c r="Y56" s="14">
        <v>0.26119402985074625</v>
      </c>
      <c r="Z56" s="15">
        <v>8.375</v>
      </c>
    </row>
    <row r="57" spans="1:26" ht="15.75" x14ac:dyDescent="0.25">
      <c r="A57" s="231"/>
      <c r="B57" s="266"/>
      <c r="C57" s="17" t="s">
        <v>63</v>
      </c>
      <c r="D57" s="16"/>
      <c r="E57" s="10">
        <v>31</v>
      </c>
      <c r="F57" s="17">
        <v>16</v>
      </c>
      <c r="G57" s="17">
        <v>14</v>
      </c>
      <c r="H57" s="17">
        <v>120</v>
      </c>
      <c r="I57" s="17">
        <v>28</v>
      </c>
      <c r="J57" s="17">
        <v>162</v>
      </c>
      <c r="K57" s="17">
        <v>15</v>
      </c>
      <c r="L57" s="17">
        <v>116</v>
      </c>
      <c r="M57" s="17">
        <v>18</v>
      </c>
      <c r="N57" s="17">
        <v>10</v>
      </c>
      <c r="O57" s="17">
        <v>8</v>
      </c>
      <c r="P57" s="17">
        <v>149</v>
      </c>
      <c r="Q57" s="17">
        <v>455</v>
      </c>
      <c r="R57" s="17">
        <v>3</v>
      </c>
      <c r="S57" s="17">
        <v>461</v>
      </c>
      <c r="T57" s="17">
        <v>13</v>
      </c>
      <c r="U57" s="17">
        <v>134</v>
      </c>
      <c r="V57" s="20">
        <v>14.870967741935484</v>
      </c>
      <c r="W57" s="20">
        <v>92.943548387096769</v>
      </c>
      <c r="X57" s="20">
        <v>3.4402985074626864</v>
      </c>
      <c r="Y57" s="20">
        <v>0.26119402985074625</v>
      </c>
      <c r="Z57" s="20">
        <v>8.375</v>
      </c>
    </row>
    <row r="58" spans="1:26" ht="15.75" x14ac:dyDescent="0.25">
      <c r="A58" s="59"/>
      <c r="B58" s="266"/>
      <c r="C58" s="17"/>
      <c r="D58" s="16"/>
      <c r="E58" s="1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0"/>
      <c r="W58" s="20"/>
      <c r="X58" s="20"/>
      <c r="Y58" s="20"/>
      <c r="Z58" s="20"/>
    </row>
    <row r="59" spans="1:26" ht="15.75" x14ac:dyDescent="0.25">
      <c r="A59" s="253">
        <v>16</v>
      </c>
      <c r="B59" s="266"/>
      <c r="C59" s="10" t="s">
        <v>64</v>
      </c>
      <c r="D59" s="21" t="s">
        <v>48</v>
      </c>
      <c r="E59" s="10">
        <v>31</v>
      </c>
      <c r="F59" s="10">
        <v>2</v>
      </c>
      <c r="G59" s="28">
        <v>1</v>
      </c>
      <c r="H59" s="10">
        <v>1</v>
      </c>
      <c r="I59" s="10">
        <v>3</v>
      </c>
      <c r="J59" s="11">
        <v>5</v>
      </c>
      <c r="K59" s="10">
        <v>1</v>
      </c>
      <c r="L59" s="10">
        <v>4</v>
      </c>
      <c r="M59" s="11">
        <v>0</v>
      </c>
      <c r="N59" s="10">
        <v>0</v>
      </c>
      <c r="O59" s="10">
        <v>0</v>
      </c>
      <c r="P59" s="11">
        <v>5</v>
      </c>
      <c r="Q59" s="10">
        <v>5</v>
      </c>
      <c r="R59" s="10">
        <v>0</v>
      </c>
      <c r="S59" s="10">
        <v>7</v>
      </c>
      <c r="T59" s="12">
        <v>0</v>
      </c>
      <c r="U59" s="12">
        <v>4</v>
      </c>
      <c r="V59" s="13">
        <v>0.22580645161290322</v>
      </c>
      <c r="W59" s="24">
        <v>11.29032258064516</v>
      </c>
      <c r="X59" s="24">
        <v>1.75</v>
      </c>
      <c r="Y59" s="23">
        <v>13.75</v>
      </c>
      <c r="Z59" s="24">
        <v>2</v>
      </c>
    </row>
    <row r="60" spans="1:26" ht="15.75" x14ac:dyDescent="0.25">
      <c r="A60" s="253"/>
      <c r="B60" s="266"/>
      <c r="C60" s="10"/>
      <c r="D60" s="21" t="s">
        <v>38</v>
      </c>
      <c r="E60" s="10">
        <v>31</v>
      </c>
      <c r="F60" s="10">
        <v>10</v>
      </c>
      <c r="G60" s="28">
        <v>1</v>
      </c>
      <c r="H60" s="10">
        <v>26</v>
      </c>
      <c r="I60" s="10">
        <v>115</v>
      </c>
      <c r="J60" s="11">
        <v>142</v>
      </c>
      <c r="K60" s="10">
        <v>103</v>
      </c>
      <c r="L60" s="10">
        <v>27</v>
      </c>
      <c r="M60" s="11">
        <v>2</v>
      </c>
      <c r="N60" s="10">
        <v>0</v>
      </c>
      <c r="O60" s="10">
        <v>2</v>
      </c>
      <c r="P60" s="11">
        <v>132</v>
      </c>
      <c r="Q60" s="10">
        <v>70</v>
      </c>
      <c r="R60" s="10">
        <v>0</v>
      </c>
      <c r="S60" s="10">
        <v>171</v>
      </c>
      <c r="T60" s="12">
        <v>10</v>
      </c>
      <c r="U60" s="12">
        <v>29</v>
      </c>
      <c r="V60" s="13">
        <v>5.5161290322580649</v>
      </c>
      <c r="W60" s="24">
        <v>55.161290322580648</v>
      </c>
      <c r="X60" s="24">
        <v>5.8965517241379306</v>
      </c>
      <c r="Y60" s="23">
        <v>4.7931034482758621</v>
      </c>
      <c r="Z60" s="24">
        <v>2.9</v>
      </c>
    </row>
    <row r="61" spans="1:26" ht="15.75" x14ac:dyDescent="0.25">
      <c r="A61" s="253"/>
      <c r="B61" s="266"/>
      <c r="C61" s="10"/>
      <c r="D61" s="21" t="s">
        <v>34</v>
      </c>
      <c r="E61" s="10">
        <v>31</v>
      </c>
      <c r="F61" s="10">
        <v>21</v>
      </c>
      <c r="G61" s="28">
        <v>14</v>
      </c>
      <c r="H61" s="10">
        <v>98</v>
      </c>
      <c r="I61" s="10">
        <v>205</v>
      </c>
      <c r="J61" s="11">
        <v>317</v>
      </c>
      <c r="K61" s="10">
        <v>54</v>
      </c>
      <c r="L61" s="10">
        <v>244</v>
      </c>
      <c r="M61" s="11">
        <v>0</v>
      </c>
      <c r="N61" s="10">
        <v>0</v>
      </c>
      <c r="O61" s="10">
        <v>0</v>
      </c>
      <c r="P61" s="11">
        <v>298</v>
      </c>
      <c r="Q61" s="10">
        <v>636</v>
      </c>
      <c r="R61" s="10">
        <v>0</v>
      </c>
      <c r="S61" s="10">
        <v>405</v>
      </c>
      <c r="T61" s="12">
        <v>19</v>
      </c>
      <c r="U61" s="12">
        <v>244</v>
      </c>
      <c r="V61" s="13">
        <v>13.064516129032258</v>
      </c>
      <c r="W61" s="24">
        <v>62.21198156682027</v>
      </c>
      <c r="X61" s="24">
        <v>1.6598360655737705</v>
      </c>
      <c r="Y61" s="23">
        <v>1.0081967213114753</v>
      </c>
      <c r="Z61" s="24">
        <v>11.619047619047619</v>
      </c>
    </row>
    <row r="62" spans="1:26" ht="15.75" x14ac:dyDescent="0.25">
      <c r="A62" s="253"/>
      <c r="B62" s="266"/>
      <c r="C62" s="17" t="s">
        <v>64</v>
      </c>
      <c r="D62" s="16"/>
      <c r="E62" s="10">
        <v>31</v>
      </c>
      <c r="F62" s="17">
        <v>33</v>
      </c>
      <c r="G62" s="17">
        <v>16</v>
      </c>
      <c r="H62" s="17">
        <v>125</v>
      </c>
      <c r="I62" s="17">
        <v>323</v>
      </c>
      <c r="J62" s="17">
        <v>464</v>
      </c>
      <c r="K62" s="17">
        <v>158</v>
      </c>
      <c r="L62" s="17">
        <v>275</v>
      </c>
      <c r="M62" s="17">
        <v>2</v>
      </c>
      <c r="N62" s="17">
        <v>0</v>
      </c>
      <c r="O62" s="17">
        <v>2</v>
      </c>
      <c r="P62" s="17">
        <v>435</v>
      </c>
      <c r="Q62" s="17">
        <v>711</v>
      </c>
      <c r="R62" s="17">
        <v>0</v>
      </c>
      <c r="S62" s="17">
        <v>583</v>
      </c>
      <c r="T62" s="17">
        <v>29</v>
      </c>
      <c r="U62" s="17">
        <v>277</v>
      </c>
      <c r="V62" s="20">
        <v>18.806451612903224</v>
      </c>
      <c r="W62" s="20">
        <v>56.989247311827953</v>
      </c>
      <c r="X62" s="20">
        <v>2.104693140794224</v>
      </c>
      <c r="Y62" s="20">
        <v>1.588447653429603</v>
      </c>
      <c r="Z62" s="20">
        <v>8.3939393939393945</v>
      </c>
    </row>
    <row r="63" spans="1:26" ht="15.75" x14ac:dyDescent="0.25">
      <c r="A63" s="253">
        <v>17</v>
      </c>
      <c r="B63" s="266"/>
      <c r="C63" s="11" t="s">
        <v>81</v>
      </c>
      <c r="D63" s="21" t="s">
        <v>38</v>
      </c>
      <c r="E63" s="10">
        <v>31</v>
      </c>
      <c r="F63" s="10">
        <v>2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323"/>
      <c r="C64" s="17" t="s">
        <v>81</v>
      </c>
      <c r="D64" s="16" t="s">
        <v>38</v>
      </c>
      <c r="E64" s="10">
        <v>31</v>
      </c>
      <c r="F64" s="17">
        <v>2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>
        <v>0</v>
      </c>
      <c r="X64" s="20" t="e">
        <v>#DIV/0!</v>
      </c>
      <c r="Y64" s="20" t="e">
        <v>#DIV/0!</v>
      </c>
      <c r="Z64" s="20">
        <v>0</v>
      </c>
    </row>
    <row r="65" spans="1:26" ht="15.75" x14ac:dyDescent="0.25">
      <c r="A65" s="255" t="s">
        <v>65</v>
      </c>
      <c r="B65" s="255"/>
      <c r="C65" s="255"/>
      <c r="D65" s="255"/>
      <c r="E65" s="10">
        <v>31</v>
      </c>
      <c r="F65" s="29">
        <v>311</v>
      </c>
      <c r="G65" s="29">
        <v>227</v>
      </c>
      <c r="H65" s="29">
        <v>1875</v>
      </c>
      <c r="I65" s="29">
        <v>671</v>
      </c>
      <c r="J65" s="28">
        <v>2773</v>
      </c>
      <c r="K65" s="29">
        <v>418</v>
      </c>
      <c r="L65" s="29">
        <v>1902</v>
      </c>
      <c r="M65" s="28">
        <v>197</v>
      </c>
      <c r="N65" s="29">
        <v>113</v>
      </c>
      <c r="O65" s="29">
        <v>84</v>
      </c>
      <c r="P65" s="28">
        <v>2517</v>
      </c>
      <c r="Q65" s="29">
        <v>7292</v>
      </c>
      <c r="R65" s="29">
        <v>39</v>
      </c>
      <c r="S65" s="29">
        <v>7424</v>
      </c>
      <c r="T65" s="28">
        <v>256</v>
      </c>
      <c r="U65" s="28">
        <v>2099</v>
      </c>
      <c r="V65" s="30">
        <v>239.48387096774192</v>
      </c>
      <c r="W65" s="30">
        <v>77.004460118244992</v>
      </c>
      <c r="X65" s="30">
        <v>3.5369223439733206</v>
      </c>
      <c r="Y65" s="30">
        <v>1.0562172463077659</v>
      </c>
      <c r="Z65" s="30">
        <v>6.7491961414791</v>
      </c>
    </row>
    <row r="66" spans="1:26" ht="15" customHeight="1" x14ac:dyDescent="0.25">
      <c r="A66" s="31"/>
      <c r="B66" s="108"/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" customHeight="1" x14ac:dyDescent="0.25">
      <c r="A67" s="33" t="s">
        <v>66</v>
      </c>
      <c r="B67" s="34"/>
      <c r="C67" s="32"/>
      <c r="D67" s="32"/>
      <c r="E67" s="1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customHeight="1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23</v>
      </c>
      <c r="X68" s="8" t="s">
        <v>24</v>
      </c>
      <c r="Y68" s="8" t="s">
        <v>25</v>
      </c>
      <c r="Z68" s="8" t="s">
        <v>26</v>
      </c>
    </row>
    <row r="69" spans="1:26" ht="15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.75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31</v>
      </c>
      <c r="F72" s="11">
        <v>2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>
        <v>0</v>
      </c>
      <c r="X72" s="35" t="e">
        <v>#DIV/0!</v>
      </c>
      <c r="Y72" s="36" t="e">
        <v>#DIV/0!</v>
      </c>
      <c r="Z72" s="35">
        <v>0</v>
      </c>
    </row>
    <row r="73" spans="1:26" ht="15.75" x14ac:dyDescent="0.25">
      <c r="A73" s="247"/>
      <c r="B73" s="246"/>
      <c r="C73" s="17" t="s">
        <v>69</v>
      </c>
      <c r="D73" s="17"/>
      <c r="E73" s="10">
        <v>31</v>
      </c>
      <c r="F73" s="17">
        <v>2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>
        <v>0</v>
      </c>
    </row>
    <row r="74" spans="1:26" ht="15.75" x14ac:dyDescent="0.25">
      <c r="A74" s="245">
        <v>2</v>
      </c>
      <c r="B74" s="246"/>
      <c r="C74" s="11" t="s">
        <v>70</v>
      </c>
      <c r="D74" s="11" t="s">
        <v>48</v>
      </c>
      <c r="E74" s="10">
        <v>31</v>
      </c>
      <c r="F74" s="11">
        <v>2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>
        <v>0</v>
      </c>
      <c r="X74" s="15" t="e">
        <v>#DIV/0!</v>
      </c>
      <c r="Y74" s="14" t="e">
        <v>#DIV/0!</v>
      </c>
      <c r="Z74" s="15">
        <v>0</v>
      </c>
    </row>
    <row r="75" spans="1:26" ht="15.75" x14ac:dyDescent="0.25">
      <c r="A75" s="247"/>
      <c r="B75" s="246"/>
      <c r="C75" s="17" t="s">
        <v>70</v>
      </c>
      <c r="D75" s="17"/>
      <c r="E75" s="10">
        <v>31</v>
      </c>
      <c r="F75" s="17">
        <v>2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>
        <v>0</v>
      </c>
      <c r="X75" s="20" t="e">
        <v>#DIV/0!</v>
      </c>
      <c r="Y75" s="20" t="e">
        <v>#DIV/0!</v>
      </c>
      <c r="Z75" s="20">
        <v>0</v>
      </c>
    </row>
    <row r="76" spans="1:26" ht="15.75" x14ac:dyDescent="0.25">
      <c r="A76" s="245">
        <v>3</v>
      </c>
      <c r="B76" s="246"/>
      <c r="C76" s="11" t="s">
        <v>63</v>
      </c>
      <c r="D76" s="11"/>
      <c r="E76" s="10">
        <v>31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x14ac:dyDescent="0.25">
      <c r="A77" s="247"/>
      <c r="B77" s="247"/>
      <c r="C77" s="17" t="s">
        <v>63</v>
      </c>
      <c r="D77" s="17"/>
      <c r="E77" s="10">
        <v>31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" customHeight="1" x14ac:dyDescent="0.25">
      <c r="A78" s="105" t="s">
        <v>71</v>
      </c>
      <c r="B78" s="105"/>
      <c r="C78" s="105"/>
      <c r="D78" s="105"/>
      <c r="E78" s="10">
        <v>31</v>
      </c>
      <c r="F78" s="29">
        <v>4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>
        <v>0</v>
      </c>
      <c r="X78" s="30" t="e">
        <v>#DIV/0!</v>
      </c>
      <c r="Y78" s="30" t="e">
        <v>#DIV/0!</v>
      </c>
      <c r="Z78" s="30">
        <v>0</v>
      </c>
    </row>
    <row r="79" spans="1:26" ht="15" customHeight="1" x14ac:dyDescent="0.25">
      <c r="A79" s="106"/>
      <c r="B79" s="106"/>
      <c r="C79" s="106"/>
      <c r="D79" s="106"/>
      <c r="E79" s="1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23</v>
      </c>
      <c r="X80" s="8" t="s">
        <v>24</v>
      </c>
      <c r="Y80" s="8" t="s">
        <v>25</v>
      </c>
      <c r="Z80" s="8" t="s">
        <v>26</v>
      </c>
    </row>
    <row r="81" spans="1:26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26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26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.75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31</v>
      </c>
      <c r="F84" s="10">
        <v>18</v>
      </c>
      <c r="G84" s="10">
        <v>22</v>
      </c>
      <c r="H84" s="10">
        <v>146</v>
      </c>
      <c r="I84" s="10">
        <v>16</v>
      </c>
      <c r="J84" s="11">
        <v>184</v>
      </c>
      <c r="K84" s="10">
        <v>64</v>
      </c>
      <c r="L84" s="10">
        <v>88</v>
      </c>
      <c r="M84" s="11">
        <v>9</v>
      </c>
      <c r="N84" s="10">
        <v>4</v>
      </c>
      <c r="O84" s="10">
        <v>5</v>
      </c>
      <c r="P84" s="11">
        <v>161</v>
      </c>
      <c r="Q84" s="10">
        <v>628</v>
      </c>
      <c r="R84" s="10">
        <v>1</v>
      </c>
      <c r="S84" s="10">
        <v>649</v>
      </c>
      <c r="T84" s="11">
        <v>23</v>
      </c>
      <c r="U84" s="11">
        <v>97</v>
      </c>
      <c r="V84" s="15">
        <v>20.93548387096774</v>
      </c>
      <c r="W84" s="15">
        <v>116.30824372759857</v>
      </c>
      <c r="X84" s="15">
        <v>6.6907216494845363</v>
      </c>
      <c r="Y84" s="14">
        <v>-0.93814432989690666</v>
      </c>
      <c r="Z84" s="15">
        <v>5.3888888888888893</v>
      </c>
    </row>
    <row r="85" spans="1:26" ht="15.75" x14ac:dyDescent="0.25">
      <c r="A85" s="247"/>
      <c r="B85" s="246"/>
      <c r="C85" s="17" t="s">
        <v>69</v>
      </c>
      <c r="D85" s="17"/>
      <c r="E85" s="10">
        <v>31</v>
      </c>
      <c r="F85" s="41">
        <v>18</v>
      </c>
      <c r="G85" s="17">
        <v>22</v>
      </c>
      <c r="H85" s="17">
        <v>146</v>
      </c>
      <c r="I85" s="17">
        <v>16</v>
      </c>
      <c r="J85" s="17">
        <v>184</v>
      </c>
      <c r="K85" s="17">
        <v>64</v>
      </c>
      <c r="L85" s="17">
        <v>88</v>
      </c>
      <c r="M85" s="17">
        <v>9</v>
      </c>
      <c r="N85" s="17">
        <v>4</v>
      </c>
      <c r="O85" s="17">
        <v>5</v>
      </c>
      <c r="P85" s="17">
        <v>161</v>
      </c>
      <c r="Q85" s="17">
        <v>628</v>
      </c>
      <c r="R85" s="17">
        <v>1</v>
      </c>
      <c r="S85" s="17">
        <v>649</v>
      </c>
      <c r="T85" s="17">
        <v>23</v>
      </c>
      <c r="U85" s="17">
        <v>97</v>
      </c>
      <c r="V85" s="20">
        <v>20.93548387096774</v>
      </c>
      <c r="W85" s="20">
        <v>116.30824372759857</v>
      </c>
      <c r="X85" s="20">
        <v>6.6907216494845363</v>
      </c>
      <c r="Y85" s="20">
        <v>-0.93814432989690666</v>
      </c>
      <c r="Z85" s="20">
        <v>5.3888888888888893</v>
      </c>
    </row>
    <row r="86" spans="1:26" ht="15.75" x14ac:dyDescent="0.25">
      <c r="A86" s="141"/>
      <c r="B86" s="246"/>
      <c r="C86" s="112"/>
      <c r="D86" s="17"/>
      <c r="E86" s="10"/>
      <c r="F86" s="4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20"/>
      <c r="W86" s="20"/>
      <c r="X86" s="20"/>
      <c r="Y86" s="20"/>
      <c r="Z86" s="20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31</v>
      </c>
      <c r="F87" s="10">
        <v>2</v>
      </c>
      <c r="G87" s="11">
        <v>0</v>
      </c>
      <c r="H87" s="11">
        <v>0</v>
      </c>
      <c r="I87" s="11">
        <v>2</v>
      </c>
      <c r="J87" s="11">
        <v>2</v>
      </c>
      <c r="K87" s="11">
        <v>0</v>
      </c>
      <c r="L87" s="11">
        <v>2</v>
      </c>
      <c r="M87" s="11">
        <v>0</v>
      </c>
      <c r="N87" s="11">
        <v>0</v>
      </c>
      <c r="O87" s="11">
        <v>0</v>
      </c>
      <c r="P87" s="11">
        <v>2</v>
      </c>
      <c r="Q87" s="11">
        <v>2</v>
      </c>
      <c r="R87" s="11">
        <v>0</v>
      </c>
      <c r="S87" s="11">
        <v>2</v>
      </c>
      <c r="T87" s="11">
        <v>0</v>
      </c>
      <c r="U87" s="11">
        <v>2</v>
      </c>
      <c r="V87" s="15">
        <v>6.4516129032258063E-2</v>
      </c>
      <c r="W87" s="15">
        <v>3.225806451612903</v>
      </c>
      <c r="X87" s="15">
        <v>1</v>
      </c>
      <c r="Y87" s="14">
        <v>30</v>
      </c>
      <c r="Z87" s="15">
        <v>1</v>
      </c>
    </row>
    <row r="88" spans="1:26" ht="15.75" x14ac:dyDescent="0.25">
      <c r="A88" s="246"/>
      <c r="B88" s="246"/>
      <c r="C88" s="249"/>
      <c r="D88" s="10" t="s">
        <v>38</v>
      </c>
      <c r="E88" s="10">
        <v>31</v>
      </c>
      <c r="F88" s="10">
        <v>4</v>
      </c>
      <c r="G88" s="11">
        <v>0</v>
      </c>
      <c r="H88" s="11">
        <v>0</v>
      </c>
      <c r="I88" s="11">
        <v>49</v>
      </c>
      <c r="J88" s="11">
        <v>49</v>
      </c>
      <c r="K88" s="11">
        <v>38</v>
      </c>
      <c r="L88" s="11">
        <v>7</v>
      </c>
      <c r="M88" s="11">
        <v>0</v>
      </c>
      <c r="N88" s="11">
        <v>0</v>
      </c>
      <c r="O88" s="11">
        <v>0</v>
      </c>
      <c r="P88" s="11">
        <v>45</v>
      </c>
      <c r="Q88" s="11">
        <v>10</v>
      </c>
      <c r="R88" s="11">
        <v>0</v>
      </c>
      <c r="S88" s="11">
        <v>51</v>
      </c>
      <c r="T88" s="11">
        <v>4</v>
      </c>
      <c r="U88" s="11">
        <v>7</v>
      </c>
      <c r="V88" s="15">
        <v>1.6451612903225807</v>
      </c>
      <c r="W88" s="15">
        <v>41.12903225806452</v>
      </c>
      <c r="X88" s="15">
        <v>7.2857142857142856</v>
      </c>
      <c r="Y88" s="14">
        <v>10.428571428571427</v>
      </c>
      <c r="Z88" s="15">
        <v>1.75</v>
      </c>
    </row>
    <row r="89" spans="1:26" ht="15.75" x14ac:dyDescent="0.25">
      <c r="A89" s="246"/>
      <c r="B89" s="246"/>
      <c r="C89" s="250"/>
      <c r="D89" s="10" t="s">
        <v>34</v>
      </c>
      <c r="E89" s="10">
        <v>31</v>
      </c>
      <c r="F89" s="10">
        <v>10</v>
      </c>
      <c r="G89" s="11">
        <v>4</v>
      </c>
      <c r="H89" s="11">
        <v>5</v>
      </c>
      <c r="I89" s="11">
        <v>92</v>
      </c>
      <c r="J89" s="11">
        <v>101</v>
      </c>
      <c r="K89" s="11">
        <v>2</v>
      </c>
      <c r="L89" s="11">
        <v>97</v>
      </c>
      <c r="M89" s="11">
        <v>0</v>
      </c>
      <c r="N89" s="11">
        <v>0</v>
      </c>
      <c r="O89" s="11">
        <v>0</v>
      </c>
      <c r="P89" s="11">
        <v>99</v>
      </c>
      <c r="Q89" s="11">
        <v>147</v>
      </c>
      <c r="R89" s="11">
        <v>0</v>
      </c>
      <c r="S89" s="11">
        <v>103</v>
      </c>
      <c r="T89" s="11">
        <v>2</v>
      </c>
      <c r="U89" s="11">
        <v>97</v>
      </c>
      <c r="V89" s="15">
        <v>3.3225806451612905</v>
      </c>
      <c r="W89" s="15">
        <v>33.225806451612904</v>
      </c>
      <c r="X89" s="15">
        <v>1.0618556701030928</v>
      </c>
      <c r="Y89" s="14">
        <v>2.134020618556701</v>
      </c>
      <c r="Z89" s="15">
        <v>9.6999999999999993</v>
      </c>
    </row>
    <row r="90" spans="1:26" ht="15.75" x14ac:dyDescent="0.25">
      <c r="A90" s="247"/>
      <c r="B90" s="247"/>
      <c r="C90" s="17" t="s">
        <v>73</v>
      </c>
      <c r="D90" s="17"/>
      <c r="E90" s="10">
        <v>31</v>
      </c>
      <c r="F90" s="17">
        <v>16</v>
      </c>
      <c r="G90" s="17">
        <v>4</v>
      </c>
      <c r="H90" s="17">
        <v>5</v>
      </c>
      <c r="I90" s="17">
        <v>143</v>
      </c>
      <c r="J90" s="17">
        <v>152</v>
      </c>
      <c r="K90" s="17">
        <v>40</v>
      </c>
      <c r="L90" s="17">
        <v>106</v>
      </c>
      <c r="M90" s="17">
        <v>0</v>
      </c>
      <c r="N90" s="17">
        <v>0</v>
      </c>
      <c r="O90" s="17">
        <v>0</v>
      </c>
      <c r="P90" s="17">
        <v>146</v>
      </c>
      <c r="Q90" s="17">
        <v>159</v>
      </c>
      <c r="R90" s="17">
        <v>0</v>
      </c>
      <c r="S90" s="17">
        <v>156</v>
      </c>
      <c r="T90" s="17">
        <v>6</v>
      </c>
      <c r="U90" s="17">
        <v>106</v>
      </c>
      <c r="V90" s="20">
        <v>5.032258064516129</v>
      </c>
      <c r="W90" s="20">
        <v>31.451612903225808</v>
      </c>
      <c r="X90" s="20">
        <v>1.4716981132075471</v>
      </c>
      <c r="Y90" s="20">
        <v>3.2075471698113209</v>
      </c>
      <c r="Z90" s="20">
        <v>6.625</v>
      </c>
    </row>
    <row r="91" spans="1:26" ht="15" customHeight="1" x14ac:dyDescent="0.25">
      <c r="A91" s="105" t="s">
        <v>74</v>
      </c>
      <c r="B91" s="105"/>
      <c r="C91" s="105"/>
      <c r="D91" s="105"/>
      <c r="E91" s="10">
        <v>31</v>
      </c>
      <c r="F91" s="29">
        <v>34</v>
      </c>
      <c r="G91" s="29">
        <v>26</v>
      </c>
      <c r="H91" s="29">
        <v>151</v>
      </c>
      <c r="I91" s="29">
        <v>159</v>
      </c>
      <c r="J91" s="28">
        <v>336</v>
      </c>
      <c r="K91" s="29">
        <v>104</v>
      </c>
      <c r="L91" s="29">
        <v>194</v>
      </c>
      <c r="M91" s="28">
        <v>9</v>
      </c>
      <c r="N91" s="29">
        <v>4</v>
      </c>
      <c r="O91" s="29">
        <v>5</v>
      </c>
      <c r="P91" s="28">
        <v>307</v>
      </c>
      <c r="Q91" s="29">
        <v>787</v>
      </c>
      <c r="R91" s="29">
        <v>1</v>
      </c>
      <c r="S91" s="29">
        <v>805</v>
      </c>
      <c r="T91" s="28">
        <v>29</v>
      </c>
      <c r="U91" s="28">
        <v>203</v>
      </c>
      <c r="V91" s="29">
        <v>25.967741935483872</v>
      </c>
      <c r="W91" s="30">
        <v>76.375711574952561</v>
      </c>
      <c r="X91" s="30">
        <v>3.9655172413793105</v>
      </c>
      <c r="Y91" s="30">
        <v>1.2266009852216748</v>
      </c>
      <c r="Z91" s="30">
        <v>5.9705882352941178</v>
      </c>
    </row>
    <row r="92" spans="1:26" ht="15" customHeight="1" x14ac:dyDescent="0.25">
      <c r="A92" s="31"/>
      <c r="D92" s="32"/>
      <c r="E92" s="10"/>
      <c r="G92">
        <v>46</v>
      </c>
    </row>
    <row r="93" spans="1:26" ht="15" customHeight="1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23</v>
      </c>
      <c r="X93" s="8" t="s">
        <v>24</v>
      </c>
      <c r="Y93" s="8" t="s">
        <v>25</v>
      </c>
      <c r="Z93" s="8" t="s">
        <v>26</v>
      </c>
    </row>
    <row r="94" spans="1:26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26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26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6" ht="15.75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31</v>
      </c>
      <c r="F97" s="10">
        <v>14</v>
      </c>
      <c r="G97" s="11">
        <v>9</v>
      </c>
      <c r="H97" s="11">
        <v>25</v>
      </c>
      <c r="I97" s="11">
        <v>93</v>
      </c>
      <c r="J97" s="11">
        <v>127</v>
      </c>
      <c r="K97" s="11">
        <v>106</v>
      </c>
      <c r="L97" s="11">
        <v>0</v>
      </c>
      <c r="M97" s="11">
        <v>16</v>
      </c>
      <c r="N97" s="11">
        <v>3</v>
      </c>
      <c r="O97" s="11">
        <v>13</v>
      </c>
      <c r="P97" s="11">
        <v>122</v>
      </c>
      <c r="Q97" s="11">
        <v>141</v>
      </c>
      <c r="R97" s="11">
        <v>0</v>
      </c>
      <c r="S97" s="11">
        <v>291</v>
      </c>
      <c r="T97" s="11">
        <v>5</v>
      </c>
      <c r="U97" s="11">
        <v>16</v>
      </c>
      <c r="V97" s="15">
        <v>9.387096774193548</v>
      </c>
      <c r="W97" s="15">
        <v>67.05069124423963</v>
      </c>
      <c r="X97" s="15">
        <v>18.1875</v>
      </c>
      <c r="Y97" s="14">
        <v>8.9375</v>
      </c>
      <c r="Z97" s="15">
        <v>1.1428571428571428</v>
      </c>
    </row>
    <row r="98" spans="1:26" ht="15.75" x14ac:dyDescent="0.25">
      <c r="A98" s="247"/>
      <c r="B98" s="260"/>
      <c r="C98" s="17" t="s">
        <v>76</v>
      </c>
      <c r="D98" s="17" t="s">
        <v>48</v>
      </c>
      <c r="E98" s="10">
        <v>31</v>
      </c>
      <c r="F98" s="17">
        <v>14</v>
      </c>
      <c r="G98" s="17">
        <v>9</v>
      </c>
      <c r="H98" s="17">
        <v>25</v>
      </c>
      <c r="I98" s="17">
        <v>93</v>
      </c>
      <c r="J98" s="17">
        <v>127</v>
      </c>
      <c r="K98" s="17">
        <v>106</v>
      </c>
      <c r="L98" s="17">
        <v>0</v>
      </c>
      <c r="M98" s="17">
        <v>16</v>
      </c>
      <c r="N98" s="17">
        <v>3</v>
      </c>
      <c r="O98" s="17">
        <v>13</v>
      </c>
      <c r="P98" s="17">
        <v>122</v>
      </c>
      <c r="Q98" s="17">
        <v>141</v>
      </c>
      <c r="R98" s="17">
        <v>0</v>
      </c>
      <c r="S98" s="17">
        <v>291</v>
      </c>
      <c r="T98" s="17">
        <v>5</v>
      </c>
      <c r="U98" s="17">
        <v>16</v>
      </c>
      <c r="V98" s="20">
        <v>9.387096774193548</v>
      </c>
      <c r="W98" s="20">
        <v>67.05069124423963</v>
      </c>
      <c r="X98" s="20">
        <v>18.1875</v>
      </c>
      <c r="Y98" s="20">
        <v>8.9375</v>
      </c>
      <c r="Z98" s="20">
        <v>1.1428571428571428</v>
      </c>
    </row>
    <row r="99" spans="1:26" ht="15.75" x14ac:dyDescent="0.25">
      <c r="A99" s="245">
        <v>2</v>
      </c>
      <c r="B99" s="260"/>
      <c r="C99" s="10" t="s">
        <v>77</v>
      </c>
      <c r="D99" s="10" t="s">
        <v>48</v>
      </c>
      <c r="E99" s="10">
        <v>31</v>
      </c>
      <c r="F99" s="10">
        <v>5</v>
      </c>
      <c r="G99" s="11">
        <v>3</v>
      </c>
      <c r="H99" s="11">
        <v>76</v>
      </c>
      <c r="I99" s="11">
        <v>14</v>
      </c>
      <c r="J99" s="11">
        <v>93</v>
      </c>
      <c r="K99" s="11">
        <v>79</v>
      </c>
      <c r="L99" s="11">
        <v>3</v>
      </c>
      <c r="M99" s="11">
        <v>9</v>
      </c>
      <c r="N99" s="11">
        <v>8</v>
      </c>
      <c r="O99" s="11">
        <v>1</v>
      </c>
      <c r="P99" s="11">
        <v>91</v>
      </c>
      <c r="Q99" s="11">
        <v>18</v>
      </c>
      <c r="R99" s="11">
        <v>4</v>
      </c>
      <c r="S99" s="11">
        <v>114</v>
      </c>
      <c r="T99" s="11">
        <v>2</v>
      </c>
      <c r="U99" s="11">
        <v>12</v>
      </c>
      <c r="V99" s="15">
        <v>3.6774193548387095</v>
      </c>
      <c r="W99" s="15">
        <v>73.548387096774192</v>
      </c>
      <c r="X99" s="15">
        <v>9.5</v>
      </c>
      <c r="Y99" s="14">
        <v>3.4166666666666674</v>
      </c>
      <c r="Z99" s="15">
        <v>2.4</v>
      </c>
    </row>
    <row r="100" spans="1:26" ht="15.75" x14ac:dyDescent="0.25">
      <c r="A100" s="247"/>
      <c r="B100" s="260"/>
      <c r="C100" s="17" t="s">
        <v>77</v>
      </c>
      <c r="D100" s="17" t="s">
        <v>48</v>
      </c>
      <c r="E100" s="10">
        <v>31</v>
      </c>
      <c r="F100" s="17">
        <v>5</v>
      </c>
      <c r="G100" s="17">
        <v>3</v>
      </c>
      <c r="H100" s="17">
        <v>76</v>
      </c>
      <c r="I100" s="17">
        <v>14</v>
      </c>
      <c r="J100" s="17">
        <v>93</v>
      </c>
      <c r="K100" s="17">
        <v>79</v>
      </c>
      <c r="L100" s="17">
        <v>3</v>
      </c>
      <c r="M100" s="17">
        <v>9</v>
      </c>
      <c r="N100" s="17">
        <v>8</v>
      </c>
      <c r="O100" s="17">
        <v>1</v>
      </c>
      <c r="P100" s="17">
        <v>91</v>
      </c>
      <c r="Q100" s="17">
        <v>18</v>
      </c>
      <c r="R100" s="17">
        <v>4</v>
      </c>
      <c r="S100" s="17">
        <v>114</v>
      </c>
      <c r="T100" s="17">
        <v>2</v>
      </c>
      <c r="U100" s="17">
        <v>12</v>
      </c>
      <c r="V100" s="20">
        <v>3.6774193548387095</v>
      </c>
      <c r="W100" s="20">
        <v>73.548387096774192</v>
      </c>
      <c r="X100" s="20">
        <v>9.5</v>
      </c>
      <c r="Y100" s="20">
        <v>3.4166666666666674</v>
      </c>
      <c r="Z100" s="20">
        <v>2.4</v>
      </c>
    </row>
    <row r="101" spans="1:26" ht="15.75" x14ac:dyDescent="0.25">
      <c r="A101" s="245">
        <v>3</v>
      </c>
      <c r="B101" s="260"/>
      <c r="C101" s="10" t="s">
        <v>78</v>
      </c>
      <c r="D101" s="10" t="s">
        <v>48</v>
      </c>
      <c r="E101" s="10">
        <v>31</v>
      </c>
      <c r="F101" s="10">
        <v>3</v>
      </c>
      <c r="G101" s="43">
        <v>2</v>
      </c>
      <c r="H101" s="43">
        <v>11</v>
      </c>
      <c r="I101" s="43">
        <v>13</v>
      </c>
      <c r="J101" s="11">
        <v>26</v>
      </c>
      <c r="K101" s="43">
        <v>18</v>
      </c>
      <c r="L101" s="43">
        <v>0</v>
      </c>
      <c r="M101" s="11">
        <v>5</v>
      </c>
      <c r="N101" s="43">
        <v>2</v>
      </c>
      <c r="O101" s="43">
        <v>3</v>
      </c>
      <c r="P101" s="11">
        <v>23</v>
      </c>
      <c r="Q101" s="43">
        <v>35</v>
      </c>
      <c r="R101" s="43">
        <v>0</v>
      </c>
      <c r="S101" s="43">
        <v>69</v>
      </c>
      <c r="T101" s="11">
        <v>3</v>
      </c>
      <c r="U101" s="11">
        <v>5</v>
      </c>
      <c r="V101" s="15">
        <v>2.225806451612903</v>
      </c>
      <c r="W101" s="15">
        <v>74.193548387096769</v>
      </c>
      <c r="X101" s="15">
        <v>13.8</v>
      </c>
      <c r="Y101" s="14">
        <v>4.8000000000000016</v>
      </c>
      <c r="Z101" s="15">
        <v>1.6666666666666667</v>
      </c>
    </row>
    <row r="102" spans="1:26" ht="15.75" x14ac:dyDescent="0.25">
      <c r="A102" s="247"/>
      <c r="B102" s="260"/>
      <c r="C102" s="17" t="s">
        <v>78</v>
      </c>
      <c r="D102" s="17" t="s">
        <v>48</v>
      </c>
      <c r="E102" s="10">
        <v>31</v>
      </c>
      <c r="F102" s="17">
        <v>3</v>
      </c>
      <c r="G102" s="17">
        <v>2</v>
      </c>
      <c r="H102" s="17">
        <v>11</v>
      </c>
      <c r="I102" s="17">
        <v>13</v>
      </c>
      <c r="J102" s="17">
        <v>26</v>
      </c>
      <c r="K102" s="17">
        <v>18</v>
      </c>
      <c r="L102" s="17">
        <v>0</v>
      </c>
      <c r="M102" s="17">
        <v>5</v>
      </c>
      <c r="N102" s="17">
        <v>2</v>
      </c>
      <c r="O102" s="17">
        <v>3</v>
      </c>
      <c r="P102" s="17">
        <v>23</v>
      </c>
      <c r="Q102" s="17">
        <v>35</v>
      </c>
      <c r="R102" s="17">
        <v>0</v>
      </c>
      <c r="S102" s="17">
        <v>69</v>
      </c>
      <c r="T102" s="17">
        <v>3</v>
      </c>
      <c r="U102" s="17">
        <v>5</v>
      </c>
      <c r="V102" s="20">
        <v>2.225806451612903</v>
      </c>
      <c r="W102" s="20">
        <v>74.193548387096769</v>
      </c>
      <c r="X102" s="20">
        <v>13.8</v>
      </c>
      <c r="Y102" s="20">
        <v>4.8000000000000016</v>
      </c>
      <c r="Z102" s="20">
        <v>1.6666666666666667</v>
      </c>
    </row>
    <row r="103" spans="1:26" ht="15.75" x14ac:dyDescent="0.25">
      <c r="A103" s="245">
        <v>4</v>
      </c>
      <c r="B103" s="260"/>
      <c r="C103" s="11" t="s">
        <v>79</v>
      </c>
      <c r="D103" s="11" t="s">
        <v>48</v>
      </c>
      <c r="E103" s="10">
        <v>31</v>
      </c>
      <c r="F103" s="11">
        <v>5</v>
      </c>
      <c r="G103" s="11">
        <v>5</v>
      </c>
      <c r="H103" s="11">
        <v>10</v>
      </c>
      <c r="I103" s="11">
        <v>17</v>
      </c>
      <c r="J103" s="11">
        <v>32</v>
      </c>
      <c r="K103" s="11">
        <v>17</v>
      </c>
      <c r="L103" s="11">
        <v>0</v>
      </c>
      <c r="M103" s="11">
        <v>10</v>
      </c>
      <c r="N103" s="11">
        <v>4</v>
      </c>
      <c r="O103" s="11">
        <v>6</v>
      </c>
      <c r="P103" s="11">
        <v>27</v>
      </c>
      <c r="Q103" s="11">
        <v>79</v>
      </c>
      <c r="R103" s="11">
        <v>1</v>
      </c>
      <c r="S103" s="11">
        <v>140</v>
      </c>
      <c r="T103" s="11">
        <v>5</v>
      </c>
      <c r="U103" s="11">
        <v>10</v>
      </c>
      <c r="V103" s="15">
        <v>4.5161290322580649</v>
      </c>
      <c r="W103" s="15">
        <v>90.322580645161295</v>
      </c>
      <c r="X103" s="15">
        <v>14</v>
      </c>
      <c r="Y103" s="14">
        <v>1.4999999999999987</v>
      </c>
      <c r="Z103" s="15">
        <v>2</v>
      </c>
    </row>
    <row r="104" spans="1:26" ht="15.75" x14ac:dyDescent="0.25">
      <c r="A104" s="247"/>
      <c r="B104" s="260"/>
      <c r="C104" s="17" t="s">
        <v>79</v>
      </c>
      <c r="D104" s="17" t="s">
        <v>48</v>
      </c>
      <c r="E104" s="10">
        <v>31</v>
      </c>
      <c r="F104" s="17">
        <v>5</v>
      </c>
      <c r="G104" s="17">
        <v>5</v>
      </c>
      <c r="H104" s="17">
        <v>10</v>
      </c>
      <c r="I104" s="17">
        <v>17</v>
      </c>
      <c r="J104" s="17">
        <v>32</v>
      </c>
      <c r="K104" s="17">
        <v>17</v>
      </c>
      <c r="L104" s="17">
        <v>0</v>
      </c>
      <c r="M104" s="17">
        <v>10</v>
      </c>
      <c r="N104" s="17">
        <v>4</v>
      </c>
      <c r="O104" s="17">
        <v>6</v>
      </c>
      <c r="P104" s="17">
        <v>27</v>
      </c>
      <c r="Q104" s="17">
        <v>79</v>
      </c>
      <c r="R104" s="17">
        <v>1</v>
      </c>
      <c r="S104" s="17">
        <v>140</v>
      </c>
      <c r="T104" s="17">
        <v>5</v>
      </c>
      <c r="U104" s="17">
        <v>10</v>
      </c>
      <c r="V104" s="20">
        <v>4.5161290322580649</v>
      </c>
      <c r="W104" s="20">
        <v>90.322580645161295</v>
      </c>
      <c r="X104" s="20">
        <v>14</v>
      </c>
      <c r="Y104" s="20">
        <v>1.4999999999999987</v>
      </c>
      <c r="Z104" s="20">
        <v>2</v>
      </c>
    </row>
    <row r="105" spans="1:26" ht="15.75" x14ac:dyDescent="0.25">
      <c r="A105" s="245">
        <v>5</v>
      </c>
      <c r="B105" s="260"/>
      <c r="C105" s="11" t="s">
        <v>80</v>
      </c>
      <c r="D105" s="11" t="s">
        <v>48</v>
      </c>
      <c r="E105" s="10">
        <v>31</v>
      </c>
      <c r="F105" s="11">
        <v>4</v>
      </c>
      <c r="G105" s="11">
        <v>2</v>
      </c>
      <c r="H105" s="11">
        <v>23</v>
      </c>
      <c r="I105" s="11">
        <v>7</v>
      </c>
      <c r="J105" s="11">
        <v>32</v>
      </c>
      <c r="K105" s="11">
        <v>20</v>
      </c>
      <c r="L105" s="11">
        <v>0</v>
      </c>
      <c r="M105" s="11">
        <v>8</v>
      </c>
      <c r="N105" s="11">
        <v>4</v>
      </c>
      <c r="O105" s="11">
        <v>4</v>
      </c>
      <c r="P105" s="11">
        <v>28</v>
      </c>
      <c r="Q105" s="11">
        <v>57</v>
      </c>
      <c r="R105" s="11">
        <v>0</v>
      </c>
      <c r="S105" s="11">
        <v>97</v>
      </c>
      <c r="T105" s="11">
        <v>4</v>
      </c>
      <c r="U105" s="11">
        <v>8</v>
      </c>
      <c r="V105" s="15">
        <v>3.129032258064516</v>
      </c>
      <c r="W105" s="15">
        <v>78.225806451612897</v>
      </c>
      <c r="X105" s="15">
        <v>12.125</v>
      </c>
      <c r="Y105" s="14">
        <v>3.3750000000000004</v>
      </c>
      <c r="Z105" s="15">
        <v>2</v>
      </c>
    </row>
    <row r="106" spans="1:26" ht="15.75" x14ac:dyDescent="0.25">
      <c r="A106" s="247"/>
      <c r="B106" s="260"/>
      <c r="C106" s="17" t="s">
        <v>80</v>
      </c>
      <c r="D106" s="17" t="s">
        <v>48</v>
      </c>
      <c r="E106" s="10">
        <v>31</v>
      </c>
      <c r="F106" s="17">
        <v>4</v>
      </c>
      <c r="G106" s="17">
        <v>2</v>
      </c>
      <c r="H106" s="17">
        <v>23</v>
      </c>
      <c r="I106" s="17">
        <v>7</v>
      </c>
      <c r="J106" s="17">
        <v>32</v>
      </c>
      <c r="K106" s="17">
        <v>20</v>
      </c>
      <c r="L106" s="17">
        <v>0</v>
      </c>
      <c r="M106" s="17">
        <v>8</v>
      </c>
      <c r="N106" s="17">
        <v>4</v>
      </c>
      <c r="O106" s="17">
        <v>4</v>
      </c>
      <c r="P106" s="17">
        <v>28</v>
      </c>
      <c r="Q106" s="17">
        <v>57</v>
      </c>
      <c r="R106" s="17">
        <v>0</v>
      </c>
      <c r="S106" s="17">
        <v>97</v>
      </c>
      <c r="T106" s="17">
        <v>4</v>
      </c>
      <c r="U106" s="17">
        <v>8</v>
      </c>
      <c r="V106" s="20">
        <v>3.129032258064516</v>
      </c>
      <c r="W106" s="20">
        <v>78.225806451612897</v>
      </c>
      <c r="X106" s="20">
        <v>12.125</v>
      </c>
      <c r="Y106" s="20">
        <v>3.3750000000000004</v>
      </c>
      <c r="Z106" s="20">
        <v>2</v>
      </c>
    </row>
    <row r="107" spans="1:26" ht="15.75" x14ac:dyDescent="0.25">
      <c r="A107" s="245">
        <v>6</v>
      </c>
      <c r="B107" s="260"/>
      <c r="C107" s="11" t="s">
        <v>70</v>
      </c>
      <c r="D107" s="11" t="s">
        <v>48</v>
      </c>
      <c r="E107" s="10">
        <v>31</v>
      </c>
      <c r="F107" s="11">
        <v>2</v>
      </c>
      <c r="G107" s="11">
        <v>0</v>
      </c>
      <c r="H107" s="11">
        <v>13</v>
      </c>
      <c r="I107" s="11">
        <v>3</v>
      </c>
      <c r="J107" s="11">
        <v>16</v>
      </c>
      <c r="K107" s="11">
        <v>10</v>
      </c>
      <c r="L107" s="11">
        <v>0</v>
      </c>
      <c r="M107" s="11">
        <v>5</v>
      </c>
      <c r="N107" s="11">
        <v>5</v>
      </c>
      <c r="O107" s="11">
        <v>0</v>
      </c>
      <c r="P107" s="11">
        <v>15</v>
      </c>
      <c r="Q107" s="11">
        <v>6</v>
      </c>
      <c r="R107" s="11">
        <v>1</v>
      </c>
      <c r="S107" s="11">
        <v>36</v>
      </c>
      <c r="T107" s="11">
        <v>1</v>
      </c>
      <c r="U107" s="11">
        <v>5</v>
      </c>
      <c r="V107" s="44">
        <v>1.1612903225806452</v>
      </c>
      <c r="W107" s="44">
        <v>58.064516129032263</v>
      </c>
      <c r="X107" s="44">
        <v>7.2</v>
      </c>
      <c r="Y107" s="45">
        <v>5.1999999999999993</v>
      </c>
      <c r="Z107" s="44">
        <v>2.5</v>
      </c>
    </row>
    <row r="108" spans="1:26" ht="15.75" x14ac:dyDescent="0.25">
      <c r="A108" s="247"/>
      <c r="B108" s="260"/>
      <c r="C108" s="17" t="s">
        <v>70</v>
      </c>
      <c r="D108" s="17"/>
      <c r="E108" s="10">
        <v>31</v>
      </c>
      <c r="F108" s="17">
        <v>2</v>
      </c>
      <c r="G108" s="17">
        <v>0</v>
      </c>
      <c r="H108" s="17">
        <v>13</v>
      </c>
      <c r="I108" s="17">
        <v>3</v>
      </c>
      <c r="J108" s="17">
        <v>16</v>
      </c>
      <c r="K108" s="17">
        <v>10</v>
      </c>
      <c r="L108" s="17">
        <v>0</v>
      </c>
      <c r="M108" s="17">
        <v>5</v>
      </c>
      <c r="N108" s="17">
        <v>5</v>
      </c>
      <c r="O108" s="17">
        <v>0</v>
      </c>
      <c r="P108" s="17">
        <v>15</v>
      </c>
      <c r="Q108" s="17">
        <v>6</v>
      </c>
      <c r="R108" s="17">
        <v>1</v>
      </c>
      <c r="S108" s="17">
        <v>36</v>
      </c>
      <c r="T108" s="17">
        <v>1</v>
      </c>
      <c r="U108" s="17">
        <v>5</v>
      </c>
      <c r="V108" s="46">
        <v>1.1612903225806452</v>
      </c>
      <c r="W108" s="46">
        <v>58.064516129032263</v>
      </c>
      <c r="X108" s="46">
        <v>7.2</v>
      </c>
      <c r="Y108" s="46">
        <v>5.1999999999999993</v>
      </c>
      <c r="Z108" s="46">
        <v>2.5</v>
      </c>
    </row>
    <row r="109" spans="1:26" ht="15.75" x14ac:dyDescent="0.25">
      <c r="A109" s="245">
        <v>7</v>
      </c>
      <c r="B109" s="260"/>
      <c r="C109" s="11" t="s">
        <v>81</v>
      </c>
      <c r="D109" s="11" t="s">
        <v>48</v>
      </c>
      <c r="E109" s="10">
        <v>31</v>
      </c>
      <c r="F109" s="11">
        <v>10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>
        <v>0</v>
      </c>
      <c r="X109" s="15" t="e">
        <v>#DIV/0!</v>
      </c>
      <c r="Y109" s="14" t="e">
        <v>#DIV/0!</v>
      </c>
      <c r="Z109" s="15">
        <v>0</v>
      </c>
    </row>
    <row r="110" spans="1:26" ht="15.75" x14ac:dyDescent="0.25">
      <c r="A110" s="247"/>
      <c r="B110" s="260"/>
      <c r="C110" s="17" t="s">
        <v>81</v>
      </c>
      <c r="D110" s="17" t="s">
        <v>48</v>
      </c>
      <c r="E110" s="10">
        <v>31</v>
      </c>
      <c r="F110" s="17">
        <v>10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>
        <v>0</v>
      </c>
      <c r="X110" s="20" t="e">
        <v>#DIV/0!</v>
      </c>
      <c r="Y110" s="20" t="e">
        <v>#DIV/0!</v>
      </c>
      <c r="Z110" s="20">
        <v>0</v>
      </c>
    </row>
    <row r="111" spans="1:26" ht="15.75" x14ac:dyDescent="0.25">
      <c r="A111" s="245">
        <v>8</v>
      </c>
      <c r="B111" s="260"/>
      <c r="C111" s="11" t="s">
        <v>82</v>
      </c>
      <c r="D111" s="11" t="s">
        <v>38</v>
      </c>
      <c r="E111" s="10">
        <v>31</v>
      </c>
      <c r="F111" s="11"/>
      <c r="G111" s="11">
        <v>4</v>
      </c>
      <c r="H111" s="11">
        <v>220</v>
      </c>
      <c r="I111" s="11">
        <v>2</v>
      </c>
      <c r="J111" s="11">
        <v>226</v>
      </c>
      <c r="K111" s="11">
        <v>219</v>
      </c>
      <c r="L111" s="11">
        <v>1</v>
      </c>
      <c r="M111" s="11">
        <v>3</v>
      </c>
      <c r="N111" s="11">
        <v>3</v>
      </c>
      <c r="O111" s="11">
        <v>0</v>
      </c>
      <c r="P111" s="11">
        <v>223</v>
      </c>
      <c r="Q111" s="11">
        <v>4</v>
      </c>
      <c r="R111" s="11">
        <v>4</v>
      </c>
      <c r="S111" s="11">
        <v>83</v>
      </c>
      <c r="T111" s="11">
        <v>3</v>
      </c>
      <c r="U111" s="11">
        <v>4</v>
      </c>
      <c r="V111" s="15">
        <v>2.6774193548387095</v>
      </c>
      <c r="W111" s="15" t="e">
        <v>#DIV/0!</v>
      </c>
      <c r="X111" s="15">
        <v>20.75</v>
      </c>
      <c r="Y111" s="14">
        <v>-20.75</v>
      </c>
      <c r="Z111" s="15" t="e">
        <v>#DIV/0!</v>
      </c>
    </row>
    <row r="112" spans="1:26" ht="15.75" x14ac:dyDescent="0.25">
      <c r="A112" s="247"/>
      <c r="B112" s="260"/>
      <c r="C112" s="17" t="s">
        <v>82</v>
      </c>
      <c r="D112" s="17" t="s">
        <v>38</v>
      </c>
      <c r="E112" s="10">
        <v>31</v>
      </c>
      <c r="F112" s="17">
        <v>0</v>
      </c>
      <c r="G112" s="17">
        <v>4</v>
      </c>
      <c r="H112" s="17">
        <v>220</v>
      </c>
      <c r="I112" s="17">
        <v>2</v>
      </c>
      <c r="J112" s="17">
        <v>226</v>
      </c>
      <c r="K112" s="17">
        <v>219</v>
      </c>
      <c r="L112" s="17">
        <v>1</v>
      </c>
      <c r="M112" s="17">
        <v>3</v>
      </c>
      <c r="N112" s="17">
        <v>3</v>
      </c>
      <c r="O112" s="17">
        <v>0</v>
      </c>
      <c r="P112" s="17">
        <v>223</v>
      </c>
      <c r="Q112" s="17">
        <v>4</v>
      </c>
      <c r="R112" s="17">
        <v>4</v>
      </c>
      <c r="S112" s="17">
        <v>83</v>
      </c>
      <c r="T112" s="17">
        <v>3</v>
      </c>
      <c r="U112" s="17">
        <v>4</v>
      </c>
      <c r="V112" s="20">
        <v>2.6774193548387095</v>
      </c>
      <c r="W112" s="20" t="e">
        <v>#DIV/0!</v>
      </c>
      <c r="X112" s="20">
        <v>20.75</v>
      </c>
      <c r="Y112" s="20">
        <v>-20.75</v>
      </c>
      <c r="Z112" s="20" t="e">
        <v>#DIV/0!</v>
      </c>
    </row>
    <row r="113" spans="1:26" ht="15.75" hidden="1" x14ac:dyDescent="0.25">
      <c r="A113" s="245">
        <v>9</v>
      </c>
      <c r="B113" s="260"/>
      <c r="C113" s="11" t="s">
        <v>64</v>
      </c>
      <c r="D113" s="11" t="s">
        <v>83</v>
      </c>
      <c r="E113" s="10">
        <v>31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26" ht="15.75" hidden="1" x14ac:dyDescent="0.25">
      <c r="A114" s="247"/>
      <c r="B114" s="260"/>
      <c r="C114" s="17" t="s">
        <v>64</v>
      </c>
      <c r="D114" s="17" t="s">
        <v>83</v>
      </c>
      <c r="E114" s="10">
        <v>31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26" ht="15.75" hidden="1" x14ac:dyDescent="0.25">
      <c r="A115" s="245">
        <v>10</v>
      </c>
      <c r="B115" s="260"/>
      <c r="C115" s="10" t="s">
        <v>73</v>
      </c>
      <c r="D115" s="10" t="s">
        <v>83</v>
      </c>
      <c r="E115" s="10">
        <v>31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26" ht="15.75" hidden="1" x14ac:dyDescent="0.25">
      <c r="A116" s="247"/>
      <c r="B116" s="261"/>
      <c r="C116" s="17" t="s">
        <v>73</v>
      </c>
      <c r="D116" s="17" t="s">
        <v>83</v>
      </c>
      <c r="E116" s="10">
        <v>31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x14ac:dyDescent="0.25">
      <c r="A117" s="232" t="s">
        <v>84</v>
      </c>
      <c r="B117" s="233"/>
      <c r="C117" s="233"/>
      <c r="D117" s="234"/>
      <c r="E117" s="10">
        <v>31</v>
      </c>
      <c r="F117" s="29">
        <v>41</v>
      </c>
      <c r="G117" s="29">
        <v>25</v>
      </c>
      <c r="H117" s="29">
        <v>378</v>
      </c>
      <c r="I117" s="29">
        <v>149</v>
      </c>
      <c r="J117" s="28">
        <v>552</v>
      </c>
      <c r="K117" s="29">
        <v>469</v>
      </c>
      <c r="L117" s="29">
        <v>4</v>
      </c>
      <c r="M117" s="28">
        <v>56</v>
      </c>
      <c r="N117" s="29">
        <v>29</v>
      </c>
      <c r="O117" s="29">
        <v>27</v>
      </c>
      <c r="P117" s="28">
        <v>529</v>
      </c>
      <c r="Q117" s="29">
        <v>340</v>
      </c>
      <c r="R117" s="29">
        <v>10</v>
      </c>
      <c r="S117" s="29">
        <v>830</v>
      </c>
      <c r="T117" s="28">
        <v>23</v>
      </c>
      <c r="U117" s="28">
        <v>60</v>
      </c>
      <c r="V117" s="47">
        <v>26.774193548387096</v>
      </c>
      <c r="W117" s="30">
        <v>65.30291109362706</v>
      </c>
      <c r="X117" s="30">
        <v>13.833333333333334</v>
      </c>
      <c r="Y117" s="30">
        <v>7.35</v>
      </c>
      <c r="Z117" s="30">
        <v>1.4634146341463414</v>
      </c>
    </row>
    <row r="118" spans="1:26" ht="15.75" x14ac:dyDescent="0.25">
      <c r="A118" s="235" t="s">
        <v>85</v>
      </c>
      <c r="B118" s="236"/>
      <c r="C118" s="236"/>
      <c r="D118" s="237"/>
      <c r="E118" s="48">
        <v>31</v>
      </c>
      <c r="F118" s="49">
        <v>388</v>
      </c>
      <c r="G118" s="49">
        <v>278</v>
      </c>
      <c r="H118" s="49">
        <v>2404</v>
      </c>
      <c r="I118" s="49">
        <v>979</v>
      </c>
      <c r="J118" s="48">
        <v>3661</v>
      </c>
      <c r="K118" s="49">
        <v>991</v>
      </c>
      <c r="L118" s="49">
        <v>2100</v>
      </c>
      <c r="M118" s="48">
        <v>262</v>
      </c>
      <c r="N118" s="49">
        <v>146</v>
      </c>
      <c r="O118" s="49">
        <v>116</v>
      </c>
      <c r="P118" s="48">
        <v>3353</v>
      </c>
      <c r="Q118" s="49">
        <v>8419</v>
      </c>
      <c r="R118" s="49">
        <v>50</v>
      </c>
      <c r="S118" s="49">
        <v>9059</v>
      </c>
      <c r="T118" s="49">
        <v>308</v>
      </c>
      <c r="U118" s="48">
        <v>2362</v>
      </c>
      <c r="V118" s="50">
        <v>292.22580645161293</v>
      </c>
      <c r="W118" s="51">
        <v>75.315929497838383</v>
      </c>
      <c r="X118" s="51">
        <v>3.8353090601185436</v>
      </c>
      <c r="Y118" s="51">
        <v>1.256985605419136</v>
      </c>
      <c r="Z118" s="51">
        <v>6.0876288659793811</v>
      </c>
    </row>
  </sheetData>
  <sheetProtection algorithmName="SHA-512" hashValue="1yFdWXZowH+0L1MoBmG3C3eLo/3CWiXSGjJqKEdn7VwEyWRAHACMZIgDm9ORgblKkzz7jNpFWhabtN76C9yAPQ==" saltValue="ngPo7K8cuNyJ2j5kDPB39g==" spinCount="100000" sheet="1" objects="1" scenarios="1"/>
  <mergeCells count="149"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9:A21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A38:A42"/>
    <mergeCell ref="C38:C41"/>
    <mergeCell ref="A44:A46"/>
    <mergeCell ref="A47:A51"/>
    <mergeCell ref="C47:C50"/>
    <mergeCell ref="A53:A54"/>
    <mergeCell ref="C19:C20"/>
    <mergeCell ref="A22:A23"/>
    <mergeCell ref="A25:A26"/>
    <mergeCell ref="A27:A28"/>
    <mergeCell ref="A30:A32"/>
    <mergeCell ref="A34:A37"/>
    <mergeCell ref="I68:I70"/>
    <mergeCell ref="J68:J70"/>
    <mergeCell ref="A56:A57"/>
    <mergeCell ref="A59:A62"/>
    <mergeCell ref="A63:A64"/>
    <mergeCell ref="A65:D65"/>
    <mergeCell ref="A68:A71"/>
    <mergeCell ref="B68:B71"/>
    <mergeCell ref="C68:C71"/>
    <mergeCell ref="D68:D71"/>
    <mergeCell ref="W69:W70"/>
    <mergeCell ref="X69:X70"/>
    <mergeCell ref="Y69:Y70"/>
    <mergeCell ref="Z69:Z70"/>
    <mergeCell ref="A72:A73"/>
    <mergeCell ref="B72:B77"/>
    <mergeCell ref="A74:A75"/>
    <mergeCell ref="A76:A77"/>
    <mergeCell ref="Q68:Q70"/>
    <mergeCell ref="R68:R70"/>
    <mergeCell ref="S68:S70"/>
    <mergeCell ref="T68:T70"/>
    <mergeCell ref="U68:U71"/>
    <mergeCell ref="V69:V70"/>
    <mergeCell ref="K68:K70"/>
    <mergeCell ref="L68:L70"/>
    <mergeCell ref="M68:M70"/>
    <mergeCell ref="N68:N70"/>
    <mergeCell ref="O68:O70"/>
    <mergeCell ref="P68:P70"/>
    <mergeCell ref="E68:E71"/>
    <mergeCell ref="F68:F71"/>
    <mergeCell ref="G68:G70"/>
    <mergeCell ref="H68:H70"/>
    <mergeCell ref="G80:G82"/>
    <mergeCell ref="H80:H82"/>
    <mergeCell ref="I80:I82"/>
    <mergeCell ref="J80:J82"/>
    <mergeCell ref="K80:K82"/>
    <mergeCell ref="L80:L82"/>
    <mergeCell ref="A80:A83"/>
    <mergeCell ref="B80:B83"/>
    <mergeCell ref="C80:C83"/>
    <mergeCell ref="D80:D83"/>
    <mergeCell ref="E80:E83"/>
    <mergeCell ref="F80:F83"/>
    <mergeCell ref="A93:A96"/>
    <mergeCell ref="B93:B96"/>
    <mergeCell ref="C93:C96"/>
    <mergeCell ref="D93:D96"/>
    <mergeCell ref="E93:E96"/>
    <mergeCell ref="F93:F96"/>
    <mergeCell ref="Y81:Y82"/>
    <mergeCell ref="Z81:Z82"/>
    <mergeCell ref="A84:A85"/>
    <mergeCell ref="B84:B90"/>
    <mergeCell ref="A87:A90"/>
    <mergeCell ref="C87:C89"/>
    <mergeCell ref="S80:S82"/>
    <mergeCell ref="T80:T82"/>
    <mergeCell ref="U80:U83"/>
    <mergeCell ref="V81:V82"/>
    <mergeCell ref="W81:W82"/>
    <mergeCell ref="X81:X82"/>
    <mergeCell ref="M80:M82"/>
    <mergeCell ref="N80:N82"/>
    <mergeCell ref="O80:O82"/>
    <mergeCell ref="P80:P82"/>
    <mergeCell ref="Q80:Q82"/>
    <mergeCell ref="R80:R82"/>
    <mergeCell ref="P93:P95"/>
    <mergeCell ref="Q93:Q95"/>
    <mergeCell ref="R93:R95"/>
    <mergeCell ref="G93:G95"/>
    <mergeCell ref="H93:H95"/>
    <mergeCell ref="I93:I95"/>
    <mergeCell ref="J93:J95"/>
    <mergeCell ref="K93:K95"/>
    <mergeCell ref="L93:L95"/>
    <mergeCell ref="A111:A112"/>
    <mergeCell ref="A113:A114"/>
    <mergeCell ref="A115:A116"/>
    <mergeCell ref="A117:D117"/>
    <mergeCell ref="A118:D118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7:A108"/>
    <mergeCell ref="A109:A110"/>
    <mergeCell ref="S93:S95"/>
    <mergeCell ref="T93:T95"/>
    <mergeCell ref="U93:U96"/>
    <mergeCell ref="V94:V95"/>
    <mergeCell ref="W94:W95"/>
    <mergeCell ref="X94:X95"/>
    <mergeCell ref="M93:M95"/>
    <mergeCell ref="N93:N95"/>
    <mergeCell ref="O93:O95"/>
  </mergeCells>
  <printOptions horizontalCentered="1"/>
  <pageMargins left="0.39370078740157483" right="0.39370078740157483" top="0.39370078740157483" bottom="0.39370078740157483" header="0.31496062992125984" footer="0.31496062992125984"/>
  <pageSetup paperSize="10000" scale="55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8"/>
  <sheetViews>
    <sheetView zoomScale="70" zoomScaleNormal="70" workbookViewId="0">
      <pane xSplit="4" ySplit="6" topLeftCell="E51" activePane="bottomRight" state="frozen"/>
      <selection pane="topRight" activeCell="E1" sqref="E1"/>
      <selection pane="bottomLeft" activeCell="A7" sqref="A7"/>
      <selection pane="bottomRight" activeCell="E41" sqref="E41"/>
    </sheetView>
  </sheetViews>
  <sheetFormatPr defaultRowHeight="15" x14ac:dyDescent="0.25"/>
  <cols>
    <col min="1" max="1" width="5.7109375" style="89" customWidth="1"/>
    <col min="2" max="2" width="0" style="89" hidden="1" customWidth="1"/>
    <col min="3" max="3" width="18.42578125" style="89" customWidth="1"/>
    <col min="4" max="4" width="17.5703125" style="89" bestFit="1" customWidth="1"/>
    <col min="5" max="5" width="4.85546875" style="89" customWidth="1"/>
    <col min="6" max="6" width="5.7109375" style="89" customWidth="1"/>
    <col min="7" max="7" width="9.140625" style="89"/>
    <col min="8" max="11" width="9.140625" style="89" customWidth="1"/>
    <col min="12" max="12" width="10" style="89" customWidth="1"/>
    <col min="13" max="19" width="9.140625" style="89" customWidth="1"/>
    <col min="20" max="16384" width="9.140625" style="89"/>
  </cols>
  <sheetData>
    <row r="1" spans="1:28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8" ht="15.75" x14ac:dyDescent="0.25">
      <c r="A2" s="1" t="s">
        <v>110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8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8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8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8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8" ht="31.5" customHeight="1" x14ac:dyDescent="0.25">
      <c r="A7" s="254">
        <v>1</v>
      </c>
      <c r="B7" s="265" t="s">
        <v>32</v>
      </c>
      <c r="C7" s="97" t="s">
        <v>33</v>
      </c>
      <c r="D7" s="21" t="s">
        <v>34</v>
      </c>
      <c r="E7" s="10">
        <v>31</v>
      </c>
      <c r="F7" s="10">
        <v>20</v>
      </c>
      <c r="G7" s="28">
        <v>16</v>
      </c>
      <c r="H7" s="11">
        <v>154</v>
      </c>
      <c r="I7" s="11">
        <v>27</v>
      </c>
      <c r="J7" s="11">
        <v>197</v>
      </c>
      <c r="K7" s="11">
        <v>10</v>
      </c>
      <c r="L7" s="11">
        <v>153</v>
      </c>
      <c r="M7" s="12">
        <v>19</v>
      </c>
      <c r="N7" s="11">
        <v>9</v>
      </c>
      <c r="O7" s="11">
        <v>10</v>
      </c>
      <c r="P7" s="12">
        <v>182</v>
      </c>
      <c r="Q7" s="11">
        <v>536</v>
      </c>
      <c r="R7" s="11">
        <v>6</v>
      </c>
      <c r="S7" s="11">
        <v>552</v>
      </c>
      <c r="T7" s="12">
        <v>15</v>
      </c>
      <c r="U7" s="12">
        <v>172</v>
      </c>
      <c r="V7" s="13">
        <v>17.806451612903224</v>
      </c>
      <c r="W7" s="13">
        <v>89.032258064516128</v>
      </c>
      <c r="X7" s="13">
        <v>3.2093023255813953</v>
      </c>
      <c r="Y7" s="14">
        <v>0.39534883720930264</v>
      </c>
      <c r="Z7" s="15">
        <v>8.6</v>
      </c>
    </row>
    <row r="8" spans="1:28" ht="15.75" x14ac:dyDescent="0.25">
      <c r="A8" s="254"/>
      <c r="B8" s="266"/>
      <c r="C8" s="17" t="s">
        <v>35</v>
      </c>
      <c r="D8" s="16"/>
      <c r="E8" s="10">
        <v>31</v>
      </c>
      <c r="F8" s="17">
        <v>20</v>
      </c>
      <c r="G8" s="17">
        <v>16</v>
      </c>
      <c r="H8" s="17">
        <v>154</v>
      </c>
      <c r="I8" s="17">
        <v>27</v>
      </c>
      <c r="J8" s="17">
        <v>197</v>
      </c>
      <c r="K8" s="17">
        <v>10</v>
      </c>
      <c r="L8" s="17">
        <v>153</v>
      </c>
      <c r="M8" s="18">
        <v>19</v>
      </c>
      <c r="N8" s="17">
        <v>9</v>
      </c>
      <c r="O8" s="17">
        <v>10</v>
      </c>
      <c r="P8" s="18">
        <v>182</v>
      </c>
      <c r="Q8" s="17">
        <v>536</v>
      </c>
      <c r="R8" s="17">
        <v>6</v>
      </c>
      <c r="S8" s="17">
        <v>552</v>
      </c>
      <c r="T8" s="18">
        <v>15</v>
      </c>
      <c r="U8" s="18">
        <v>172</v>
      </c>
      <c r="V8" s="19">
        <v>17.806451612903224</v>
      </c>
      <c r="W8" s="19">
        <v>89.032258064516128</v>
      </c>
      <c r="X8" s="19">
        <v>3.2093023255813953</v>
      </c>
      <c r="Y8" s="20">
        <v>0.39534883720930264</v>
      </c>
      <c r="Z8" s="20">
        <v>8.6</v>
      </c>
      <c r="AA8" s="89" t="s">
        <v>34</v>
      </c>
      <c r="AB8" s="89">
        <f>+S8+S10+S13+S21+S23+S26+S28+S37+S49+S51+S91+S59</f>
        <v>5228</v>
      </c>
    </row>
    <row r="9" spans="1:28" ht="15.75" x14ac:dyDescent="0.25">
      <c r="A9" s="256">
        <v>2</v>
      </c>
      <c r="B9" s="266"/>
      <c r="C9" s="11" t="s">
        <v>36</v>
      </c>
      <c r="D9" s="21" t="s">
        <v>34</v>
      </c>
      <c r="E9" s="10">
        <v>31</v>
      </c>
      <c r="F9" s="11">
        <v>16</v>
      </c>
      <c r="G9" s="28">
        <v>11</v>
      </c>
      <c r="H9" s="11">
        <v>76</v>
      </c>
      <c r="I9" s="11">
        <v>28</v>
      </c>
      <c r="J9" s="11">
        <v>115</v>
      </c>
      <c r="K9" s="11">
        <v>8</v>
      </c>
      <c r="L9" s="11">
        <v>83</v>
      </c>
      <c r="M9" s="12">
        <v>11</v>
      </c>
      <c r="N9" s="11">
        <v>9</v>
      </c>
      <c r="O9" s="11">
        <v>2</v>
      </c>
      <c r="P9" s="12">
        <v>102</v>
      </c>
      <c r="Q9" s="11">
        <v>315</v>
      </c>
      <c r="R9" s="11">
        <v>2</v>
      </c>
      <c r="S9" s="11">
        <v>367</v>
      </c>
      <c r="T9" s="12">
        <v>13</v>
      </c>
      <c r="U9" s="12">
        <v>94</v>
      </c>
      <c r="V9" s="13">
        <v>11.838709677419354</v>
      </c>
      <c r="W9" s="13">
        <v>73.991935483870961</v>
      </c>
      <c r="X9" s="13">
        <v>3.9042553191489362</v>
      </c>
      <c r="Y9" s="14">
        <v>1.3723404255319152</v>
      </c>
      <c r="Z9" s="15">
        <v>5.875</v>
      </c>
    </row>
    <row r="10" spans="1:28" ht="15.75" x14ac:dyDescent="0.25">
      <c r="A10" s="256"/>
      <c r="B10" s="266"/>
      <c r="C10" s="17" t="s">
        <v>36</v>
      </c>
      <c r="D10" s="16"/>
      <c r="E10" s="10">
        <v>31</v>
      </c>
      <c r="F10" s="17">
        <v>16</v>
      </c>
      <c r="G10" s="17">
        <v>11</v>
      </c>
      <c r="H10" s="17">
        <v>76</v>
      </c>
      <c r="I10" s="17">
        <v>28</v>
      </c>
      <c r="J10" s="17">
        <v>115</v>
      </c>
      <c r="K10" s="17">
        <v>8</v>
      </c>
      <c r="L10" s="17">
        <v>83</v>
      </c>
      <c r="M10" s="18">
        <v>11</v>
      </c>
      <c r="N10" s="17">
        <v>9</v>
      </c>
      <c r="O10" s="17">
        <v>2</v>
      </c>
      <c r="P10" s="18">
        <v>102</v>
      </c>
      <c r="Q10" s="17">
        <v>315</v>
      </c>
      <c r="R10" s="17">
        <v>2</v>
      </c>
      <c r="S10" s="17">
        <v>367</v>
      </c>
      <c r="T10" s="18">
        <v>13</v>
      </c>
      <c r="U10" s="18">
        <v>94</v>
      </c>
      <c r="V10" s="19">
        <v>11.838709677419354</v>
      </c>
      <c r="W10" s="19">
        <v>73.991935483870961</v>
      </c>
      <c r="X10" s="19">
        <v>3.9042553191489362</v>
      </c>
      <c r="Y10" s="20">
        <v>1.3723404255319152</v>
      </c>
      <c r="Z10" s="20">
        <v>5.875</v>
      </c>
      <c r="AA10" s="89" t="s">
        <v>38</v>
      </c>
      <c r="AB10" s="89">
        <f>+S36+S44+S48+S50+S90+S113</f>
        <v>1139</v>
      </c>
    </row>
    <row r="11" spans="1:28" ht="15.75" x14ac:dyDescent="0.25">
      <c r="A11" s="256">
        <v>3</v>
      </c>
      <c r="B11" s="266"/>
      <c r="C11" s="256" t="s">
        <v>37</v>
      </c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8" ht="15.75" x14ac:dyDescent="0.25">
      <c r="A12" s="256"/>
      <c r="B12" s="266"/>
      <c r="C12" s="256"/>
      <c r="D12" s="21" t="s">
        <v>34</v>
      </c>
      <c r="E12" s="10">
        <v>31</v>
      </c>
      <c r="F12" s="11">
        <v>12</v>
      </c>
      <c r="G12" s="28">
        <v>10</v>
      </c>
      <c r="H12" s="11">
        <v>76</v>
      </c>
      <c r="I12" s="11">
        <v>7</v>
      </c>
      <c r="J12" s="11">
        <v>93</v>
      </c>
      <c r="K12" s="11">
        <v>7</v>
      </c>
      <c r="L12" s="11">
        <v>64</v>
      </c>
      <c r="M12" s="12">
        <v>10</v>
      </c>
      <c r="N12" s="11">
        <v>3</v>
      </c>
      <c r="O12" s="11">
        <v>7</v>
      </c>
      <c r="P12" s="12">
        <v>81</v>
      </c>
      <c r="Q12" s="11">
        <v>274</v>
      </c>
      <c r="R12" s="11">
        <v>3</v>
      </c>
      <c r="S12" s="11">
        <v>298</v>
      </c>
      <c r="T12" s="12">
        <v>12</v>
      </c>
      <c r="U12" s="12">
        <v>74</v>
      </c>
      <c r="V12" s="13">
        <v>9.612903225806452</v>
      </c>
      <c r="W12" s="13">
        <v>80.107526881720432</v>
      </c>
      <c r="X12" s="13">
        <v>4.0270270270270272</v>
      </c>
      <c r="Y12" s="14">
        <v>0.99999999999999978</v>
      </c>
      <c r="Z12" s="15">
        <v>6.166666666666667</v>
      </c>
    </row>
    <row r="13" spans="1:28" ht="15.75" x14ac:dyDescent="0.25">
      <c r="A13" s="256"/>
      <c r="B13" s="266"/>
      <c r="C13" s="17" t="s">
        <v>37</v>
      </c>
      <c r="D13" s="16"/>
      <c r="E13" s="10">
        <v>31</v>
      </c>
      <c r="F13" s="17">
        <v>12</v>
      </c>
      <c r="G13" s="17">
        <v>10</v>
      </c>
      <c r="H13" s="17">
        <v>76</v>
      </c>
      <c r="I13" s="17">
        <v>7</v>
      </c>
      <c r="J13" s="17">
        <v>93</v>
      </c>
      <c r="K13" s="17">
        <v>7</v>
      </c>
      <c r="L13" s="17">
        <v>64</v>
      </c>
      <c r="M13" s="18">
        <v>10</v>
      </c>
      <c r="N13" s="17">
        <v>3</v>
      </c>
      <c r="O13" s="17">
        <v>7</v>
      </c>
      <c r="P13" s="18">
        <v>81</v>
      </c>
      <c r="Q13" s="17">
        <v>274</v>
      </c>
      <c r="R13" s="17">
        <v>3</v>
      </c>
      <c r="S13" s="17">
        <v>298</v>
      </c>
      <c r="T13" s="18">
        <v>12</v>
      </c>
      <c r="U13" s="18">
        <v>74</v>
      </c>
      <c r="V13" s="19">
        <v>9.612903225806452</v>
      </c>
      <c r="W13" s="19">
        <v>80.107526881720432</v>
      </c>
      <c r="X13" s="19">
        <v>4.0270270270270272</v>
      </c>
      <c r="Y13" s="20">
        <v>0.99999999999999978</v>
      </c>
      <c r="Z13" s="20">
        <v>6.166666666666667</v>
      </c>
      <c r="AA13" s="89" t="s">
        <v>48</v>
      </c>
      <c r="AB13" s="89">
        <f>+S34+S35+S45+S89+S107</f>
        <v>346</v>
      </c>
    </row>
    <row r="14" spans="1:28" ht="15.75" x14ac:dyDescent="0.25">
      <c r="A14" s="256">
        <v>4</v>
      </c>
      <c r="B14" s="266"/>
      <c r="C14" s="254" t="s">
        <v>39</v>
      </c>
      <c r="D14" s="21" t="s">
        <v>38</v>
      </c>
      <c r="E14" s="10">
        <v>31</v>
      </c>
      <c r="F14" s="10">
        <v>2</v>
      </c>
      <c r="G14" s="28">
        <v>2</v>
      </c>
      <c r="H14" s="11">
        <v>10</v>
      </c>
      <c r="I14" s="11">
        <v>7</v>
      </c>
      <c r="J14" s="11">
        <v>19</v>
      </c>
      <c r="K14" s="11">
        <v>8</v>
      </c>
      <c r="L14" s="11">
        <v>9</v>
      </c>
      <c r="M14" s="12">
        <v>0</v>
      </c>
      <c r="N14" s="11">
        <v>0</v>
      </c>
      <c r="O14" s="11">
        <v>0</v>
      </c>
      <c r="P14" s="12">
        <v>17</v>
      </c>
      <c r="Q14" s="11">
        <v>63</v>
      </c>
      <c r="R14" s="11">
        <v>0</v>
      </c>
      <c r="S14" s="11">
        <v>48</v>
      </c>
      <c r="T14" s="12">
        <v>2</v>
      </c>
      <c r="U14" s="12">
        <v>9</v>
      </c>
      <c r="V14" s="13">
        <v>1.5483870967741935</v>
      </c>
      <c r="W14" s="13">
        <v>77.41935483870968</v>
      </c>
      <c r="X14" s="13">
        <v>5.333333333333333</v>
      </c>
      <c r="Y14" s="14">
        <v>1.5555555555555558</v>
      </c>
      <c r="Z14" s="15">
        <v>4.5</v>
      </c>
    </row>
    <row r="15" spans="1:28" ht="15.75" x14ac:dyDescent="0.25">
      <c r="A15" s="256"/>
      <c r="B15" s="266"/>
      <c r="C15" s="254"/>
      <c r="D15" s="21" t="s">
        <v>34</v>
      </c>
      <c r="E15" s="10">
        <v>31</v>
      </c>
      <c r="F15" s="10">
        <v>17</v>
      </c>
      <c r="G15" s="28">
        <v>16</v>
      </c>
      <c r="H15" s="11">
        <v>114</v>
      </c>
      <c r="I15" s="11">
        <v>17</v>
      </c>
      <c r="J15" s="11">
        <v>147</v>
      </c>
      <c r="K15" s="11">
        <v>13</v>
      </c>
      <c r="L15" s="11">
        <v>118</v>
      </c>
      <c r="M15" s="12">
        <v>3</v>
      </c>
      <c r="N15" s="11">
        <v>3</v>
      </c>
      <c r="O15" s="11">
        <v>0</v>
      </c>
      <c r="P15" s="12">
        <v>134</v>
      </c>
      <c r="Q15" s="11">
        <v>528</v>
      </c>
      <c r="R15" s="11">
        <v>0</v>
      </c>
      <c r="S15" s="11">
        <v>476</v>
      </c>
      <c r="T15" s="12">
        <v>13</v>
      </c>
      <c r="U15" s="12">
        <v>121</v>
      </c>
      <c r="V15" s="13">
        <v>15.35483870967742</v>
      </c>
      <c r="W15" s="13">
        <v>90.322580645161295</v>
      </c>
      <c r="X15" s="13">
        <v>3.9338842975206614</v>
      </c>
      <c r="Y15" s="14">
        <v>0.421487603305785</v>
      </c>
      <c r="Z15" s="15">
        <v>7.117647058823529</v>
      </c>
    </row>
    <row r="16" spans="1:28" ht="15.75" x14ac:dyDescent="0.25">
      <c r="A16" s="256"/>
      <c r="B16" s="266"/>
      <c r="C16" s="254"/>
      <c r="D16" s="21" t="s">
        <v>40</v>
      </c>
      <c r="E16" s="10">
        <v>31</v>
      </c>
      <c r="F16" s="10">
        <v>5</v>
      </c>
      <c r="G16" s="28">
        <v>2</v>
      </c>
      <c r="H16" s="11">
        <v>21</v>
      </c>
      <c r="I16" s="11">
        <v>10</v>
      </c>
      <c r="J16" s="11">
        <v>33</v>
      </c>
      <c r="K16" s="11">
        <v>6</v>
      </c>
      <c r="L16" s="11">
        <v>24</v>
      </c>
      <c r="M16" s="12">
        <v>1</v>
      </c>
      <c r="N16" s="11">
        <v>1</v>
      </c>
      <c r="O16" s="11">
        <v>0</v>
      </c>
      <c r="P16" s="12">
        <v>31</v>
      </c>
      <c r="Q16" s="11">
        <v>98</v>
      </c>
      <c r="R16" s="11">
        <v>1</v>
      </c>
      <c r="S16" s="11">
        <v>91</v>
      </c>
      <c r="T16" s="12">
        <v>2</v>
      </c>
      <c r="U16" s="12">
        <v>25</v>
      </c>
      <c r="V16" s="13">
        <v>2.935483870967742</v>
      </c>
      <c r="W16" s="13">
        <v>58.709677419354847</v>
      </c>
      <c r="X16" s="13">
        <v>3.64</v>
      </c>
      <c r="Y16" s="14">
        <v>2.56</v>
      </c>
      <c r="Z16" s="15">
        <v>5</v>
      </c>
    </row>
    <row r="17" spans="1:28" ht="15.75" x14ac:dyDescent="0.25">
      <c r="A17" s="256"/>
      <c r="B17" s="266"/>
      <c r="C17" s="17" t="s">
        <v>39</v>
      </c>
      <c r="D17" s="16"/>
      <c r="E17" s="10">
        <v>31</v>
      </c>
      <c r="F17" s="17">
        <v>24</v>
      </c>
      <c r="G17" s="17">
        <v>20</v>
      </c>
      <c r="H17" s="17">
        <v>145</v>
      </c>
      <c r="I17" s="17">
        <v>34</v>
      </c>
      <c r="J17" s="17">
        <v>199</v>
      </c>
      <c r="K17" s="17">
        <v>27</v>
      </c>
      <c r="L17" s="17">
        <v>151</v>
      </c>
      <c r="M17" s="18">
        <v>4</v>
      </c>
      <c r="N17" s="17">
        <v>4</v>
      </c>
      <c r="O17" s="17">
        <v>0</v>
      </c>
      <c r="P17" s="18">
        <v>182</v>
      </c>
      <c r="Q17" s="17">
        <v>689</v>
      </c>
      <c r="R17" s="17">
        <v>1</v>
      </c>
      <c r="S17" s="17">
        <v>615</v>
      </c>
      <c r="T17" s="18">
        <v>17</v>
      </c>
      <c r="U17" s="18">
        <v>155</v>
      </c>
      <c r="V17" s="19">
        <v>19.838709677419356</v>
      </c>
      <c r="W17" s="19">
        <v>82.661290322580655</v>
      </c>
      <c r="X17" s="19">
        <v>3.967741935483871</v>
      </c>
      <c r="Y17" s="20">
        <v>0.83225806451612883</v>
      </c>
      <c r="Z17" s="20">
        <v>6.458333333333333</v>
      </c>
    </row>
    <row r="18" spans="1:28" ht="15.75" x14ac:dyDescent="0.25">
      <c r="A18" s="53"/>
      <c r="B18" s="266"/>
      <c r="C18" s="17"/>
      <c r="D18" s="16"/>
      <c r="E18" s="10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8"/>
      <c r="Q18" s="17"/>
      <c r="R18" s="17"/>
      <c r="S18" s="17"/>
      <c r="T18" s="18"/>
      <c r="U18" s="18"/>
      <c r="V18" s="19"/>
      <c r="W18" s="19"/>
      <c r="X18" s="19"/>
      <c r="Y18" s="20"/>
      <c r="Z18" s="20"/>
    </row>
    <row r="19" spans="1:28" ht="15.75" x14ac:dyDescent="0.25">
      <c r="A19" s="254">
        <v>5</v>
      </c>
      <c r="B19" s="266"/>
      <c r="C19" s="254" t="s">
        <v>41</v>
      </c>
      <c r="D19" s="98" t="s">
        <v>42</v>
      </c>
      <c r="E19" s="10">
        <v>31</v>
      </c>
      <c r="F19" s="10">
        <v>19</v>
      </c>
      <c r="G19" s="28">
        <v>18</v>
      </c>
      <c r="H19" s="11">
        <v>134</v>
      </c>
      <c r="I19" s="11">
        <v>19</v>
      </c>
      <c r="J19" s="11">
        <v>171</v>
      </c>
      <c r="K19" s="11">
        <v>16</v>
      </c>
      <c r="L19" s="11">
        <v>103</v>
      </c>
      <c r="M19" s="12">
        <v>33</v>
      </c>
      <c r="N19" s="11">
        <v>24</v>
      </c>
      <c r="O19" s="11">
        <v>9</v>
      </c>
      <c r="P19" s="12">
        <v>152</v>
      </c>
      <c r="Q19" s="11">
        <v>492</v>
      </c>
      <c r="R19" s="11">
        <v>9</v>
      </c>
      <c r="S19" s="11">
        <v>551</v>
      </c>
      <c r="T19" s="12">
        <v>19</v>
      </c>
      <c r="U19" s="12">
        <v>136</v>
      </c>
      <c r="V19" s="13">
        <v>17.774193548387096</v>
      </c>
      <c r="W19" s="13">
        <v>93.548387096774192</v>
      </c>
      <c r="X19" s="13">
        <v>4.0514705882352944</v>
      </c>
      <c r="Y19" s="14">
        <v>0.27941176470588253</v>
      </c>
      <c r="Z19" s="15">
        <v>7.1578947368421053</v>
      </c>
    </row>
    <row r="20" spans="1:28" ht="15.75" x14ac:dyDescent="0.25">
      <c r="A20" s="254"/>
      <c r="B20" s="266"/>
      <c r="C20" s="254"/>
      <c r="D20" s="98" t="s">
        <v>43</v>
      </c>
      <c r="E20" s="10">
        <v>31</v>
      </c>
      <c r="F20" s="10">
        <v>12</v>
      </c>
      <c r="G20" s="28">
        <v>11</v>
      </c>
      <c r="H20" s="11">
        <v>80</v>
      </c>
      <c r="I20" s="11">
        <v>25</v>
      </c>
      <c r="J20" s="11">
        <v>116</v>
      </c>
      <c r="K20" s="11">
        <v>21</v>
      </c>
      <c r="L20" s="11">
        <v>63</v>
      </c>
      <c r="M20" s="12">
        <v>20</v>
      </c>
      <c r="N20" s="11">
        <v>14</v>
      </c>
      <c r="O20" s="11">
        <v>6</v>
      </c>
      <c r="P20" s="12">
        <v>104</v>
      </c>
      <c r="Q20" s="11">
        <v>275</v>
      </c>
      <c r="R20" s="11">
        <v>4</v>
      </c>
      <c r="S20" s="11">
        <v>325</v>
      </c>
      <c r="T20" s="12">
        <v>12</v>
      </c>
      <c r="U20" s="12">
        <v>83</v>
      </c>
      <c r="V20" s="13">
        <v>10.483870967741936</v>
      </c>
      <c r="W20" s="13">
        <v>87.365591397849457</v>
      </c>
      <c r="X20" s="13">
        <v>3.9156626506024095</v>
      </c>
      <c r="Y20" s="14">
        <v>0.56626506024096368</v>
      </c>
      <c r="Z20" s="15">
        <v>6.916666666666667</v>
      </c>
    </row>
    <row r="21" spans="1:28" ht="15.75" x14ac:dyDescent="0.25">
      <c r="A21" s="254"/>
      <c r="B21" s="266"/>
      <c r="C21" s="17" t="s">
        <v>41</v>
      </c>
      <c r="D21" s="16"/>
      <c r="E21" s="10">
        <v>31</v>
      </c>
      <c r="F21" s="17">
        <v>31</v>
      </c>
      <c r="G21" s="17">
        <v>29</v>
      </c>
      <c r="H21" s="17">
        <v>214</v>
      </c>
      <c r="I21" s="17">
        <v>44</v>
      </c>
      <c r="J21" s="17">
        <v>287</v>
      </c>
      <c r="K21" s="17">
        <v>37</v>
      </c>
      <c r="L21" s="17">
        <v>166</v>
      </c>
      <c r="M21" s="18">
        <v>53</v>
      </c>
      <c r="N21" s="17">
        <v>38</v>
      </c>
      <c r="O21" s="17">
        <v>15</v>
      </c>
      <c r="P21" s="18">
        <v>256</v>
      </c>
      <c r="Q21" s="17">
        <v>767</v>
      </c>
      <c r="R21" s="17">
        <v>13</v>
      </c>
      <c r="S21" s="17">
        <v>876</v>
      </c>
      <c r="T21" s="18">
        <v>31</v>
      </c>
      <c r="U21" s="18">
        <v>219</v>
      </c>
      <c r="V21" s="19">
        <v>28.258064516129032</v>
      </c>
      <c r="W21" s="19">
        <v>91.155046826222687</v>
      </c>
      <c r="X21" s="19">
        <v>4</v>
      </c>
      <c r="Y21" s="20">
        <v>0.38812785388127852</v>
      </c>
      <c r="Z21" s="20">
        <v>14.074561403508772</v>
      </c>
      <c r="AA21" s="89" t="s">
        <v>55</v>
      </c>
      <c r="AB21" s="89">
        <f>+S46+S56</f>
        <v>878</v>
      </c>
    </row>
    <row r="22" spans="1:28" ht="15.75" x14ac:dyDescent="0.25">
      <c r="A22" s="254">
        <v>6</v>
      </c>
      <c r="B22" s="266"/>
      <c r="C22" s="10" t="s">
        <v>44</v>
      </c>
      <c r="D22" s="21" t="s">
        <v>34</v>
      </c>
      <c r="E22" s="10">
        <v>31</v>
      </c>
      <c r="F22" s="10">
        <v>18</v>
      </c>
      <c r="G22" s="28">
        <v>17</v>
      </c>
      <c r="H22" s="11">
        <v>127</v>
      </c>
      <c r="I22" s="11">
        <v>17</v>
      </c>
      <c r="J22" s="11">
        <v>161</v>
      </c>
      <c r="K22" s="11">
        <v>11</v>
      </c>
      <c r="L22" s="11">
        <v>131</v>
      </c>
      <c r="M22" s="12">
        <v>3</v>
      </c>
      <c r="N22" s="11">
        <v>1</v>
      </c>
      <c r="O22" s="11">
        <v>2</v>
      </c>
      <c r="P22" s="12">
        <v>145</v>
      </c>
      <c r="Q22" s="11">
        <v>417</v>
      </c>
      <c r="R22" s="11">
        <v>1</v>
      </c>
      <c r="S22" s="11">
        <v>443</v>
      </c>
      <c r="T22" s="12">
        <v>16</v>
      </c>
      <c r="U22" s="12">
        <v>134</v>
      </c>
      <c r="V22" s="13">
        <v>14.290322580645162</v>
      </c>
      <c r="W22" s="13">
        <v>79.390681003584234</v>
      </c>
      <c r="X22" s="13">
        <v>3.3059701492537314</v>
      </c>
      <c r="Y22" s="14">
        <v>0.85820895522388052</v>
      </c>
      <c r="Z22" s="15">
        <v>7.4444444444444446</v>
      </c>
    </row>
    <row r="23" spans="1:28" ht="15.75" x14ac:dyDescent="0.25">
      <c r="A23" s="254"/>
      <c r="B23" s="266"/>
      <c r="C23" s="17" t="s">
        <v>44</v>
      </c>
      <c r="D23" s="16"/>
      <c r="E23" s="10">
        <v>31</v>
      </c>
      <c r="F23" s="17">
        <v>18</v>
      </c>
      <c r="G23" s="17">
        <v>17</v>
      </c>
      <c r="H23" s="17">
        <v>127</v>
      </c>
      <c r="I23" s="17">
        <v>17</v>
      </c>
      <c r="J23" s="17">
        <v>161</v>
      </c>
      <c r="K23" s="17">
        <v>11</v>
      </c>
      <c r="L23" s="17">
        <v>131</v>
      </c>
      <c r="M23" s="18">
        <v>3</v>
      </c>
      <c r="N23" s="17">
        <v>1</v>
      </c>
      <c r="O23" s="17">
        <v>2</v>
      </c>
      <c r="P23" s="18">
        <v>145</v>
      </c>
      <c r="Q23" s="17">
        <v>417</v>
      </c>
      <c r="R23" s="17">
        <v>1</v>
      </c>
      <c r="S23" s="17">
        <v>443</v>
      </c>
      <c r="T23" s="18">
        <v>16</v>
      </c>
      <c r="U23" s="18">
        <v>134</v>
      </c>
      <c r="V23" s="19">
        <v>14.290322580645162</v>
      </c>
      <c r="W23" s="19">
        <v>79.390681003584234</v>
      </c>
      <c r="X23" s="19">
        <v>3.3059701492537314</v>
      </c>
      <c r="Y23" s="20">
        <v>0.85820895522388052</v>
      </c>
      <c r="Z23" s="20">
        <v>7.4444444444444446</v>
      </c>
      <c r="AB23" s="89">
        <f>SUM(AB8:AB21)</f>
        <v>7591</v>
      </c>
    </row>
    <row r="24" spans="1:28" ht="15.75" x14ac:dyDescent="0.25">
      <c r="A24" s="52"/>
      <c r="B24" s="266"/>
      <c r="C24" s="17"/>
      <c r="D24" s="16"/>
      <c r="E24" s="10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8"/>
      <c r="Q24" s="17"/>
      <c r="R24" s="17"/>
      <c r="S24" s="17"/>
      <c r="T24" s="18"/>
      <c r="U24" s="18"/>
      <c r="V24" s="19"/>
      <c r="W24" s="19"/>
      <c r="X24" s="19"/>
      <c r="Y24" s="20"/>
      <c r="Z24" s="20"/>
    </row>
    <row r="25" spans="1:28" ht="15.75" x14ac:dyDescent="0.25">
      <c r="A25" s="254">
        <v>7</v>
      </c>
      <c r="B25" s="266"/>
      <c r="C25" s="10" t="s">
        <v>45</v>
      </c>
      <c r="D25" s="21" t="s">
        <v>34</v>
      </c>
      <c r="E25" s="10">
        <v>31</v>
      </c>
      <c r="F25" s="10">
        <v>20</v>
      </c>
      <c r="G25" s="28">
        <v>19</v>
      </c>
      <c r="H25" s="11">
        <v>135</v>
      </c>
      <c r="I25" s="11">
        <v>9</v>
      </c>
      <c r="J25" s="11">
        <v>163</v>
      </c>
      <c r="K25" s="11">
        <v>18</v>
      </c>
      <c r="L25" s="11">
        <v>118</v>
      </c>
      <c r="M25" s="12">
        <v>13</v>
      </c>
      <c r="N25" s="11">
        <v>4</v>
      </c>
      <c r="O25" s="11">
        <v>9</v>
      </c>
      <c r="P25" s="12">
        <v>149</v>
      </c>
      <c r="Q25" s="11">
        <v>457</v>
      </c>
      <c r="R25" s="11">
        <v>5</v>
      </c>
      <c r="S25" s="11">
        <v>494</v>
      </c>
      <c r="T25" s="12">
        <v>14</v>
      </c>
      <c r="U25" s="12">
        <v>131</v>
      </c>
      <c r="V25" s="13">
        <v>15.935483870967742</v>
      </c>
      <c r="W25" s="13">
        <v>79.677419354838705</v>
      </c>
      <c r="X25" s="13">
        <v>3.7709923664122136</v>
      </c>
      <c r="Y25" s="14">
        <v>0.96183206106870234</v>
      </c>
      <c r="Z25" s="15">
        <v>6.55</v>
      </c>
    </row>
    <row r="26" spans="1:28" ht="15.75" x14ac:dyDescent="0.25">
      <c r="A26" s="254"/>
      <c r="B26" s="266"/>
      <c r="C26" s="17" t="s">
        <v>45</v>
      </c>
      <c r="D26" s="16"/>
      <c r="E26" s="10">
        <v>31</v>
      </c>
      <c r="F26" s="17">
        <v>20</v>
      </c>
      <c r="G26" s="17">
        <v>19</v>
      </c>
      <c r="H26" s="17">
        <v>135</v>
      </c>
      <c r="I26" s="17">
        <v>9</v>
      </c>
      <c r="J26" s="17">
        <v>163</v>
      </c>
      <c r="K26" s="17">
        <v>18</v>
      </c>
      <c r="L26" s="17">
        <v>118</v>
      </c>
      <c r="M26" s="18">
        <v>13</v>
      </c>
      <c r="N26" s="17">
        <v>4</v>
      </c>
      <c r="O26" s="17">
        <v>9</v>
      </c>
      <c r="P26" s="18">
        <v>149</v>
      </c>
      <c r="Q26" s="17">
        <v>457</v>
      </c>
      <c r="R26" s="17">
        <v>5</v>
      </c>
      <c r="S26" s="17">
        <v>494</v>
      </c>
      <c r="T26" s="18">
        <v>14</v>
      </c>
      <c r="U26" s="18">
        <v>131</v>
      </c>
      <c r="V26" s="19">
        <v>15.935483870967742</v>
      </c>
      <c r="W26" s="19">
        <v>79.677419354838705</v>
      </c>
      <c r="X26" s="19">
        <v>3.7709923664122136</v>
      </c>
      <c r="Y26" s="20">
        <v>0.96183206106870234</v>
      </c>
      <c r="Z26" s="20">
        <v>6.55</v>
      </c>
    </row>
    <row r="27" spans="1:28" ht="15.75" x14ac:dyDescent="0.25">
      <c r="A27" s="256">
        <v>8</v>
      </c>
      <c r="B27" s="266"/>
      <c r="C27" s="11" t="s">
        <v>46</v>
      </c>
      <c r="D27" s="21" t="s">
        <v>34</v>
      </c>
      <c r="E27" s="10">
        <v>31</v>
      </c>
      <c r="F27" s="11">
        <v>20</v>
      </c>
      <c r="G27" s="28">
        <v>18</v>
      </c>
      <c r="H27" s="11">
        <v>143</v>
      </c>
      <c r="I27" s="11">
        <v>11</v>
      </c>
      <c r="J27" s="11">
        <v>172</v>
      </c>
      <c r="K27" s="11">
        <v>13</v>
      </c>
      <c r="L27" s="11">
        <v>131</v>
      </c>
      <c r="M27" s="12">
        <v>17</v>
      </c>
      <c r="N27" s="11">
        <v>8</v>
      </c>
      <c r="O27" s="11">
        <v>9</v>
      </c>
      <c r="P27" s="12">
        <v>161</v>
      </c>
      <c r="Q27" s="11">
        <v>497</v>
      </c>
      <c r="R27" s="11">
        <v>5</v>
      </c>
      <c r="S27" s="11">
        <v>503</v>
      </c>
      <c r="T27" s="12">
        <v>11</v>
      </c>
      <c r="U27" s="12">
        <v>148</v>
      </c>
      <c r="V27" s="13">
        <v>16.225806451612904</v>
      </c>
      <c r="W27" s="13">
        <v>81.129032258064512</v>
      </c>
      <c r="X27" s="13">
        <v>3.3986486486486487</v>
      </c>
      <c r="Y27" s="14">
        <v>0.79054054054054035</v>
      </c>
      <c r="Z27" s="15">
        <v>7.4</v>
      </c>
    </row>
    <row r="28" spans="1:28" ht="15.75" x14ac:dyDescent="0.25">
      <c r="A28" s="256"/>
      <c r="B28" s="266"/>
      <c r="C28" s="17" t="s">
        <v>46</v>
      </c>
      <c r="D28" s="16"/>
      <c r="E28" s="10">
        <v>31</v>
      </c>
      <c r="F28" s="17">
        <v>20</v>
      </c>
      <c r="G28" s="17">
        <v>18</v>
      </c>
      <c r="H28" s="17">
        <v>143</v>
      </c>
      <c r="I28" s="17">
        <v>11</v>
      </c>
      <c r="J28" s="17">
        <v>172</v>
      </c>
      <c r="K28" s="17">
        <v>13</v>
      </c>
      <c r="L28" s="17">
        <v>131</v>
      </c>
      <c r="M28" s="18">
        <v>17</v>
      </c>
      <c r="N28" s="17">
        <v>8</v>
      </c>
      <c r="O28" s="17">
        <v>9</v>
      </c>
      <c r="P28" s="18">
        <v>161</v>
      </c>
      <c r="Q28" s="17">
        <v>497</v>
      </c>
      <c r="R28" s="17">
        <v>5</v>
      </c>
      <c r="S28" s="17">
        <v>503</v>
      </c>
      <c r="T28" s="18">
        <v>11</v>
      </c>
      <c r="U28" s="18">
        <v>148</v>
      </c>
      <c r="V28" s="19">
        <v>16.225806451612904</v>
      </c>
      <c r="W28" s="19">
        <v>81.129032258064512</v>
      </c>
      <c r="X28" s="19">
        <v>3.3986486486486487</v>
      </c>
      <c r="Y28" s="20">
        <v>0.79054054054054035</v>
      </c>
      <c r="Z28" s="20">
        <v>7.4</v>
      </c>
    </row>
    <row r="29" spans="1:28" ht="15.75" x14ac:dyDescent="0.25">
      <c r="A29" s="53"/>
      <c r="B29" s="266"/>
      <c r="C29" s="17"/>
      <c r="D29" s="16"/>
      <c r="E29" s="10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8"/>
      <c r="Q29" s="17"/>
      <c r="R29" s="17"/>
      <c r="S29" s="17"/>
      <c r="T29" s="18"/>
      <c r="U29" s="18"/>
      <c r="V29" s="19"/>
      <c r="W29" s="19"/>
      <c r="X29" s="19"/>
      <c r="Y29" s="20"/>
      <c r="Z29" s="20"/>
    </row>
    <row r="30" spans="1:28" ht="15.75" x14ac:dyDescent="0.25">
      <c r="A30" s="256">
        <v>9</v>
      </c>
      <c r="B30" s="266"/>
      <c r="C30" s="11" t="s">
        <v>47</v>
      </c>
      <c r="D30" s="22" t="s">
        <v>48</v>
      </c>
      <c r="E30" s="10">
        <v>31</v>
      </c>
      <c r="F30" s="11">
        <v>12</v>
      </c>
      <c r="G30" s="28">
        <v>10</v>
      </c>
      <c r="H30" s="11">
        <v>79</v>
      </c>
      <c r="I30" s="11">
        <v>14</v>
      </c>
      <c r="J30" s="11">
        <v>103</v>
      </c>
      <c r="K30" s="11">
        <v>12</v>
      </c>
      <c r="L30" s="11">
        <v>80</v>
      </c>
      <c r="M30" s="12">
        <v>5</v>
      </c>
      <c r="N30" s="11">
        <v>2</v>
      </c>
      <c r="O30" s="11">
        <v>3</v>
      </c>
      <c r="P30" s="12">
        <v>97</v>
      </c>
      <c r="Q30" s="11">
        <v>294</v>
      </c>
      <c r="R30" s="11">
        <v>0</v>
      </c>
      <c r="S30" s="11">
        <v>309</v>
      </c>
      <c r="T30" s="12">
        <v>6</v>
      </c>
      <c r="U30" s="12">
        <v>85</v>
      </c>
      <c r="V30" s="13">
        <v>9.9677419354838701</v>
      </c>
      <c r="W30" s="13">
        <v>83.064516129032256</v>
      </c>
      <c r="X30" s="13">
        <v>3.6352941176470588</v>
      </c>
      <c r="Y30" s="14">
        <v>0.74117647058823566</v>
      </c>
      <c r="Z30" s="15">
        <v>7.083333333333333</v>
      </c>
    </row>
    <row r="31" spans="1:28" ht="15.75" x14ac:dyDescent="0.25">
      <c r="A31" s="256"/>
      <c r="B31" s="266"/>
      <c r="C31" s="11"/>
      <c r="D31" s="22"/>
      <c r="E31" s="10"/>
      <c r="F31" s="11"/>
      <c r="G31" s="28"/>
      <c r="H31" s="11"/>
      <c r="I31" s="11"/>
      <c r="J31" s="11"/>
      <c r="K31" s="11"/>
      <c r="L31" s="11"/>
      <c r="M31" s="12"/>
      <c r="N31" s="11"/>
      <c r="O31" s="11"/>
      <c r="P31" s="12"/>
      <c r="Q31" s="11"/>
      <c r="R31" s="11"/>
      <c r="S31" s="11"/>
      <c r="T31" s="12"/>
      <c r="U31" s="12"/>
      <c r="V31" s="13"/>
      <c r="W31" s="13"/>
      <c r="X31" s="13"/>
      <c r="Y31" s="14"/>
      <c r="Z31" s="15"/>
    </row>
    <row r="32" spans="1:28" ht="15.75" x14ac:dyDescent="0.25">
      <c r="A32" s="256"/>
      <c r="B32" s="266"/>
      <c r="C32" s="17" t="s">
        <v>47</v>
      </c>
      <c r="D32" s="16"/>
      <c r="E32" s="10">
        <v>31</v>
      </c>
      <c r="F32" s="17">
        <v>12</v>
      </c>
      <c r="G32" s="17">
        <v>10</v>
      </c>
      <c r="H32" s="17">
        <v>79</v>
      </c>
      <c r="I32" s="17">
        <v>14</v>
      </c>
      <c r="J32" s="17">
        <v>103</v>
      </c>
      <c r="K32" s="17">
        <v>12</v>
      </c>
      <c r="L32" s="17">
        <v>80</v>
      </c>
      <c r="M32" s="18">
        <v>5</v>
      </c>
      <c r="N32" s="17">
        <v>2</v>
      </c>
      <c r="O32" s="17">
        <v>3</v>
      </c>
      <c r="P32" s="18">
        <v>97</v>
      </c>
      <c r="Q32" s="17">
        <v>294</v>
      </c>
      <c r="R32" s="17">
        <v>0</v>
      </c>
      <c r="S32" s="17">
        <v>309</v>
      </c>
      <c r="T32" s="18">
        <v>6</v>
      </c>
      <c r="U32" s="18">
        <v>85</v>
      </c>
      <c r="V32" s="19">
        <v>9.9677419354838701</v>
      </c>
      <c r="W32" s="19">
        <v>83.064516129032256</v>
      </c>
      <c r="X32" s="19">
        <v>3.6352941176470588</v>
      </c>
      <c r="Y32" s="20">
        <v>0.74117647058823566</v>
      </c>
      <c r="Z32" s="20">
        <v>7.083333333333333</v>
      </c>
    </row>
    <row r="33" spans="1:26" ht="15.75" x14ac:dyDescent="0.25">
      <c r="A33" s="53"/>
      <c r="B33" s="266"/>
      <c r="C33" s="17"/>
      <c r="D33" s="16"/>
      <c r="E33" s="10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8"/>
      <c r="Q33" s="17"/>
      <c r="R33" s="17"/>
      <c r="S33" s="17"/>
      <c r="T33" s="18"/>
      <c r="U33" s="18"/>
      <c r="V33" s="19"/>
      <c r="W33" s="19"/>
      <c r="X33" s="19"/>
      <c r="Y33" s="20"/>
      <c r="Z33" s="20"/>
    </row>
    <row r="34" spans="1:26" ht="15.75" x14ac:dyDescent="0.25">
      <c r="A34" s="256">
        <v>10</v>
      </c>
      <c r="B34" s="266"/>
      <c r="C34" s="11" t="s">
        <v>49</v>
      </c>
      <c r="D34" s="22" t="s">
        <v>48</v>
      </c>
      <c r="E34" s="10">
        <v>31</v>
      </c>
      <c r="F34" s="11">
        <v>3</v>
      </c>
      <c r="G34" s="28">
        <v>3</v>
      </c>
      <c r="H34" s="11">
        <v>17</v>
      </c>
      <c r="I34" s="11">
        <v>5</v>
      </c>
      <c r="J34" s="11">
        <v>25</v>
      </c>
      <c r="K34" s="11">
        <v>3</v>
      </c>
      <c r="L34" s="11">
        <v>21</v>
      </c>
      <c r="M34" s="12">
        <v>1</v>
      </c>
      <c r="N34" s="11">
        <v>1</v>
      </c>
      <c r="O34" s="11">
        <v>0</v>
      </c>
      <c r="P34" s="12">
        <v>25</v>
      </c>
      <c r="Q34" s="11">
        <v>61</v>
      </c>
      <c r="R34" s="11">
        <v>0</v>
      </c>
      <c r="S34" s="11">
        <v>62</v>
      </c>
      <c r="T34" s="12">
        <v>0</v>
      </c>
      <c r="U34" s="12">
        <v>22</v>
      </c>
      <c r="V34" s="13">
        <v>2</v>
      </c>
      <c r="W34" s="13">
        <v>66.666666666666657</v>
      </c>
      <c r="X34" s="13">
        <v>2.8181818181818183</v>
      </c>
      <c r="Y34" s="14">
        <v>1.4090909090909092</v>
      </c>
      <c r="Z34" s="15">
        <v>7.333333333333333</v>
      </c>
    </row>
    <row r="35" spans="1:26" ht="15.75" x14ac:dyDescent="0.25">
      <c r="A35" s="256"/>
      <c r="B35" s="266"/>
      <c r="C35" s="11"/>
      <c r="D35" s="22" t="s">
        <v>38</v>
      </c>
      <c r="E35" s="10">
        <v>31</v>
      </c>
      <c r="F35" s="11">
        <v>4</v>
      </c>
      <c r="G35" s="28">
        <v>4</v>
      </c>
      <c r="H35" s="11">
        <v>26</v>
      </c>
      <c r="I35" s="11">
        <v>5</v>
      </c>
      <c r="J35" s="11">
        <v>35</v>
      </c>
      <c r="K35" s="11">
        <v>4</v>
      </c>
      <c r="L35" s="11">
        <v>27</v>
      </c>
      <c r="M35" s="12">
        <v>2</v>
      </c>
      <c r="N35" s="11">
        <v>1</v>
      </c>
      <c r="O35" s="11">
        <v>1</v>
      </c>
      <c r="P35" s="12">
        <v>33</v>
      </c>
      <c r="Q35" s="11">
        <v>91</v>
      </c>
      <c r="R35" s="11">
        <v>0</v>
      </c>
      <c r="S35" s="11">
        <v>97</v>
      </c>
      <c r="T35" s="12">
        <v>2</v>
      </c>
      <c r="U35" s="12">
        <v>29</v>
      </c>
      <c r="V35" s="13">
        <v>3.129032258064516</v>
      </c>
      <c r="W35" s="13">
        <v>78.225806451612897</v>
      </c>
      <c r="X35" s="13">
        <v>3.3448275862068964</v>
      </c>
      <c r="Y35" s="14">
        <v>0.93103448275862077</v>
      </c>
      <c r="Z35" s="15">
        <v>7.25</v>
      </c>
    </row>
    <row r="36" spans="1:26" ht="15.75" x14ac:dyDescent="0.25">
      <c r="A36" s="256"/>
      <c r="B36" s="266"/>
      <c r="C36" s="11"/>
      <c r="D36" s="22" t="s">
        <v>34</v>
      </c>
      <c r="E36" s="10">
        <v>31</v>
      </c>
      <c r="F36" s="11">
        <v>12</v>
      </c>
      <c r="G36" s="28">
        <v>12</v>
      </c>
      <c r="H36" s="11">
        <v>66</v>
      </c>
      <c r="I36" s="11">
        <v>16</v>
      </c>
      <c r="J36" s="11">
        <v>94</v>
      </c>
      <c r="K36" s="11">
        <v>5</v>
      </c>
      <c r="L36" s="11">
        <v>79</v>
      </c>
      <c r="M36" s="12">
        <v>4</v>
      </c>
      <c r="N36" s="11">
        <v>3</v>
      </c>
      <c r="O36" s="11">
        <v>1</v>
      </c>
      <c r="P36" s="12">
        <v>88</v>
      </c>
      <c r="Q36" s="11">
        <v>303</v>
      </c>
      <c r="R36" s="11">
        <v>2</v>
      </c>
      <c r="S36" s="11">
        <v>301</v>
      </c>
      <c r="T36" s="12">
        <v>6</v>
      </c>
      <c r="U36" s="12">
        <v>83</v>
      </c>
      <c r="V36" s="13">
        <v>9.7096774193548381</v>
      </c>
      <c r="W36" s="13">
        <v>80.913978494623649</v>
      </c>
      <c r="X36" s="13">
        <v>3.6265060240963853</v>
      </c>
      <c r="Y36" s="14">
        <v>0.85542168674698815</v>
      </c>
      <c r="Z36" s="15">
        <v>6.916666666666667</v>
      </c>
    </row>
    <row r="37" spans="1:26" ht="15.75" x14ac:dyDescent="0.25">
      <c r="A37" s="256"/>
      <c r="B37" s="266"/>
      <c r="C37" s="17" t="s">
        <v>49</v>
      </c>
      <c r="D37" s="16"/>
      <c r="E37" s="10">
        <v>31</v>
      </c>
      <c r="F37" s="17">
        <v>19</v>
      </c>
      <c r="G37" s="17">
        <v>19</v>
      </c>
      <c r="H37" s="17">
        <v>109</v>
      </c>
      <c r="I37" s="17">
        <v>26</v>
      </c>
      <c r="J37" s="17">
        <v>154</v>
      </c>
      <c r="K37" s="17">
        <v>12</v>
      </c>
      <c r="L37" s="17">
        <v>127</v>
      </c>
      <c r="M37" s="18">
        <v>7</v>
      </c>
      <c r="N37" s="17">
        <v>5</v>
      </c>
      <c r="O37" s="17">
        <v>2</v>
      </c>
      <c r="P37" s="18">
        <v>146</v>
      </c>
      <c r="Q37" s="17">
        <v>455</v>
      </c>
      <c r="R37" s="17">
        <v>2</v>
      </c>
      <c r="S37" s="17">
        <v>460</v>
      </c>
      <c r="T37" s="18">
        <v>8</v>
      </c>
      <c r="U37" s="18">
        <v>134</v>
      </c>
      <c r="V37" s="19">
        <v>14.838709677419354</v>
      </c>
      <c r="W37" s="19">
        <v>78.09847198641765</v>
      </c>
      <c r="X37" s="19">
        <v>3.4328358208955225</v>
      </c>
      <c r="Y37" s="20">
        <v>0.96268656716417933</v>
      </c>
      <c r="Z37" s="20">
        <v>7.0526315789473681</v>
      </c>
    </row>
    <row r="38" spans="1:26" ht="15.75" x14ac:dyDescent="0.25">
      <c r="A38" s="231">
        <v>11</v>
      </c>
      <c r="B38" s="266"/>
      <c r="C38" s="254" t="s">
        <v>50</v>
      </c>
      <c r="D38" s="22" t="s">
        <v>51</v>
      </c>
      <c r="E38" s="10">
        <v>31</v>
      </c>
      <c r="F38" s="10">
        <v>6</v>
      </c>
      <c r="G38" s="28">
        <v>5</v>
      </c>
      <c r="H38" s="11">
        <v>47</v>
      </c>
      <c r="I38" s="11">
        <v>8</v>
      </c>
      <c r="J38" s="11">
        <v>60</v>
      </c>
      <c r="K38" s="11">
        <v>10</v>
      </c>
      <c r="L38" s="11">
        <v>40</v>
      </c>
      <c r="M38" s="12">
        <v>3</v>
      </c>
      <c r="N38" s="11">
        <v>2</v>
      </c>
      <c r="O38" s="11">
        <v>1</v>
      </c>
      <c r="P38" s="12">
        <v>53</v>
      </c>
      <c r="Q38" s="11">
        <v>114</v>
      </c>
      <c r="R38" s="11">
        <v>2</v>
      </c>
      <c r="S38" s="11">
        <v>132</v>
      </c>
      <c r="T38" s="12">
        <v>7</v>
      </c>
      <c r="U38" s="12">
        <v>43</v>
      </c>
      <c r="V38" s="13">
        <v>4.258064516129032</v>
      </c>
      <c r="W38" s="13">
        <v>70.967741935483858</v>
      </c>
      <c r="X38" s="13">
        <v>3.0697674418604652</v>
      </c>
      <c r="Y38" s="14">
        <v>1.2558139534883723</v>
      </c>
      <c r="Z38" s="15">
        <v>7.166666666666667</v>
      </c>
    </row>
    <row r="39" spans="1:26" ht="15.75" x14ac:dyDescent="0.25">
      <c r="A39" s="231"/>
      <c r="B39" s="266"/>
      <c r="C39" s="254"/>
      <c r="D39" s="22" t="s">
        <v>52</v>
      </c>
      <c r="E39" s="10">
        <v>31</v>
      </c>
      <c r="F39" s="10">
        <v>6</v>
      </c>
      <c r="G39" s="28">
        <v>5</v>
      </c>
      <c r="H39" s="11">
        <v>41</v>
      </c>
      <c r="I39" s="11">
        <v>5</v>
      </c>
      <c r="J39" s="11">
        <v>51</v>
      </c>
      <c r="K39" s="11">
        <v>5</v>
      </c>
      <c r="L39" s="11">
        <v>42</v>
      </c>
      <c r="M39" s="12">
        <v>1</v>
      </c>
      <c r="N39" s="11">
        <v>0</v>
      </c>
      <c r="O39" s="11">
        <v>1</v>
      </c>
      <c r="P39" s="12">
        <v>48</v>
      </c>
      <c r="Q39" s="11">
        <v>135</v>
      </c>
      <c r="R39" s="11">
        <v>0</v>
      </c>
      <c r="S39" s="11">
        <v>134</v>
      </c>
      <c r="T39" s="12">
        <v>3</v>
      </c>
      <c r="U39" s="12">
        <v>43</v>
      </c>
      <c r="V39" s="13">
        <v>4.32258064516129</v>
      </c>
      <c r="W39" s="13">
        <v>72.043010752688161</v>
      </c>
      <c r="X39" s="13">
        <v>3.1162790697674421</v>
      </c>
      <c r="Y39" s="14">
        <v>1.2093023255813955</v>
      </c>
      <c r="Z39" s="15">
        <v>7.166666666666667</v>
      </c>
    </row>
    <row r="40" spans="1:26" ht="15.75" x14ac:dyDescent="0.25">
      <c r="A40" s="231"/>
      <c r="B40" s="266"/>
      <c r="C40" s="254"/>
      <c r="D40" s="22" t="s">
        <v>53</v>
      </c>
      <c r="E40" s="10">
        <v>31</v>
      </c>
      <c r="F40" s="10">
        <v>14</v>
      </c>
      <c r="G40" s="28">
        <v>8</v>
      </c>
      <c r="H40" s="11">
        <v>107</v>
      </c>
      <c r="I40" s="11">
        <v>15</v>
      </c>
      <c r="J40" s="11">
        <v>130</v>
      </c>
      <c r="K40" s="11">
        <v>32</v>
      </c>
      <c r="L40" s="11">
        <v>85</v>
      </c>
      <c r="M40" s="12">
        <v>8</v>
      </c>
      <c r="N40" s="11">
        <v>3</v>
      </c>
      <c r="O40" s="11">
        <v>5</v>
      </c>
      <c r="P40" s="12">
        <v>125</v>
      </c>
      <c r="Q40" s="11">
        <v>294</v>
      </c>
      <c r="R40" s="11">
        <v>2</v>
      </c>
      <c r="S40" s="11">
        <v>312</v>
      </c>
      <c r="T40" s="12">
        <v>5</v>
      </c>
      <c r="U40" s="12">
        <v>93</v>
      </c>
      <c r="V40" s="13">
        <v>10.064516129032258</v>
      </c>
      <c r="W40" s="13">
        <v>71.889400921658989</v>
      </c>
      <c r="X40" s="13">
        <v>3.3548387096774195</v>
      </c>
      <c r="Y40" s="23">
        <v>1.3118279569892473</v>
      </c>
      <c r="Z40" s="24">
        <v>6.6428571428571432</v>
      </c>
    </row>
    <row r="41" spans="1:26" ht="15.75" x14ac:dyDescent="0.25">
      <c r="A41" s="231"/>
      <c r="B41" s="266"/>
      <c r="C41" s="254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31</v>
      </c>
      <c r="F42" s="17">
        <v>26</v>
      </c>
      <c r="G42" s="17">
        <v>18</v>
      </c>
      <c r="H42" s="17">
        <v>195</v>
      </c>
      <c r="I42" s="17">
        <v>28</v>
      </c>
      <c r="J42" s="17">
        <v>241</v>
      </c>
      <c r="K42" s="17">
        <v>47</v>
      </c>
      <c r="L42" s="17">
        <v>167</v>
      </c>
      <c r="M42" s="18">
        <v>12</v>
      </c>
      <c r="N42" s="17">
        <v>5</v>
      </c>
      <c r="O42" s="17">
        <v>7</v>
      </c>
      <c r="P42" s="18">
        <v>226</v>
      </c>
      <c r="Q42" s="17">
        <v>543</v>
      </c>
      <c r="R42" s="17">
        <v>4</v>
      </c>
      <c r="S42" s="17">
        <v>578</v>
      </c>
      <c r="T42" s="18">
        <v>15</v>
      </c>
      <c r="U42" s="18">
        <v>179</v>
      </c>
      <c r="V42" s="19">
        <v>18.64516129032258</v>
      </c>
      <c r="W42" s="19">
        <v>71.712158808932998</v>
      </c>
      <c r="X42" s="19">
        <v>3.2290502793296088</v>
      </c>
      <c r="Y42" s="20">
        <v>1.2737430167597767</v>
      </c>
      <c r="Z42" s="20">
        <v>6.884615384615385</v>
      </c>
    </row>
    <row r="43" spans="1:26" ht="15.75" x14ac:dyDescent="0.25">
      <c r="A43" s="59"/>
      <c r="B43" s="266"/>
      <c r="C43" s="17"/>
      <c r="D43" s="16"/>
      <c r="E43" s="10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8"/>
      <c r="Q43" s="17"/>
      <c r="R43" s="17"/>
      <c r="S43" s="17"/>
      <c r="T43" s="18"/>
      <c r="U43" s="18"/>
      <c r="V43" s="19"/>
      <c r="W43" s="19"/>
      <c r="X43" s="19"/>
      <c r="Y43" s="20"/>
      <c r="Z43" s="20"/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31</v>
      </c>
      <c r="F44" s="10">
        <v>15</v>
      </c>
      <c r="G44" s="28">
        <v>7</v>
      </c>
      <c r="H44" s="11">
        <v>105</v>
      </c>
      <c r="I44" s="11">
        <v>20</v>
      </c>
      <c r="J44" s="11">
        <v>132</v>
      </c>
      <c r="K44" s="11">
        <v>12</v>
      </c>
      <c r="L44" s="11">
        <v>99</v>
      </c>
      <c r="M44" s="12">
        <v>9</v>
      </c>
      <c r="N44" s="11">
        <v>5</v>
      </c>
      <c r="O44" s="11">
        <v>4</v>
      </c>
      <c r="P44" s="12">
        <v>120</v>
      </c>
      <c r="Q44" s="11">
        <v>364</v>
      </c>
      <c r="R44" s="11">
        <v>3</v>
      </c>
      <c r="S44" s="11">
        <v>392</v>
      </c>
      <c r="T44" s="12">
        <v>12</v>
      </c>
      <c r="U44" s="12">
        <v>108</v>
      </c>
      <c r="V44" s="13">
        <v>12.64516129032258</v>
      </c>
      <c r="W44" s="13">
        <v>84.3010752688172</v>
      </c>
      <c r="X44" s="13">
        <v>3.6296296296296298</v>
      </c>
      <c r="Y44" s="14">
        <v>0.67592592592592604</v>
      </c>
      <c r="Z44" s="15">
        <v>7.2</v>
      </c>
    </row>
    <row r="45" spans="1:26" ht="15.75" x14ac:dyDescent="0.25">
      <c r="A45" s="231"/>
      <c r="B45" s="266"/>
      <c r="C45" s="10"/>
      <c r="D45" s="21" t="s">
        <v>55</v>
      </c>
      <c r="E45" s="10">
        <v>31</v>
      </c>
      <c r="F45" s="10">
        <v>2</v>
      </c>
      <c r="G45" s="28">
        <v>2</v>
      </c>
      <c r="H45" s="11">
        <v>6</v>
      </c>
      <c r="I45" s="11">
        <v>2</v>
      </c>
      <c r="J45" s="11">
        <v>10</v>
      </c>
      <c r="K45" s="11">
        <v>0</v>
      </c>
      <c r="L45" s="11">
        <v>9</v>
      </c>
      <c r="M45" s="12">
        <v>0</v>
      </c>
      <c r="N45" s="11">
        <v>0</v>
      </c>
      <c r="O45" s="11">
        <v>0</v>
      </c>
      <c r="P45" s="12">
        <v>9</v>
      </c>
      <c r="Q45" s="11">
        <v>35</v>
      </c>
      <c r="R45" s="11">
        <v>0</v>
      </c>
      <c r="S45" s="11">
        <v>36</v>
      </c>
      <c r="T45" s="12">
        <v>1</v>
      </c>
      <c r="U45" s="12">
        <v>9</v>
      </c>
      <c r="V45" s="13">
        <v>1.1612903225806452</v>
      </c>
      <c r="W45" s="13">
        <v>58.064516129032263</v>
      </c>
      <c r="X45" s="13">
        <v>4</v>
      </c>
      <c r="Y45" s="14">
        <v>2.8888888888888884</v>
      </c>
      <c r="Z45" s="15">
        <v>4.5</v>
      </c>
    </row>
    <row r="46" spans="1:26" ht="15.75" customHeight="1" x14ac:dyDescent="0.25">
      <c r="A46" s="231"/>
      <c r="B46" s="266"/>
      <c r="C46" s="17" t="s">
        <v>54</v>
      </c>
      <c r="D46" s="16"/>
      <c r="E46" s="10">
        <v>31</v>
      </c>
      <c r="F46" s="17">
        <v>17</v>
      </c>
      <c r="G46" s="17">
        <v>9</v>
      </c>
      <c r="H46" s="17">
        <v>111</v>
      </c>
      <c r="I46" s="17">
        <v>22</v>
      </c>
      <c r="J46" s="17">
        <v>142</v>
      </c>
      <c r="K46" s="17">
        <v>12</v>
      </c>
      <c r="L46" s="17">
        <v>108</v>
      </c>
      <c r="M46" s="18">
        <v>9</v>
      </c>
      <c r="N46" s="17">
        <v>5</v>
      </c>
      <c r="O46" s="17">
        <v>4</v>
      </c>
      <c r="P46" s="18">
        <v>129</v>
      </c>
      <c r="Q46" s="17">
        <v>399</v>
      </c>
      <c r="R46" s="17">
        <v>3</v>
      </c>
      <c r="S46" s="17">
        <v>428</v>
      </c>
      <c r="T46" s="18">
        <v>13</v>
      </c>
      <c r="U46" s="18">
        <v>117</v>
      </c>
      <c r="V46" s="25">
        <v>13.806451612903226</v>
      </c>
      <c r="W46" s="19">
        <v>81.21442125237192</v>
      </c>
      <c r="X46" s="19">
        <v>3.658119658119658</v>
      </c>
      <c r="Y46" s="20">
        <v>0.84615384615384615</v>
      </c>
      <c r="Z46" s="20">
        <v>6.882352941176471</v>
      </c>
    </row>
    <row r="47" spans="1:26" ht="15.75" x14ac:dyDescent="0.25">
      <c r="A47" s="245">
        <v>13</v>
      </c>
      <c r="B47" s="266"/>
      <c r="C47" s="257" t="s">
        <v>56</v>
      </c>
      <c r="D47" s="22" t="s">
        <v>57</v>
      </c>
      <c r="E47" s="10">
        <v>31</v>
      </c>
      <c r="F47" s="11">
        <v>2</v>
      </c>
      <c r="G47" s="28">
        <v>1</v>
      </c>
      <c r="H47" s="11">
        <v>1</v>
      </c>
      <c r="I47" s="11">
        <v>0</v>
      </c>
      <c r="J47" s="11">
        <v>2</v>
      </c>
      <c r="K47" s="11">
        <v>0</v>
      </c>
      <c r="L47" s="11">
        <v>1</v>
      </c>
      <c r="M47" s="12">
        <v>0</v>
      </c>
      <c r="N47" s="11">
        <v>0</v>
      </c>
      <c r="O47" s="11">
        <v>0</v>
      </c>
      <c r="P47" s="12">
        <v>1</v>
      </c>
      <c r="Q47" s="11">
        <v>5</v>
      </c>
      <c r="R47" s="11">
        <v>0</v>
      </c>
      <c r="S47" s="11">
        <v>5</v>
      </c>
      <c r="T47" s="12">
        <v>1</v>
      </c>
      <c r="U47" s="12">
        <v>1</v>
      </c>
      <c r="V47" s="13">
        <v>0.16129032258064516</v>
      </c>
      <c r="W47" s="13">
        <v>8.064516129032258</v>
      </c>
      <c r="X47" s="13">
        <v>5</v>
      </c>
      <c r="Y47" s="14">
        <v>57</v>
      </c>
      <c r="Z47" s="15">
        <v>0.5</v>
      </c>
    </row>
    <row r="48" spans="1:26" ht="15.75" x14ac:dyDescent="0.25">
      <c r="A48" s="246"/>
      <c r="B48" s="266"/>
      <c r="C48" s="257"/>
      <c r="D48" s="99" t="s">
        <v>58</v>
      </c>
      <c r="E48" s="10">
        <v>31</v>
      </c>
      <c r="F48" s="26">
        <v>3</v>
      </c>
      <c r="G48" s="56">
        <v>2</v>
      </c>
      <c r="H48" s="26">
        <v>10</v>
      </c>
      <c r="I48" s="26">
        <v>0</v>
      </c>
      <c r="J48" s="11">
        <v>12</v>
      </c>
      <c r="K48" s="26">
        <v>2</v>
      </c>
      <c r="L48" s="26">
        <v>7</v>
      </c>
      <c r="M48" s="12">
        <v>3</v>
      </c>
      <c r="N48" s="26">
        <v>2</v>
      </c>
      <c r="O48" s="26">
        <v>1</v>
      </c>
      <c r="P48" s="12">
        <v>12</v>
      </c>
      <c r="Q48" s="26">
        <v>41</v>
      </c>
      <c r="R48" s="26">
        <v>1</v>
      </c>
      <c r="S48" s="26">
        <v>41</v>
      </c>
      <c r="T48" s="12">
        <v>0</v>
      </c>
      <c r="U48" s="12">
        <v>10</v>
      </c>
      <c r="V48" s="13">
        <v>1.3225806451612903</v>
      </c>
      <c r="W48" s="13">
        <v>44.086021505376344</v>
      </c>
      <c r="X48" s="13">
        <v>4.0999999999999996</v>
      </c>
      <c r="Y48" s="14">
        <v>5.2</v>
      </c>
      <c r="Z48" s="15">
        <v>3.3333333333333335</v>
      </c>
    </row>
    <row r="49" spans="1:26" ht="15.75" x14ac:dyDescent="0.25">
      <c r="A49" s="246"/>
      <c r="B49" s="266"/>
      <c r="C49" s="257"/>
      <c r="D49" s="99" t="s">
        <v>59</v>
      </c>
      <c r="E49" s="10">
        <v>31</v>
      </c>
      <c r="F49" s="26">
        <v>2</v>
      </c>
      <c r="G49" s="56">
        <v>2</v>
      </c>
      <c r="H49" s="26">
        <v>5</v>
      </c>
      <c r="I49" s="26">
        <v>1</v>
      </c>
      <c r="J49" s="11">
        <v>8</v>
      </c>
      <c r="K49" s="26">
        <v>1</v>
      </c>
      <c r="L49" s="26">
        <v>6</v>
      </c>
      <c r="M49" s="12">
        <v>1</v>
      </c>
      <c r="N49" s="26">
        <v>1</v>
      </c>
      <c r="O49" s="26">
        <v>0</v>
      </c>
      <c r="P49" s="12">
        <v>8</v>
      </c>
      <c r="Q49" s="26">
        <v>28</v>
      </c>
      <c r="R49" s="26">
        <v>1</v>
      </c>
      <c r="S49" s="26">
        <v>23</v>
      </c>
      <c r="T49" s="12">
        <v>0</v>
      </c>
      <c r="U49" s="12">
        <v>7</v>
      </c>
      <c r="V49" s="13">
        <v>0.74193548387096775</v>
      </c>
      <c r="W49" s="13">
        <v>37.096774193548384</v>
      </c>
      <c r="X49" s="13">
        <v>3.2857142857142856</v>
      </c>
      <c r="Y49" s="14">
        <v>5.5714285714285712</v>
      </c>
      <c r="Z49" s="15">
        <v>3.5</v>
      </c>
    </row>
    <row r="50" spans="1:26" ht="15.75" x14ac:dyDescent="0.25">
      <c r="A50" s="246"/>
      <c r="B50" s="266"/>
      <c r="C50" s="257"/>
      <c r="D50" s="99" t="s">
        <v>60</v>
      </c>
      <c r="E50" s="10">
        <v>31</v>
      </c>
      <c r="F50" s="26">
        <v>10</v>
      </c>
      <c r="G50" s="56">
        <v>10</v>
      </c>
      <c r="H50" s="26">
        <v>54</v>
      </c>
      <c r="I50" s="26">
        <v>3</v>
      </c>
      <c r="J50" s="11">
        <v>67</v>
      </c>
      <c r="K50" s="26">
        <v>3</v>
      </c>
      <c r="L50" s="26">
        <v>40</v>
      </c>
      <c r="M50" s="12">
        <v>16</v>
      </c>
      <c r="N50" s="26">
        <v>8</v>
      </c>
      <c r="O50" s="26">
        <v>8</v>
      </c>
      <c r="P50" s="12">
        <v>59</v>
      </c>
      <c r="Q50" s="26">
        <v>260</v>
      </c>
      <c r="R50" s="26">
        <v>1</v>
      </c>
      <c r="S50" s="26">
        <v>232</v>
      </c>
      <c r="T50" s="12">
        <v>8</v>
      </c>
      <c r="U50" s="12">
        <v>56</v>
      </c>
      <c r="V50" s="13">
        <v>7.4838709677419351</v>
      </c>
      <c r="W50" s="13">
        <v>74.838709677419345</v>
      </c>
      <c r="X50" s="13">
        <v>4.1428571428571432</v>
      </c>
      <c r="Y50" s="14">
        <v>1.392857142857143</v>
      </c>
      <c r="Z50" s="15">
        <v>5.6</v>
      </c>
    </row>
    <row r="51" spans="1:26" ht="15.75" x14ac:dyDescent="0.25">
      <c r="A51" s="247"/>
      <c r="B51" s="266"/>
      <c r="C51" s="17" t="s">
        <v>61</v>
      </c>
      <c r="D51" s="16"/>
      <c r="E51" s="10">
        <v>31</v>
      </c>
      <c r="F51" s="17">
        <v>17</v>
      </c>
      <c r="G51" s="17">
        <v>15</v>
      </c>
      <c r="H51" s="17">
        <v>70</v>
      </c>
      <c r="I51" s="17">
        <v>4</v>
      </c>
      <c r="J51" s="17">
        <v>89</v>
      </c>
      <c r="K51" s="17">
        <v>6</v>
      </c>
      <c r="L51" s="17">
        <v>54</v>
      </c>
      <c r="M51" s="18">
        <v>20</v>
      </c>
      <c r="N51" s="17">
        <v>11</v>
      </c>
      <c r="O51" s="17">
        <v>9</v>
      </c>
      <c r="P51" s="18">
        <v>80</v>
      </c>
      <c r="Q51" s="17">
        <v>334</v>
      </c>
      <c r="R51" s="17">
        <v>3</v>
      </c>
      <c r="S51" s="17">
        <v>301</v>
      </c>
      <c r="T51" s="18">
        <v>9</v>
      </c>
      <c r="U51" s="18">
        <v>74</v>
      </c>
      <c r="V51" s="19">
        <v>9.7096774193548381</v>
      </c>
      <c r="W51" s="19">
        <v>57.1157495256167</v>
      </c>
      <c r="X51" s="19">
        <v>4.0675675675675675</v>
      </c>
      <c r="Y51" s="20">
        <v>3.0540540540540544</v>
      </c>
      <c r="Z51" s="20">
        <v>4.3529411764705879</v>
      </c>
    </row>
    <row r="52" spans="1:26" ht="15.75" x14ac:dyDescent="0.25">
      <c r="A52" s="145"/>
      <c r="B52" s="266"/>
      <c r="C52" s="17"/>
      <c r="D52" s="16"/>
      <c r="E52" s="10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31</v>
      </c>
      <c r="F53" s="11">
        <v>8</v>
      </c>
      <c r="G53" s="28">
        <v>3</v>
      </c>
      <c r="H53" s="11">
        <v>44</v>
      </c>
      <c r="I53" s="11">
        <v>6</v>
      </c>
      <c r="J53" s="11">
        <v>53</v>
      </c>
      <c r="K53" s="11">
        <v>2</v>
      </c>
      <c r="L53" s="11">
        <v>46</v>
      </c>
      <c r="M53" s="12">
        <v>1</v>
      </c>
      <c r="N53" s="11">
        <v>1</v>
      </c>
      <c r="O53" s="11">
        <v>0</v>
      </c>
      <c r="P53" s="12">
        <v>49</v>
      </c>
      <c r="Q53" s="11">
        <v>165</v>
      </c>
      <c r="R53" s="11">
        <v>0</v>
      </c>
      <c r="S53" s="11">
        <v>173</v>
      </c>
      <c r="T53" s="12">
        <v>4</v>
      </c>
      <c r="U53" s="12">
        <v>47</v>
      </c>
      <c r="V53" s="13">
        <v>5.580645161290323</v>
      </c>
      <c r="W53" s="24">
        <v>69.758064516129039</v>
      </c>
      <c r="X53" s="24">
        <v>3.6808510638297873</v>
      </c>
      <c r="Y53" s="23">
        <v>1.5957446808510636</v>
      </c>
      <c r="Z53" s="24">
        <v>5.875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">
        <v>31</v>
      </c>
      <c r="F54" s="17">
        <v>8</v>
      </c>
      <c r="G54" s="17">
        <v>3</v>
      </c>
      <c r="H54" s="17">
        <v>44</v>
      </c>
      <c r="I54" s="17">
        <v>6</v>
      </c>
      <c r="J54" s="17">
        <v>53</v>
      </c>
      <c r="K54" s="17">
        <v>2</v>
      </c>
      <c r="L54" s="17">
        <v>46</v>
      </c>
      <c r="M54" s="18">
        <v>1</v>
      </c>
      <c r="N54" s="17">
        <v>1</v>
      </c>
      <c r="O54" s="17">
        <v>0</v>
      </c>
      <c r="P54" s="18">
        <v>49</v>
      </c>
      <c r="Q54" s="17">
        <v>165</v>
      </c>
      <c r="R54" s="17">
        <v>0</v>
      </c>
      <c r="S54" s="17">
        <v>173</v>
      </c>
      <c r="T54" s="18">
        <v>4</v>
      </c>
      <c r="U54" s="18">
        <v>47</v>
      </c>
      <c r="V54" s="19">
        <v>5.580645161290323</v>
      </c>
      <c r="W54" s="27">
        <v>69.758064516129039</v>
      </c>
      <c r="X54" s="27">
        <v>3.6808510638297873</v>
      </c>
      <c r="Y54" s="27">
        <v>1.5957446808510636</v>
      </c>
      <c r="Z54" s="27">
        <v>5.875</v>
      </c>
    </row>
    <row r="55" spans="1:26" ht="15.75" x14ac:dyDescent="0.25">
      <c r="A55" s="59"/>
      <c r="B55" s="266"/>
      <c r="C55" s="17"/>
      <c r="D55" s="16"/>
      <c r="E55" s="10"/>
      <c r="F55" s="17"/>
      <c r="G55" s="17"/>
      <c r="H55" s="17"/>
      <c r="I55" s="17"/>
      <c r="J55" s="17"/>
      <c r="K55" s="17"/>
      <c r="L55" s="17"/>
      <c r="M55" s="18"/>
      <c r="N55" s="17"/>
      <c r="O55" s="17"/>
      <c r="P55" s="18"/>
      <c r="Q55" s="17"/>
      <c r="R55" s="17"/>
      <c r="S55" s="17"/>
      <c r="T55" s="18"/>
      <c r="U55" s="18"/>
      <c r="V55" s="19"/>
      <c r="W55" s="27"/>
      <c r="X55" s="27"/>
      <c r="Y55" s="27"/>
      <c r="Z55" s="27"/>
    </row>
    <row r="56" spans="1:26" ht="15.75" x14ac:dyDescent="0.25">
      <c r="A56" s="231">
        <v>15</v>
      </c>
      <c r="B56" s="266"/>
      <c r="C56" s="11" t="s">
        <v>63</v>
      </c>
      <c r="D56" s="22" t="s">
        <v>34</v>
      </c>
      <c r="E56" s="10">
        <v>31</v>
      </c>
      <c r="F56" s="11">
        <v>16</v>
      </c>
      <c r="G56" s="28">
        <v>13</v>
      </c>
      <c r="H56" s="11">
        <v>122</v>
      </c>
      <c r="I56" s="11">
        <v>16</v>
      </c>
      <c r="J56" s="11">
        <v>151</v>
      </c>
      <c r="K56" s="11">
        <v>9</v>
      </c>
      <c r="L56" s="11">
        <v>108</v>
      </c>
      <c r="M56" s="11">
        <v>18</v>
      </c>
      <c r="N56" s="11">
        <v>11</v>
      </c>
      <c r="O56" s="11">
        <v>7</v>
      </c>
      <c r="P56" s="11">
        <v>135</v>
      </c>
      <c r="Q56" s="11">
        <v>417</v>
      </c>
      <c r="R56" s="11">
        <v>3</v>
      </c>
      <c r="S56" s="11">
        <v>450</v>
      </c>
      <c r="T56" s="11">
        <v>16</v>
      </c>
      <c r="U56" s="11">
        <v>126</v>
      </c>
      <c r="V56" s="15">
        <v>14.516129032258064</v>
      </c>
      <c r="W56" s="15">
        <v>90.725806451612897</v>
      </c>
      <c r="X56" s="15">
        <v>3.5714285714285716</v>
      </c>
      <c r="Y56" s="14">
        <v>0.36507936507936517</v>
      </c>
      <c r="Z56" s="15">
        <v>7.875</v>
      </c>
    </row>
    <row r="57" spans="1:26" ht="15.75" x14ac:dyDescent="0.25">
      <c r="A57" s="231"/>
      <c r="B57" s="266"/>
      <c r="C57" s="17" t="s">
        <v>63</v>
      </c>
      <c r="D57" s="16"/>
      <c r="E57" s="10">
        <v>31</v>
      </c>
      <c r="F57" s="17">
        <v>16</v>
      </c>
      <c r="G57" s="17">
        <v>13</v>
      </c>
      <c r="H57" s="17">
        <v>122</v>
      </c>
      <c r="I57" s="17">
        <v>16</v>
      </c>
      <c r="J57" s="17">
        <v>151</v>
      </c>
      <c r="K57" s="17">
        <v>9</v>
      </c>
      <c r="L57" s="17">
        <v>108</v>
      </c>
      <c r="M57" s="17">
        <v>18</v>
      </c>
      <c r="N57" s="17">
        <v>11</v>
      </c>
      <c r="O57" s="17">
        <v>7</v>
      </c>
      <c r="P57" s="17">
        <v>135</v>
      </c>
      <c r="Q57" s="17">
        <v>417</v>
      </c>
      <c r="R57" s="17">
        <v>3</v>
      </c>
      <c r="S57" s="17">
        <v>450</v>
      </c>
      <c r="T57" s="17">
        <v>16</v>
      </c>
      <c r="U57" s="17">
        <v>126</v>
      </c>
      <c r="V57" s="20">
        <v>14.516129032258064</v>
      </c>
      <c r="W57" s="20">
        <v>90.725806451612897</v>
      </c>
      <c r="X57" s="20">
        <v>3.5714285714285716</v>
      </c>
      <c r="Y57" s="20">
        <v>0.36507936507936517</v>
      </c>
      <c r="Z57" s="20">
        <v>7.875</v>
      </c>
    </row>
    <row r="58" spans="1:26" ht="15.75" x14ac:dyDescent="0.25">
      <c r="A58" s="59"/>
      <c r="B58" s="266"/>
      <c r="C58" s="17"/>
      <c r="D58" s="16"/>
      <c r="E58" s="1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20"/>
      <c r="W58" s="20"/>
      <c r="X58" s="20"/>
      <c r="Y58" s="20"/>
      <c r="Z58" s="20"/>
    </row>
    <row r="59" spans="1:26" ht="15.75" x14ac:dyDescent="0.25">
      <c r="A59" s="253">
        <v>16</v>
      </c>
      <c r="B59" s="266"/>
      <c r="C59" s="10" t="s">
        <v>64</v>
      </c>
      <c r="D59" s="21" t="s">
        <v>48</v>
      </c>
      <c r="E59" s="10">
        <v>31</v>
      </c>
      <c r="F59" s="10">
        <v>2</v>
      </c>
      <c r="G59" s="28">
        <v>0</v>
      </c>
      <c r="H59" s="10">
        <v>5</v>
      </c>
      <c r="I59" s="10">
        <v>6</v>
      </c>
      <c r="J59" s="11">
        <v>11</v>
      </c>
      <c r="K59" s="10">
        <v>3</v>
      </c>
      <c r="L59" s="10">
        <v>8</v>
      </c>
      <c r="M59" s="11">
        <v>0</v>
      </c>
      <c r="N59" s="10">
        <v>0</v>
      </c>
      <c r="O59" s="10">
        <v>0</v>
      </c>
      <c r="P59" s="11">
        <v>11</v>
      </c>
      <c r="Q59" s="10">
        <v>26</v>
      </c>
      <c r="R59" s="10">
        <v>0</v>
      </c>
      <c r="S59" s="10">
        <v>18</v>
      </c>
      <c r="T59" s="12">
        <v>0</v>
      </c>
      <c r="U59" s="12">
        <v>8</v>
      </c>
      <c r="V59" s="13">
        <v>0.58064516129032262</v>
      </c>
      <c r="W59" s="24">
        <v>29.032258064516132</v>
      </c>
      <c r="X59" s="24">
        <v>2.25</v>
      </c>
      <c r="Y59" s="23">
        <v>5.5</v>
      </c>
      <c r="Z59" s="24">
        <v>4</v>
      </c>
    </row>
    <row r="60" spans="1:26" ht="15.75" x14ac:dyDescent="0.25">
      <c r="A60" s="253"/>
      <c r="B60" s="266"/>
      <c r="C60" s="10"/>
      <c r="D60" s="21" t="s">
        <v>38</v>
      </c>
      <c r="E60" s="10">
        <v>31</v>
      </c>
      <c r="F60" s="10">
        <v>10</v>
      </c>
      <c r="G60" s="28">
        <v>10</v>
      </c>
      <c r="H60" s="10">
        <v>22</v>
      </c>
      <c r="I60" s="10">
        <v>109</v>
      </c>
      <c r="J60" s="11">
        <v>141</v>
      </c>
      <c r="K60" s="10">
        <v>118</v>
      </c>
      <c r="L60" s="10">
        <v>22</v>
      </c>
      <c r="M60" s="11">
        <v>0</v>
      </c>
      <c r="N60" s="10">
        <v>0</v>
      </c>
      <c r="O60" s="10">
        <v>0</v>
      </c>
      <c r="P60" s="11">
        <v>140</v>
      </c>
      <c r="Q60" s="10">
        <v>54</v>
      </c>
      <c r="R60" s="10">
        <v>0</v>
      </c>
      <c r="S60" s="10">
        <v>167</v>
      </c>
      <c r="T60" s="12">
        <v>1</v>
      </c>
      <c r="U60" s="12">
        <v>22</v>
      </c>
      <c r="V60" s="13">
        <v>5.387096774193548</v>
      </c>
      <c r="W60" s="24">
        <v>53.87096774193548</v>
      </c>
      <c r="X60" s="24">
        <v>7.5909090909090908</v>
      </c>
      <c r="Y60" s="23">
        <v>6.5</v>
      </c>
      <c r="Z60" s="24">
        <v>2.2000000000000002</v>
      </c>
    </row>
    <row r="61" spans="1:26" ht="15.75" x14ac:dyDescent="0.25">
      <c r="A61" s="253"/>
      <c r="B61" s="266"/>
      <c r="C61" s="10"/>
      <c r="D61" s="21" t="s">
        <v>34</v>
      </c>
      <c r="E61" s="10">
        <v>31</v>
      </c>
      <c r="F61" s="10">
        <v>21</v>
      </c>
      <c r="G61" s="28">
        <v>19</v>
      </c>
      <c r="H61" s="10">
        <v>102</v>
      </c>
      <c r="I61" s="10">
        <v>238</v>
      </c>
      <c r="J61" s="11">
        <v>359</v>
      </c>
      <c r="K61" s="10">
        <v>56</v>
      </c>
      <c r="L61" s="10">
        <v>290</v>
      </c>
      <c r="M61" s="11">
        <v>0</v>
      </c>
      <c r="N61" s="10">
        <v>0</v>
      </c>
      <c r="O61" s="10">
        <v>0</v>
      </c>
      <c r="P61" s="11">
        <v>346</v>
      </c>
      <c r="Q61" s="10">
        <v>710</v>
      </c>
      <c r="R61" s="10">
        <v>5</v>
      </c>
      <c r="S61" s="10">
        <v>457</v>
      </c>
      <c r="T61" s="12">
        <v>13</v>
      </c>
      <c r="U61" s="12">
        <v>290</v>
      </c>
      <c r="V61" s="13">
        <v>14.741935483870968</v>
      </c>
      <c r="W61" s="24">
        <v>70.199692780337941</v>
      </c>
      <c r="X61" s="24">
        <v>1.5758620689655172</v>
      </c>
      <c r="Y61" s="23">
        <v>0.66896551724137931</v>
      </c>
      <c r="Z61" s="24">
        <v>13.80952380952381</v>
      </c>
    </row>
    <row r="62" spans="1:26" ht="15.75" x14ac:dyDescent="0.25">
      <c r="A62" s="253"/>
      <c r="B62" s="266"/>
      <c r="C62" s="17" t="s">
        <v>64</v>
      </c>
      <c r="D62" s="16"/>
      <c r="E62" s="10">
        <v>31</v>
      </c>
      <c r="F62" s="17">
        <v>33</v>
      </c>
      <c r="G62" s="17">
        <v>29</v>
      </c>
      <c r="H62" s="17">
        <v>129</v>
      </c>
      <c r="I62" s="17">
        <v>353</v>
      </c>
      <c r="J62" s="17">
        <v>511</v>
      </c>
      <c r="K62" s="17">
        <v>177</v>
      </c>
      <c r="L62" s="17">
        <v>320</v>
      </c>
      <c r="M62" s="17">
        <v>0</v>
      </c>
      <c r="N62" s="17">
        <v>0</v>
      </c>
      <c r="O62" s="17">
        <v>0</v>
      </c>
      <c r="P62" s="17">
        <v>497</v>
      </c>
      <c r="Q62" s="17">
        <v>790</v>
      </c>
      <c r="R62" s="17">
        <v>5</v>
      </c>
      <c r="S62" s="17">
        <v>642</v>
      </c>
      <c r="T62" s="17">
        <v>14</v>
      </c>
      <c r="U62" s="17">
        <v>320</v>
      </c>
      <c r="V62" s="20">
        <v>20.70967741935484</v>
      </c>
      <c r="W62" s="20">
        <v>62.756598240469209</v>
      </c>
      <c r="X62" s="20">
        <v>2.0062500000000001</v>
      </c>
      <c r="Y62" s="20">
        <v>1.1906249999999998</v>
      </c>
      <c r="Z62" s="20">
        <v>9.6969696969696972</v>
      </c>
    </row>
    <row r="63" spans="1:26" ht="15.75" x14ac:dyDescent="0.25">
      <c r="A63" s="253">
        <v>17</v>
      </c>
      <c r="B63" s="266"/>
      <c r="C63" s="11" t="s">
        <v>81</v>
      </c>
      <c r="D63" s="21" t="s">
        <v>38</v>
      </c>
      <c r="E63" s="10">
        <v>31</v>
      </c>
      <c r="F63" s="10">
        <v>2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323"/>
      <c r="C64" s="17" t="s">
        <v>81</v>
      </c>
      <c r="D64" s="16" t="s">
        <v>38</v>
      </c>
      <c r="E64" s="10">
        <v>31</v>
      </c>
      <c r="F64" s="17">
        <v>2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>
        <v>0</v>
      </c>
      <c r="X64" s="20" t="e">
        <v>#DIV/0!</v>
      </c>
      <c r="Y64" s="20" t="e">
        <v>#DIV/0!</v>
      </c>
      <c r="Z64" s="20">
        <v>0</v>
      </c>
    </row>
    <row r="65" spans="1:26" ht="15.75" x14ac:dyDescent="0.25">
      <c r="A65" s="255" t="s">
        <v>65</v>
      </c>
      <c r="B65" s="255"/>
      <c r="C65" s="255"/>
      <c r="D65" s="255"/>
      <c r="E65" s="10">
        <v>31</v>
      </c>
      <c r="F65" s="29">
        <v>311</v>
      </c>
      <c r="G65" s="29">
        <v>256</v>
      </c>
      <c r="H65" s="29">
        <v>1929</v>
      </c>
      <c r="I65" s="29">
        <v>646</v>
      </c>
      <c r="J65" s="28">
        <v>2831</v>
      </c>
      <c r="K65" s="29">
        <v>408</v>
      </c>
      <c r="L65" s="29">
        <v>2007</v>
      </c>
      <c r="M65" s="28">
        <v>202</v>
      </c>
      <c r="N65" s="29">
        <v>116</v>
      </c>
      <c r="O65" s="29">
        <v>86</v>
      </c>
      <c r="P65" s="28">
        <v>2617</v>
      </c>
      <c r="Q65" s="29">
        <v>7349</v>
      </c>
      <c r="R65" s="29">
        <v>56</v>
      </c>
      <c r="S65" s="29">
        <v>7489</v>
      </c>
      <c r="T65" s="28">
        <v>214</v>
      </c>
      <c r="U65" s="28">
        <v>2209</v>
      </c>
      <c r="V65" s="30">
        <v>241.58064516129033</v>
      </c>
      <c r="W65" s="30">
        <v>77.678664039000111</v>
      </c>
      <c r="X65" s="30">
        <v>3.3902218198279765</v>
      </c>
      <c r="Y65" s="30">
        <v>0.97419646899049328</v>
      </c>
      <c r="Z65" s="30">
        <v>7.102893890675241</v>
      </c>
    </row>
    <row r="66" spans="1:26" ht="15.75" x14ac:dyDescent="0.25">
      <c r="A66" s="31"/>
      <c r="B66" s="108"/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x14ac:dyDescent="0.25">
      <c r="A67" s="33" t="s">
        <v>66</v>
      </c>
      <c r="B67" s="34"/>
      <c r="C67" s="32"/>
      <c r="D67" s="32"/>
      <c r="E67" s="1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customHeight="1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23</v>
      </c>
      <c r="X68" s="8" t="s">
        <v>24</v>
      </c>
      <c r="Y68" s="8" t="s">
        <v>25</v>
      </c>
      <c r="Z68" s="8" t="s">
        <v>26</v>
      </c>
    </row>
    <row r="69" spans="1:26" ht="15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" customHeight="1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31</v>
      </c>
      <c r="F72" s="11">
        <v>2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>
        <v>0</v>
      </c>
      <c r="X72" s="35" t="e">
        <v>#DIV/0!</v>
      </c>
      <c r="Y72" s="36" t="e">
        <v>#DIV/0!</v>
      </c>
      <c r="Z72" s="35">
        <v>0</v>
      </c>
    </row>
    <row r="73" spans="1:26" ht="15" customHeight="1" x14ac:dyDescent="0.25">
      <c r="A73" s="247"/>
      <c r="B73" s="246"/>
      <c r="C73" s="17" t="s">
        <v>69</v>
      </c>
      <c r="D73" s="17"/>
      <c r="E73" s="10">
        <v>31</v>
      </c>
      <c r="F73" s="17">
        <v>2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>
        <v>0</v>
      </c>
    </row>
    <row r="74" spans="1:26" ht="15.75" x14ac:dyDescent="0.25">
      <c r="A74" s="245">
        <v>2</v>
      </c>
      <c r="B74" s="246"/>
      <c r="C74" s="11" t="s">
        <v>70</v>
      </c>
      <c r="D74" s="11" t="s">
        <v>48</v>
      </c>
      <c r="E74" s="10">
        <v>31</v>
      </c>
      <c r="F74" s="11">
        <v>2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>
        <v>0</v>
      </c>
      <c r="X74" s="15" t="e">
        <v>#DIV/0!</v>
      </c>
      <c r="Y74" s="14" t="e">
        <v>#DIV/0!</v>
      </c>
      <c r="Z74" s="15">
        <v>0</v>
      </c>
    </row>
    <row r="75" spans="1:26" ht="15.75" x14ac:dyDescent="0.25">
      <c r="A75" s="247"/>
      <c r="B75" s="246"/>
      <c r="C75" s="17" t="s">
        <v>70</v>
      </c>
      <c r="D75" s="17"/>
      <c r="E75" s="10">
        <v>31</v>
      </c>
      <c r="F75" s="17">
        <v>2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>
        <v>0</v>
      </c>
      <c r="X75" s="20" t="e">
        <v>#DIV/0!</v>
      </c>
      <c r="Y75" s="20" t="e">
        <v>#DIV/0!</v>
      </c>
      <c r="Z75" s="20">
        <v>0</v>
      </c>
    </row>
    <row r="76" spans="1:26" ht="15.75" x14ac:dyDescent="0.25">
      <c r="A76" s="245">
        <v>3</v>
      </c>
      <c r="B76" s="246"/>
      <c r="C76" s="11" t="s">
        <v>63</v>
      </c>
      <c r="D76" s="11"/>
      <c r="E76" s="10">
        <v>31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x14ac:dyDescent="0.25">
      <c r="A77" s="247"/>
      <c r="B77" s="247"/>
      <c r="C77" s="17" t="s">
        <v>63</v>
      </c>
      <c r="D77" s="17"/>
      <c r="E77" s="10">
        <v>31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x14ac:dyDescent="0.25">
      <c r="A78" s="105" t="s">
        <v>71</v>
      </c>
      <c r="B78" s="105"/>
      <c r="C78" s="105"/>
      <c r="D78" s="105"/>
      <c r="E78" s="10">
        <v>31</v>
      </c>
      <c r="F78" s="29">
        <v>4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>
        <v>0</v>
      </c>
      <c r="X78" s="30" t="e">
        <v>#DIV/0!</v>
      </c>
      <c r="Y78" s="30" t="e">
        <v>#DIV/0!</v>
      </c>
      <c r="Z78" s="30">
        <v>0</v>
      </c>
    </row>
    <row r="79" spans="1:26" ht="18.75" x14ac:dyDescent="0.25">
      <c r="A79" s="106"/>
      <c r="B79" s="106"/>
      <c r="C79" s="106"/>
      <c r="D79" s="106"/>
      <c r="E79" s="1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23</v>
      </c>
      <c r="X80" s="8" t="s">
        <v>24</v>
      </c>
      <c r="Y80" s="8" t="s">
        <v>25</v>
      </c>
      <c r="Z80" s="8" t="s">
        <v>26</v>
      </c>
    </row>
    <row r="81" spans="1:26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26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26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" customHeight="1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31</v>
      </c>
      <c r="F84" s="10">
        <v>18</v>
      </c>
      <c r="G84" s="10">
        <v>23</v>
      </c>
      <c r="H84" s="10">
        <v>157</v>
      </c>
      <c r="I84" s="10">
        <v>18</v>
      </c>
      <c r="J84" s="11">
        <v>198</v>
      </c>
      <c r="K84" s="10">
        <v>76</v>
      </c>
      <c r="L84" s="10">
        <v>101</v>
      </c>
      <c r="M84" s="11">
        <v>6</v>
      </c>
      <c r="N84" s="10">
        <v>1</v>
      </c>
      <c r="O84" s="10">
        <v>5</v>
      </c>
      <c r="P84" s="11">
        <v>183</v>
      </c>
      <c r="Q84" s="10">
        <v>667</v>
      </c>
      <c r="R84" s="10">
        <v>2</v>
      </c>
      <c r="S84" s="10">
        <v>720</v>
      </c>
      <c r="T84" s="11">
        <v>15</v>
      </c>
      <c r="U84" s="11">
        <v>107</v>
      </c>
      <c r="V84" s="15">
        <v>23.225806451612904</v>
      </c>
      <c r="W84" s="15">
        <v>129.03225806451613</v>
      </c>
      <c r="X84" s="15">
        <v>6.7289719626168223</v>
      </c>
      <c r="Y84" s="14">
        <v>-1.5140186915887852</v>
      </c>
      <c r="Z84" s="15">
        <v>5.9444444444444446</v>
      </c>
    </row>
    <row r="85" spans="1:26" ht="15" customHeight="1" x14ac:dyDescent="0.25">
      <c r="A85" s="247"/>
      <c r="B85" s="246"/>
      <c r="C85" s="17" t="s">
        <v>69</v>
      </c>
      <c r="D85" s="17"/>
      <c r="E85" s="10">
        <v>31</v>
      </c>
      <c r="F85" s="41">
        <v>18</v>
      </c>
      <c r="G85" s="17">
        <v>23</v>
      </c>
      <c r="H85" s="17">
        <v>157</v>
      </c>
      <c r="I85" s="17">
        <v>18</v>
      </c>
      <c r="J85" s="17">
        <v>198</v>
      </c>
      <c r="K85" s="17">
        <v>76</v>
      </c>
      <c r="L85" s="17">
        <v>101</v>
      </c>
      <c r="M85" s="17">
        <v>6</v>
      </c>
      <c r="N85" s="17">
        <v>1</v>
      </c>
      <c r="O85" s="17">
        <v>5</v>
      </c>
      <c r="P85" s="17">
        <v>183</v>
      </c>
      <c r="Q85" s="17">
        <v>667</v>
      </c>
      <c r="R85" s="17">
        <v>2</v>
      </c>
      <c r="S85" s="17">
        <v>720</v>
      </c>
      <c r="T85" s="17">
        <v>15</v>
      </c>
      <c r="U85" s="17">
        <v>107</v>
      </c>
      <c r="V85" s="20">
        <v>23.225806451612904</v>
      </c>
      <c r="W85" s="20">
        <v>129.03225806451613</v>
      </c>
      <c r="X85" s="20">
        <v>6.7289719626168223</v>
      </c>
      <c r="Y85" s="20">
        <v>-1.5140186915887852</v>
      </c>
      <c r="Z85" s="20">
        <v>5.9444444444444446</v>
      </c>
    </row>
    <row r="86" spans="1:26" ht="15" customHeight="1" x14ac:dyDescent="0.25">
      <c r="A86" s="141"/>
      <c r="B86" s="246"/>
      <c r="C86" s="112"/>
      <c r="D86" s="17"/>
      <c r="E86" s="10"/>
      <c r="F86" s="4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20"/>
      <c r="W86" s="20"/>
      <c r="X86" s="20"/>
      <c r="Y86" s="20"/>
      <c r="Z86" s="20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31</v>
      </c>
      <c r="F87" s="10">
        <v>2</v>
      </c>
      <c r="G87" s="11">
        <v>0</v>
      </c>
      <c r="H87" s="11">
        <v>0</v>
      </c>
      <c r="I87" s="11">
        <v>1</v>
      </c>
      <c r="J87" s="11">
        <v>1</v>
      </c>
      <c r="K87" s="11">
        <v>0</v>
      </c>
      <c r="L87" s="11">
        <v>1</v>
      </c>
      <c r="M87" s="11">
        <v>0</v>
      </c>
      <c r="N87" s="11">
        <v>0</v>
      </c>
      <c r="O87" s="11">
        <v>0</v>
      </c>
      <c r="P87" s="11">
        <v>1</v>
      </c>
      <c r="Q87" s="11">
        <v>2</v>
      </c>
      <c r="R87" s="11">
        <v>0</v>
      </c>
      <c r="S87" s="11">
        <v>1</v>
      </c>
      <c r="T87" s="11">
        <v>0</v>
      </c>
      <c r="U87" s="11">
        <v>1</v>
      </c>
      <c r="V87" s="15">
        <v>3.2258064516129031E-2</v>
      </c>
      <c r="W87" s="15">
        <v>1.6129032258064515</v>
      </c>
      <c r="X87" s="15">
        <v>1</v>
      </c>
      <c r="Y87" s="14">
        <v>61</v>
      </c>
      <c r="Z87" s="15">
        <v>0.5</v>
      </c>
    </row>
    <row r="88" spans="1:26" ht="15.75" x14ac:dyDescent="0.25">
      <c r="A88" s="246"/>
      <c r="B88" s="246"/>
      <c r="C88" s="249"/>
      <c r="D88" s="10" t="s">
        <v>38</v>
      </c>
      <c r="E88" s="10">
        <v>31</v>
      </c>
      <c r="F88" s="10">
        <v>4</v>
      </c>
      <c r="G88" s="11">
        <v>4</v>
      </c>
      <c r="H88" s="11">
        <v>3</v>
      </c>
      <c r="I88" s="11">
        <v>55</v>
      </c>
      <c r="J88" s="11">
        <v>62</v>
      </c>
      <c r="K88" s="11">
        <v>56</v>
      </c>
      <c r="L88" s="11">
        <v>6</v>
      </c>
      <c r="M88" s="11">
        <v>0</v>
      </c>
      <c r="N88" s="11">
        <v>0</v>
      </c>
      <c r="O88" s="11">
        <v>0</v>
      </c>
      <c r="P88" s="11">
        <v>62</v>
      </c>
      <c r="Q88" s="11">
        <v>8</v>
      </c>
      <c r="R88" s="11">
        <v>0</v>
      </c>
      <c r="S88" s="11">
        <v>58</v>
      </c>
      <c r="T88" s="11">
        <v>0</v>
      </c>
      <c r="U88" s="11">
        <v>6</v>
      </c>
      <c r="V88" s="15">
        <v>1.8709677419354838</v>
      </c>
      <c r="W88" s="15">
        <v>46.774193548387096</v>
      </c>
      <c r="X88" s="15">
        <v>9.6666666666666661</v>
      </c>
      <c r="Y88" s="14">
        <v>11</v>
      </c>
      <c r="Z88" s="15">
        <v>1.5</v>
      </c>
    </row>
    <row r="89" spans="1:26" ht="15.75" x14ac:dyDescent="0.25">
      <c r="A89" s="246"/>
      <c r="B89" s="246"/>
      <c r="C89" s="250"/>
      <c r="D89" s="10" t="s">
        <v>34</v>
      </c>
      <c r="E89" s="10">
        <v>31</v>
      </c>
      <c r="F89" s="10">
        <v>10</v>
      </c>
      <c r="G89" s="11">
        <v>2</v>
      </c>
      <c r="H89" s="11">
        <v>3</v>
      </c>
      <c r="I89" s="11">
        <v>110</v>
      </c>
      <c r="J89" s="11">
        <v>115</v>
      </c>
      <c r="K89" s="11">
        <v>5</v>
      </c>
      <c r="L89" s="11">
        <v>108</v>
      </c>
      <c r="M89" s="11">
        <v>0</v>
      </c>
      <c r="N89" s="11">
        <v>0</v>
      </c>
      <c r="O89" s="11">
        <v>0</v>
      </c>
      <c r="P89" s="11">
        <v>113</v>
      </c>
      <c r="Q89" s="11">
        <v>180</v>
      </c>
      <c r="R89" s="11">
        <v>3</v>
      </c>
      <c r="S89" s="11">
        <v>114</v>
      </c>
      <c r="T89" s="11">
        <v>2</v>
      </c>
      <c r="U89" s="11">
        <v>108</v>
      </c>
      <c r="V89" s="15">
        <v>3.6774193548387095</v>
      </c>
      <c r="W89" s="15">
        <v>36.774193548387096</v>
      </c>
      <c r="X89" s="15">
        <v>1.0555555555555556</v>
      </c>
      <c r="Y89" s="14">
        <v>1.8148148148148149</v>
      </c>
      <c r="Z89" s="15">
        <v>10.8</v>
      </c>
    </row>
    <row r="90" spans="1:26" ht="15.75" x14ac:dyDescent="0.25">
      <c r="A90" s="247"/>
      <c r="B90" s="247"/>
      <c r="C90" s="17" t="s">
        <v>73</v>
      </c>
      <c r="D90" s="17"/>
      <c r="E90" s="10">
        <v>31</v>
      </c>
      <c r="F90" s="17">
        <v>16</v>
      </c>
      <c r="G90" s="17">
        <v>6</v>
      </c>
      <c r="H90" s="17">
        <v>6</v>
      </c>
      <c r="I90" s="17">
        <v>166</v>
      </c>
      <c r="J90" s="17">
        <v>178</v>
      </c>
      <c r="K90" s="17">
        <v>61</v>
      </c>
      <c r="L90" s="17">
        <v>115</v>
      </c>
      <c r="M90" s="17">
        <v>0</v>
      </c>
      <c r="N90" s="17">
        <v>0</v>
      </c>
      <c r="O90" s="17">
        <v>0</v>
      </c>
      <c r="P90" s="17">
        <v>176</v>
      </c>
      <c r="Q90" s="17">
        <v>190</v>
      </c>
      <c r="R90" s="17">
        <v>3</v>
      </c>
      <c r="S90" s="17">
        <v>173</v>
      </c>
      <c r="T90" s="17">
        <v>2</v>
      </c>
      <c r="U90" s="17">
        <v>115</v>
      </c>
      <c r="V90" s="20">
        <v>5.580645161290323</v>
      </c>
      <c r="W90" s="20">
        <v>34.87903225806452</v>
      </c>
      <c r="X90" s="20">
        <v>1.5043478260869565</v>
      </c>
      <c r="Y90" s="20">
        <v>2.8086956521739124</v>
      </c>
      <c r="Z90" s="20">
        <v>7.1875</v>
      </c>
    </row>
    <row r="91" spans="1:26" ht="15.75" x14ac:dyDescent="0.25">
      <c r="A91" s="105" t="s">
        <v>74</v>
      </c>
      <c r="B91" s="105"/>
      <c r="C91" s="105"/>
      <c r="D91" s="105"/>
      <c r="E91" s="10">
        <v>31</v>
      </c>
      <c r="F91" s="29">
        <v>34</v>
      </c>
      <c r="G91" s="29">
        <v>29</v>
      </c>
      <c r="H91" s="29">
        <v>163</v>
      </c>
      <c r="I91" s="29">
        <v>184</v>
      </c>
      <c r="J91" s="28">
        <v>376</v>
      </c>
      <c r="K91" s="29">
        <v>137</v>
      </c>
      <c r="L91" s="29">
        <v>216</v>
      </c>
      <c r="M91" s="28">
        <v>6</v>
      </c>
      <c r="N91" s="29">
        <v>1</v>
      </c>
      <c r="O91" s="29">
        <v>5</v>
      </c>
      <c r="P91" s="28">
        <v>359</v>
      </c>
      <c r="Q91" s="29">
        <v>857</v>
      </c>
      <c r="R91" s="29">
        <v>5</v>
      </c>
      <c r="S91" s="29">
        <v>893</v>
      </c>
      <c r="T91" s="28">
        <v>17</v>
      </c>
      <c r="U91" s="28">
        <v>222</v>
      </c>
      <c r="V91" s="29">
        <v>28.806451612903224</v>
      </c>
      <c r="W91" s="30">
        <v>84.724857685009482</v>
      </c>
      <c r="X91" s="30">
        <v>4.0225225225225225</v>
      </c>
      <c r="Y91" s="30">
        <v>0.72522522522522548</v>
      </c>
      <c r="Z91" s="30">
        <v>6.5294117647058822</v>
      </c>
    </row>
    <row r="92" spans="1:26" ht="15.75" x14ac:dyDescent="0.25">
      <c r="A92" s="31"/>
      <c r="B92"/>
      <c r="C92"/>
      <c r="D92" s="32"/>
      <c r="E92" s="10"/>
      <c r="F92"/>
      <c r="G92">
        <v>61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ht="15" customHeight="1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23</v>
      </c>
      <c r="X93" s="8" t="s">
        <v>24</v>
      </c>
      <c r="Y93" s="8" t="s">
        <v>25</v>
      </c>
      <c r="Z93" s="8" t="s">
        <v>26</v>
      </c>
    </row>
    <row r="94" spans="1:26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26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26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6" ht="15" customHeight="1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31</v>
      </c>
      <c r="F97" s="10">
        <v>14</v>
      </c>
      <c r="G97" s="11">
        <v>5</v>
      </c>
      <c r="H97" s="11">
        <v>14</v>
      </c>
      <c r="I97" s="11">
        <v>94</v>
      </c>
      <c r="J97" s="11">
        <v>113</v>
      </c>
      <c r="K97" s="11">
        <v>85</v>
      </c>
      <c r="L97" s="11">
        <v>0</v>
      </c>
      <c r="M97" s="11">
        <v>20</v>
      </c>
      <c r="N97" s="11">
        <v>4</v>
      </c>
      <c r="O97" s="11">
        <v>16</v>
      </c>
      <c r="P97" s="11">
        <v>105</v>
      </c>
      <c r="Q97" s="11">
        <v>146</v>
      </c>
      <c r="R97" s="11">
        <v>1</v>
      </c>
      <c r="S97" s="11">
        <v>277</v>
      </c>
      <c r="T97" s="11">
        <v>8</v>
      </c>
      <c r="U97" s="11">
        <v>20</v>
      </c>
      <c r="V97" s="15">
        <v>8.935483870967742</v>
      </c>
      <c r="W97" s="15">
        <v>63.824884792626726</v>
      </c>
      <c r="X97" s="15">
        <v>13.85</v>
      </c>
      <c r="Y97" s="14">
        <v>7.85</v>
      </c>
      <c r="Z97" s="15">
        <v>1.4285714285714286</v>
      </c>
    </row>
    <row r="98" spans="1:26" ht="15" customHeight="1" x14ac:dyDescent="0.25">
      <c r="A98" s="247"/>
      <c r="B98" s="260"/>
      <c r="C98" s="17" t="s">
        <v>76</v>
      </c>
      <c r="D98" s="17" t="s">
        <v>48</v>
      </c>
      <c r="E98" s="10">
        <v>31</v>
      </c>
      <c r="F98" s="17">
        <v>14</v>
      </c>
      <c r="G98" s="17">
        <v>5</v>
      </c>
      <c r="H98" s="17">
        <v>14</v>
      </c>
      <c r="I98" s="17">
        <v>94</v>
      </c>
      <c r="J98" s="17">
        <v>113</v>
      </c>
      <c r="K98" s="17">
        <v>85</v>
      </c>
      <c r="L98" s="17">
        <v>0</v>
      </c>
      <c r="M98" s="17">
        <v>20</v>
      </c>
      <c r="N98" s="17">
        <v>4</v>
      </c>
      <c r="O98" s="17">
        <v>16</v>
      </c>
      <c r="P98" s="17">
        <v>105</v>
      </c>
      <c r="Q98" s="17">
        <v>146</v>
      </c>
      <c r="R98" s="17">
        <v>1</v>
      </c>
      <c r="S98" s="17">
        <v>277</v>
      </c>
      <c r="T98" s="17">
        <v>8</v>
      </c>
      <c r="U98" s="17">
        <v>20</v>
      </c>
      <c r="V98" s="20">
        <v>8.935483870967742</v>
      </c>
      <c r="W98" s="20">
        <v>63.824884792626726</v>
      </c>
      <c r="X98" s="20">
        <v>13.85</v>
      </c>
      <c r="Y98" s="20">
        <v>7.85</v>
      </c>
      <c r="Z98" s="20">
        <v>1.4285714285714286</v>
      </c>
    </row>
    <row r="99" spans="1:26" ht="15.75" x14ac:dyDescent="0.25">
      <c r="A99" s="245">
        <v>2</v>
      </c>
      <c r="B99" s="260"/>
      <c r="C99" s="10" t="s">
        <v>77</v>
      </c>
      <c r="D99" s="10" t="s">
        <v>48</v>
      </c>
      <c r="E99" s="10">
        <v>31</v>
      </c>
      <c r="F99" s="10">
        <v>5</v>
      </c>
      <c r="G99" s="11">
        <v>2</v>
      </c>
      <c r="H99" s="11">
        <v>67</v>
      </c>
      <c r="I99" s="11">
        <v>15</v>
      </c>
      <c r="J99" s="11">
        <v>84</v>
      </c>
      <c r="K99" s="11">
        <v>72</v>
      </c>
      <c r="L99" s="11">
        <v>1</v>
      </c>
      <c r="M99" s="11">
        <v>8</v>
      </c>
      <c r="N99" s="11">
        <v>7</v>
      </c>
      <c r="O99" s="11">
        <v>1</v>
      </c>
      <c r="P99" s="11">
        <v>81</v>
      </c>
      <c r="Q99" s="11">
        <v>13</v>
      </c>
      <c r="R99" s="11">
        <v>5</v>
      </c>
      <c r="S99" s="11">
        <v>116</v>
      </c>
      <c r="T99" s="11">
        <v>3</v>
      </c>
      <c r="U99" s="11">
        <v>9</v>
      </c>
      <c r="V99" s="15">
        <v>3.7419354838709675</v>
      </c>
      <c r="W99" s="15">
        <v>74.838709677419345</v>
      </c>
      <c r="X99" s="15">
        <v>12.888888888888889</v>
      </c>
      <c r="Y99" s="14">
        <v>4.3333333333333339</v>
      </c>
      <c r="Z99" s="15">
        <v>1.8</v>
      </c>
    </row>
    <row r="100" spans="1:26" ht="15.75" x14ac:dyDescent="0.25">
      <c r="A100" s="247"/>
      <c r="B100" s="260"/>
      <c r="C100" s="17" t="s">
        <v>77</v>
      </c>
      <c r="D100" s="17" t="s">
        <v>48</v>
      </c>
      <c r="E100" s="10">
        <v>31</v>
      </c>
      <c r="F100" s="17">
        <v>5</v>
      </c>
      <c r="G100" s="17">
        <v>2</v>
      </c>
      <c r="H100" s="17">
        <v>67</v>
      </c>
      <c r="I100" s="17">
        <v>15</v>
      </c>
      <c r="J100" s="17">
        <v>84</v>
      </c>
      <c r="K100" s="17">
        <v>72</v>
      </c>
      <c r="L100" s="17">
        <v>1</v>
      </c>
      <c r="M100" s="17">
        <v>8</v>
      </c>
      <c r="N100" s="17">
        <v>7</v>
      </c>
      <c r="O100" s="17">
        <v>1</v>
      </c>
      <c r="P100" s="17">
        <v>81</v>
      </c>
      <c r="Q100" s="17">
        <v>13</v>
      </c>
      <c r="R100" s="17">
        <v>5</v>
      </c>
      <c r="S100" s="17">
        <v>116</v>
      </c>
      <c r="T100" s="17">
        <v>3</v>
      </c>
      <c r="U100" s="17">
        <v>9</v>
      </c>
      <c r="V100" s="20">
        <v>3.7419354838709675</v>
      </c>
      <c r="W100" s="20">
        <v>74.838709677419345</v>
      </c>
      <c r="X100" s="20">
        <v>12.888888888888889</v>
      </c>
      <c r="Y100" s="20">
        <v>4.3333333333333339</v>
      </c>
      <c r="Z100" s="20">
        <v>1.8</v>
      </c>
    </row>
    <row r="101" spans="1:26" ht="15.75" x14ac:dyDescent="0.25">
      <c r="A101" s="245">
        <v>3</v>
      </c>
      <c r="B101" s="260"/>
      <c r="C101" s="10" t="s">
        <v>78</v>
      </c>
      <c r="D101" s="10" t="s">
        <v>48</v>
      </c>
      <c r="E101" s="10">
        <v>31</v>
      </c>
      <c r="F101" s="10">
        <v>3</v>
      </c>
      <c r="G101" s="43">
        <v>3</v>
      </c>
      <c r="H101" s="43">
        <v>7</v>
      </c>
      <c r="I101" s="43">
        <v>10</v>
      </c>
      <c r="J101" s="11">
        <v>20</v>
      </c>
      <c r="K101" s="43">
        <v>13</v>
      </c>
      <c r="L101" s="43">
        <v>1</v>
      </c>
      <c r="M101" s="11">
        <v>3</v>
      </c>
      <c r="N101" s="43">
        <v>0</v>
      </c>
      <c r="O101" s="43">
        <v>3</v>
      </c>
      <c r="P101" s="11">
        <v>17</v>
      </c>
      <c r="Q101" s="43">
        <v>40</v>
      </c>
      <c r="R101" s="43">
        <v>0</v>
      </c>
      <c r="S101" s="43">
        <v>66</v>
      </c>
      <c r="T101" s="11">
        <v>3</v>
      </c>
      <c r="U101" s="11">
        <v>4</v>
      </c>
      <c r="V101" s="15">
        <v>2.129032258064516</v>
      </c>
      <c r="W101" s="15">
        <v>70.967741935483858</v>
      </c>
      <c r="X101" s="15">
        <v>16.5</v>
      </c>
      <c r="Y101" s="14">
        <v>6.7500000000000009</v>
      </c>
      <c r="Z101" s="15">
        <v>1.3333333333333333</v>
      </c>
    </row>
    <row r="102" spans="1:26" ht="15.75" x14ac:dyDescent="0.25">
      <c r="A102" s="247"/>
      <c r="B102" s="260"/>
      <c r="C102" s="17" t="s">
        <v>78</v>
      </c>
      <c r="D102" s="17" t="s">
        <v>48</v>
      </c>
      <c r="E102" s="10">
        <v>31</v>
      </c>
      <c r="F102" s="17">
        <v>3</v>
      </c>
      <c r="G102" s="17">
        <v>3</v>
      </c>
      <c r="H102" s="17">
        <v>7</v>
      </c>
      <c r="I102" s="17">
        <v>10</v>
      </c>
      <c r="J102" s="17">
        <v>20</v>
      </c>
      <c r="K102" s="17">
        <v>13</v>
      </c>
      <c r="L102" s="17">
        <v>1</v>
      </c>
      <c r="M102" s="17">
        <v>3</v>
      </c>
      <c r="N102" s="17">
        <v>0</v>
      </c>
      <c r="O102" s="17">
        <v>3</v>
      </c>
      <c r="P102" s="17">
        <v>17</v>
      </c>
      <c r="Q102" s="17">
        <v>40</v>
      </c>
      <c r="R102" s="17">
        <v>0</v>
      </c>
      <c r="S102" s="17">
        <v>66</v>
      </c>
      <c r="T102" s="17">
        <v>3</v>
      </c>
      <c r="U102" s="17">
        <v>4</v>
      </c>
      <c r="V102" s="20">
        <v>2.129032258064516</v>
      </c>
      <c r="W102" s="20">
        <v>70.967741935483858</v>
      </c>
      <c r="X102" s="20">
        <v>16.5</v>
      </c>
      <c r="Y102" s="20">
        <v>6.7500000000000009</v>
      </c>
      <c r="Z102" s="20">
        <v>1.3333333333333333</v>
      </c>
    </row>
    <row r="103" spans="1:26" ht="15.75" x14ac:dyDescent="0.25">
      <c r="A103" s="245">
        <v>4</v>
      </c>
      <c r="B103" s="260"/>
      <c r="C103" s="11" t="s">
        <v>79</v>
      </c>
      <c r="D103" s="11" t="s">
        <v>48</v>
      </c>
      <c r="E103" s="10">
        <v>31</v>
      </c>
      <c r="F103" s="11">
        <v>5</v>
      </c>
      <c r="G103" s="11">
        <v>5</v>
      </c>
      <c r="H103" s="11">
        <v>5</v>
      </c>
      <c r="I103" s="11">
        <v>19</v>
      </c>
      <c r="J103" s="11">
        <v>29</v>
      </c>
      <c r="K103" s="11">
        <v>19</v>
      </c>
      <c r="L103" s="11">
        <v>0</v>
      </c>
      <c r="M103" s="11">
        <v>6</v>
      </c>
      <c r="N103" s="11">
        <v>0</v>
      </c>
      <c r="O103" s="11">
        <v>6</v>
      </c>
      <c r="P103" s="11">
        <v>25</v>
      </c>
      <c r="Q103" s="11">
        <v>54</v>
      </c>
      <c r="R103" s="11">
        <v>0</v>
      </c>
      <c r="S103" s="11">
        <v>123</v>
      </c>
      <c r="T103" s="11">
        <v>4</v>
      </c>
      <c r="U103" s="11">
        <v>6</v>
      </c>
      <c r="V103" s="15">
        <v>3.967741935483871</v>
      </c>
      <c r="W103" s="15">
        <v>79.354838709677423</v>
      </c>
      <c r="X103" s="15">
        <v>20.5</v>
      </c>
      <c r="Y103" s="14">
        <v>5.333333333333333</v>
      </c>
      <c r="Z103" s="15">
        <v>1.2</v>
      </c>
    </row>
    <row r="104" spans="1:26" ht="15.75" x14ac:dyDescent="0.25">
      <c r="A104" s="247"/>
      <c r="B104" s="260"/>
      <c r="C104" s="17" t="s">
        <v>79</v>
      </c>
      <c r="D104" s="17" t="s">
        <v>48</v>
      </c>
      <c r="E104" s="10">
        <v>31</v>
      </c>
      <c r="F104" s="17">
        <v>5</v>
      </c>
      <c r="G104" s="17">
        <v>5</v>
      </c>
      <c r="H104" s="17">
        <v>5</v>
      </c>
      <c r="I104" s="17">
        <v>19</v>
      </c>
      <c r="J104" s="17">
        <v>29</v>
      </c>
      <c r="K104" s="17">
        <v>19</v>
      </c>
      <c r="L104" s="17">
        <v>0</v>
      </c>
      <c r="M104" s="17">
        <v>6</v>
      </c>
      <c r="N104" s="17">
        <v>0</v>
      </c>
      <c r="O104" s="17">
        <v>6</v>
      </c>
      <c r="P104" s="17">
        <v>25</v>
      </c>
      <c r="Q104" s="17">
        <v>54</v>
      </c>
      <c r="R104" s="17">
        <v>0</v>
      </c>
      <c r="S104" s="17">
        <v>123</v>
      </c>
      <c r="T104" s="17">
        <v>4</v>
      </c>
      <c r="U104" s="17">
        <v>6</v>
      </c>
      <c r="V104" s="20">
        <v>3.967741935483871</v>
      </c>
      <c r="W104" s="20">
        <v>79.354838709677423</v>
      </c>
      <c r="X104" s="20">
        <v>20.5</v>
      </c>
      <c r="Y104" s="20">
        <v>5.333333333333333</v>
      </c>
      <c r="Z104" s="20">
        <v>1.2</v>
      </c>
    </row>
    <row r="105" spans="1:26" ht="15.75" x14ac:dyDescent="0.25">
      <c r="A105" s="245">
        <v>5</v>
      </c>
      <c r="B105" s="260"/>
      <c r="C105" s="11" t="s">
        <v>80</v>
      </c>
      <c r="D105" s="11" t="s">
        <v>48</v>
      </c>
      <c r="E105" s="10">
        <v>31</v>
      </c>
      <c r="F105" s="11">
        <v>4</v>
      </c>
      <c r="G105" s="11">
        <v>4</v>
      </c>
      <c r="H105" s="11">
        <v>25</v>
      </c>
      <c r="I105" s="11">
        <v>8</v>
      </c>
      <c r="J105" s="11">
        <v>37</v>
      </c>
      <c r="K105" s="11">
        <v>24</v>
      </c>
      <c r="L105" s="11">
        <v>1</v>
      </c>
      <c r="M105" s="11">
        <v>10</v>
      </c>
      <c r="N105" s="11">
        <v>5</v>
      </c>
      <c r="O105" s="11">
        <v>5</v>
      </c>
      <c r="P105" s="11">
        <v>35</v>
      </c>
      <c r="Q105" s="11">
        <v>22</v>
      </c>
      <c r="R105" s="11">
        <v>9</v>
      </c>
      <c r="S105" s="11">
        <v>94</v>
      </c>
      <c r="T105" s="11">
        <v>2</v>
      </c>
      <c r="U105" s="11">
        <v>11</v>
      </c>
      <c r="V105" s="15">
        <v>3.032258064516129</v>
      </c>
      <c r="W105" s="15">
        <v>75.806451612903231</v>
      </c>
      <c r="X105" s="15">
        <v>8.545454545454545</v>
      </c>
      <c r="Y105" s="14">
        <v>2.7272727272727271</v>
      </c>
      <c r="Z105" s="15">
        <v>2.75</v>
      </c>
    </row>
    <row r="106" spans="1:26" ht="15.75" x14ac:dyDescent="0.25">
      <c r="A106" s="247"/>
      <c r="B106" s="260"/>
      <c r="C106" s="17" t="s">
        <v>80</v>
      </c>
      <c r="D106" s="17" t="s">
        <v>48</v>
      </c>
      <c r="E106" s="10">
        <v>31</v>
      </c>
      <c r="F106" s="17">
        <v>4</v>
      </c>
      <c r="G106" s="17">
        <v>4</v>
      </c>
      <c r="H106" s="17">
        <v>25</v>
      </c>
      <c r="I106" s="17">
        <v>8</v>
      </c>
      <c r="J106" s="17">
        <v>37</v>
      </c>
      <c r="K106" s="17">
        <v>24</v>
      </c>
      <c r="L106" s="17">
        <v>1</v>
      </c>
      <c r="M106" s="17">
        <v>10</v>
      </c>
      <c r="N106" s="17">
        <v>5</v>
      </c>
      <c r="O106" s="17">
        <v>5</v>
      </c>
      <c r="P106" s="17">
        <v>35</v>
      </c>
      <c r="Q106" s="17">
        <v>22</v>
      </c>
      <c r="R106" s="17">
        <v>9</v>
      </c>
      <c r="S106" s="17">
        <v>94</v>
      </c>
      <c r="T106" s="17">
        <v>2</v>
      </c>
      <c r="U106" s="17">
        <v>11</v>
      </c>
      <c r="V106" s="20">
        <v>3.032258064516129</v>
      </c>
      <c r="W106" s="20">
        <v>75.806451612903231</v>
      </c>
      <c r="X106" s="20">
        <v>8.545454545454545</v>
      </c>
      <c r="Y106" s="20">
        <v>2.7272727272727271</v>
      </c>
      <c r="Z106" s="20">
        <v>2.75</v>
      </c>
    </row>
    <row r="107" spans="1:26" ht="15.75" x14ac:dyDescent="0.25">
      <c r="A107" s="245">
        <v>6</v>
      </c>
      <c r="B107" s="260"/>
      <c r="C107" s="11" t="s">
        <v>70</v>
      </c>
      <c r="D107" s="11" t="s">
        <v>48</v>
      </c>
      <c r="E107" s="10">
        <v>31</v>
      </c>
      <c r="F107" s="11">
        <v>2</v>
      </c>
      <c r="G107" s="11">
        <v>1</v>
      </c>
      <c r="H107" s="11">
        <v>5</v>
      </c>
      <c r="I107" s="11">
        <v>8</v>
      </c>
      <c r="J107" s="11">
        <v>14</v>
      </c>
      <c r="K107" s="11">
        <v>6</v>
      </c>
      <c r="L107" s="11">
        <v>0</v>
      </c>
      <c r="M107" s="11">
        <v>6</v>
      </c>
      <c r="N107" s="11">
        <v>4</v>
      </c>
      <c r="O107" s="11">
        <v>2</v>
      </c>
      <c r="P107" s="11">
        <v>12</v>
      </c>
      <c r="Q107" s="11">
        <v>12</v>
      </c>
      <c r="R107" s="11">
        <v>0</v>
      </c>
      <c r="S107" s="11">
        <v>37</v>
      </c>
      <c r="T107" s="11">
        <v>2</v>
      </c>
      <c r="U107" s="11">
        <v>6</v>
      </c>
      <c r="V107" s="44">
        <v>1.1935483870967742</v>
      </c>
      <c r="W107" s="44">
        <v>59.677419354838712</v>
      </c>
      <c r="X107" s="44">
        <v>6.166666666666667</v>
      </c>
      <c r="Y107" s="45">
        <v>4.166666666666667</v>
      </c>
      <c r="Z107" s="44">
        <v>3</v>
      </c>
    </row>
    <row r="108" spans="1:26" ht="15.75" x14ac:dyDescent="0.25">
      <c r="A108" s="247"/>
      <c r="B108" s="260"/>
      <c r="C108" s="17" t="s">
        <v>70</v>
      </c>
      <c r="D108" s="17"/>
      <c r="E108" s="10">
        <v>31</v>
      </c>
      <c r="F108" s="17">
        <v>2</v>
      </c>
      <c r="G108" s="17">
        <v>1</v>
      </c>
      <c r="H108" s="17">
        <v>5</v>
      </c>
      <c r="I108" s="17">
        <v>8</v>
      </c>
      <c r="J108" s="17">
        <v>14</v>
      </c>
      <c r="K108" s="17">
        <v>6</v>
      </c>
      <c r="L108" s="17">
        <v>0</v>
      </c>
      <c r="M108" s="17">
        <v>6</v>
      </c>
      <c r="N108" s="17">
        <v>4</v>
      </c>
      <c r="O108" s="17">
        <v>2</v>
      </c>
      <c r="P108" s="17">
        <v>12</v>
      </c>
      <c r="Q108" s="17">
        <v>12</v>
      </c>
      <c r="R108" s="17">
        <v>0</v>
      </c>
      <c r="S108" s="17">
        <v>37</v>
      </c>
      <c r="T108" s="17">
        <v>2</v>
      </c>
      <c r="U108" s="17">
        <v>6</v>
      </c>
      <c r="V108" s="46">
        <v>1.1935483870967742</v>
      </c>
      <c r="W108" s="46">
        <v>59.677419354838712</v>
      </c>
      <c r="X108" s="46">
        <v>6.166666666666667</v>
      </c>
      <c r="Y108" s="46">
        <v>4.166666666666667</v>
      </c>
      <c r="Z108" s="46">
        <v>3</v>
      </c>
    </row>
    <row r="109" spans="1:26" ht="15.75" x14ac:dyDescent="0.25">
      <c r="A109" s="245">
        <v>7</v>
      </c>
      <c r="B109" s="260"/>
      <c r="C109" s="11" t="s">
        <v>81</v>
      </c>
      <c r="D109" s="11" t="s">
        <v>48</v>
      </c>
      <c r="E109" s="10">
        <v>31</v>
      </c>
      <c r="F109" s="11">
        <v>10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</row>
    <row r="110" spans="1:26" ht="15.75" x14ac:dyDescent="0.25">
      <c r="A110" s="247"/>
      <c r="B110" s="260"/>
      <c r="C110" s="17" t="s">
        <v>81</v>
      </c>
      <c r="D110" s="17" t="s">
        <v>48</v>
      </c>
      <c r="E110" s="10">
        <v>31</v>
      </c>
      <c r="F110" s="17">
        <v>10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>
        <v>0</v>
      </c>
      <c r="X110" s="20" t="e">
        <v>#DIV/0!</v>
      </c>
      <c r="Y110" s="20" t="e">
        <v>#DIV/0!</v>
      </c>
      <c r="Z110" s="20">
        <v>0</v>
      </c>
    </row>
    <row r="111" spans="1:26" ht="15.75" x14ac:dyDescent="0.25">
      <c r="A111" s="245">
        <v>8</v>
      </c>
      <c r="B111" s="260"/>
      <c r="C111" s="11" t="s">
        <v>82</v>
      </c>
      <c r="D111" s="11" t="s">
        <v>38</v>
      </c>
      <c r="E111" s="10">
        <v>31</v>
      </c>
      <c r="F111" s="11"/>
      <c r="G111" s="11">
        <v>3</v>
      </c>
      <c r="H111" s="11">
        <v>240</v>
      </c>
      <c r="I111" s="11">
        <v>2</v>
      </c>
      <c r="J111" s="11">
        <v>245</v>
      </c>
      <c r="K111" s="11">
        <v>231</v>
      </c>
      <c r="L111" s="11">
        <v>1</v>
      </c>
      <c r="M111" s="11">
        <v>8</v>
      </c>
      <c r="N111" s="11">
        <v>8</v>
      </c>
      <c r="O111" s="11">
        <v>0</v>
      </c>
      <c r="P111" s="11">
        <v>240</v>
      </c>
      <c r="Q111" s="11">
        <v>9</v>
      </c>
      <c r="R111" s="11">
        <v>9</v>
      </c>
      <c r="S111" s="11">
        <v>122</v>
      </c>
      <c r="T111" s="11">
        <v>5</v>
      </c>
      <c r="U111" s="11">
        <v>9</v>
      </c>
      <c r="V111" s="15">
        <v>3.935483870967742</v>
      </c>
      <c r="W111" s="15" t="e">
        <v>#DIV/0!</v>
      </c>
      <c r="X111" s="15">
        <v>13.555555555555555</v>
      </c>
      <c r="Y111" s="14">
        <v>-13.555555555555555</v>
      </c>
      <c r="Z111" s="15" t="e">
        <v>#DIV/0!</v>
      </c>
    </row>
    <row r="112" spans="1:26" ht="15.75" x14ac:dyDescent="0.25">
      <c r="A112" s="247"/>
      <c r="B112" s="260"/>
      <c r="C112" s="17" t="s">
        <v>82</v>
      </c>
      <c r="D112" s="17" t="s">
        <v>38</v>
      </c>
      <c r="E112" s="10">
        <v>31</v>
      </c>
      <c r="F112" s="17">
        <v>0</v>
      </c>
      <c r="G112" s="17">
        <v>3</v>
      </c>
      <c r="H112" s="17">
        <v>240</v>
      </c>
      <c r="I112" s="17">
        <v>2</v>
      </c>
      <c r="J112" s="17">
        <v>245</v>
      </c>
      <c r="K112" s="17">
        <v>231</v>
      </c>
      <c r="L112" s="17">
        <v>1</v>
      </c>
      <c r="M112" s="17">
        <v>8</v>
      </c>
      <c r="N112" s="17">
        <v>8</v>
      </c>
      <c r="O112" s="17">
        <v>0</v>
      </c>
      <c r="P112" s="17">
        <v>240</v>
      </c>
      <c r="Q112" s="17">
        <v>9</v>
      </c>
      <c r="R112" s="17">
        <v>9</v>
      </c>
      <c r="S112" s="17">
        <v>122</v>
      </c>
      <c r="T112" s="17">
        <v>5</v>
      </c>
      <c r="U112" s="17">
        <v>9</v>
      </c>
      <c r="V112" s="20">
        <v>3.935483870967742</v>
      </c>
      <c r="W112" s="20" t="e">
        <v>#DIV/0!</v>
      </c>
      <c r="X112" s="20">
        <v>13.555555555555555</v>
      </c>
      <c r="Y112" s="20">
        <v>-13.555555555555555</v>
      </c>
      <c r="Z112" s="20" t="e">
        <v>#DIV/0!</v>
      </c>
    </row>
    <row r="113" spans="1:26" ht="15.75" hidden="1" x14ac:dyDescent="0.25">
      <c r="A113" s="245">
        <v>9</v>
      </c>
      <c r="B113" s="260"/>
      <c r="C113" s="11" t="s">
        <v>64</v>
      </c>
      <c r="D113" s="11" t="s">
        <v>83</v>
      </c>
      <c r="E113" s="10">
        <v>31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</row>
    <row r="114" spans="1:26" ht="15.75" hidden="1" x14ac:dyDescent="0.25">
      <c r="A114" s="247"/>
      <c r="B114" s="260"/>
      <c r="C114" s="17" t="s">
        <v>64</v>
      </c>
      <c r="D114" s="17" t="s">
        <v>83</v>
      </c>
      <c r="E114" s="10">
        <v>31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</row>
    <row r="115" spans="1:26" ht="15.75" hidden="1" x14ac:dyDescent="0.25">
      <c r="A115" s="245">
        <v>10</v>
      </c>
      <c r="B115" s="260"/>
      <c r="C115" s="10" t="s">
        <v>73</v>
      </c>
      <c r="D115" s="10" t="s">
        <v>83</v>
      </c>
      <c r="E115" s="10">
        <v>31</v>
      </c>
      <c r="F115" s="10"/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</row>
    <row r="116" spans="1:26" ht="15.75" hidden="1" x14ac:dyDescent="0.25">
      <c r="A116" s="247"/>
      <c r="B116" s="261"/>
      <c r="C116" s="17" t="s">
        <v>73</v>
      </c>
      <c r="D116" s="17" t="s">
        <v>83</v>
      </c>
      <c r="E116" s="10">
        <v>31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x14ac:dyDescent="0.25">
      <c r="A117" s="232" t="s">
        <v>84</v>
      </c>
      <c r="B117" s="233"/>
      <c r="C117" s="233"/>
      <c r="D117" s="234"/>
      <c r="E117" s="10">
        <v>31</v>
      </c>
      <c r="F117" s="29">
        <v>41</v>
      </c>
      <c r="G117" s="29">
        <v>23</v>
      </c>
      <c r="H117" s="29">
        <v>363</v>
      </c>
      <c r="I117" s="29">
        <v>156</v>
      </c>
      <c r="J117" s="28">
        <v>542</v>
      </c>
      <c r="K117" s="29">
        <v>450</v>
      </c>
      <c r="L117" s="29">
        <v>4</v>
      </c>
      <c r="M117" s="28">
        <v>61</v>
      </c>
      <c r="N117" s="29">
        <v>28</v>
      </c>
      <c r="O117" s="29">
        <v>33</v>
      </c>
      <c r="P117" s="28">
        <v>515</v>
      </c>
      <c r="Q117" s="29">
        <v>296</v>
      </c>
      <c r="R117" s="29">
        <v>24</v>
      </c>
      <c r="S117" s="29">
        <v>835</v>
      </c>
      <c r="T117" s="28">
        <v>27</v>
      </c>
      <c r="U117" s="28">
        <v>65</v>
      </c>
      <c r="V117" s="47">
        <v>26.93548387096774</v>
      </c>
      <c r="W117" s="30">
        <v>65.696302124311558</v>
      </c>
      <c r="X117" s="30">
        <v>12.846153846153847</v>
      </c>
      <c r="Y117" s="30">
        <v>6.7076923076923087</v>
      </c>
      <c r="Z117" s="30">
        <v>1.5853658536585367</v>
      </c>
    </row>
    <row r="118" spans="1:26" ht="15.75" x14ac:dyDescent="0.25">
      <c r="A118" s="235" t="s">
        <v>85</v>
      </c>
      <c r="B118" s="236"/>
      <c r="C118" s="236"/>
      <c r="D118" s="237"/>
      <c r="E118" s="10">
        <v>31</v>
      </c>
      <c r="F118" s="49">
        <v>388</v>
      </c>
      <c r="G118" s="49">
        <v>308</v>
      </c>
      <c r="H118" s="49">
        <v>2455</v>
      </c>
      <c r="I118" s="49">
        <v>986</v>
      </c>
      <c r="J118" s="48">
        <v>3749</v>
      </c>
      <c r="K118" s="49">
        <v>995</v>
      </c>
      <c r="L118" s="49">
        <v>2227</v>
      </c>
      <c r="M118" s="48">
        <v>269</v>
      </c>
      <c r="N118" s="49">
        <v>145</v>
      </c>
      <c r="O118" s="49">
        <v>124</v>
      </c>
      <c r="P118" s="48">
        <v>3491</v>
      </c>
      <c r="Q118" s="49">
        <v>8502</v>
      </c>
      <c r="R118" s="49">
        <v>85</v>
      </c>
      <c r="S118" s="49">
        <v>9217</v>
      </c>
      <c r="T118" s="49">
        <v>258</v>
      </c>
      <c r="U118" s="48">
        <v>2496</v>
      </c>
      <c r="V118" s="50">
        <v>297.32258064516128</v>
      </c>
      <c r="W118" s="51">
        <v>76.62953109411373</v>
      </c>
      <c r="X118" s="51">
        <v>3.6927083333333335</v>
      </c>
      <c r="Y118" s="51">
        <v>1.1262019230769234</v>
      </c>
      <c r="Z118" s="51">
        <v>6.4329896907216497</v>
      </c>
    </row>
  </sheetData>
  <sheetProtection algorithmName="SHA-512" hashValue="0E8JXvGgikQDq9+F1v4xCneKXi56NQLaYfNhr9aPtzx813pQXs76lEZ4eaT4M7tE/43ZH5aZV/hMSfoYCInwkQ==" saltValue="iu9tFBbB1eJ4iAAaDTYuuw==" spinCount="100000" sheet="1" objects="1" scenarios="1"/>
  <mergeCells count="149">
    <mergeCell ref="A117:D117"/>
    <mergeCell ref="A118:D118"/>
    <mergeCell ref="S93:S95"/>
    <mergeCell ref="T93:T95"/>
    <mergeCell ref="U93:U96"/>
    <mergeCell ref="V94:V95"/>
    <mergeCell ref="W94:W95"/>
    <mergeCell ref="X94:X95"/>
    <mergeCell ref="Y94:Y95"/>
    <mergeCell ref="Z94:Z95"/>
    <mergeCell ref="A97:A98"/>
    <mergeCell ref="B97:B116"/>
    <mergeCell ref="A93:A96"/>
    <mergeCell ref="B93:B96"/>
    <mergeCell ref="C93:C96"/>
    <mergeCell ref="D93:D96"/>
    <mergeCell ref="E93:E96"/>
    <mergeCell ref="F93:F96"/>
    <mergeCell ref="G93:G95"/>
    <mergeCell ref="H93:H95"/>
    <mergeCell ref="I93:I95"/>
    <mergeCell ref="K93:K95"/>
    <mergeCell ref="L93:L95"/>
    <mergeCell ref="M93:M95"/>
    <mergeCell ref="N93:N95"/>
    <mergeCell ref="O93:O95"/>
    <mergeCell ref="P93:P95"/>
    <mergeCell ref="Q93:Q95"/>
    <mergeCell ref="R93:R95"/>
    <mergeCell ref="V81:V82"/>
    <mergeCell ref="W81:W82"/>
    <mergeCell ref="X81:X82"/>
    <mergeCell ref="Y81:Y82"/>
    <mergeCell ref="Z81:Z82"/>
    <mergeCell ref="A84:A85"/>
    <mergeCell ref="B84:B90"/>
    <mergeCell ref="A87:A90"/>
    <mergeCell ref="C87:C89"/>
    <mergeCell ref="M80:M82"/>
    <mergeCell ref="N80:N82"/>
    <mergeCell ref="O80:O82"/>
    <mergeCell ref="P80:P82"/>
    <mergeCell ref="Q80:Q82"/>
    <mergeCell ref="R80:R82"/>
    <mergeCell ref="S80:S82"/>
    <mergeCell ref="T80:T82"/>
    <mergeCell ref="U80:U83"/>
    <mergeCell ref="K80:K82"/>
    <mergeCell ref="L80:L82"/>
    <mergeCell ref="T68:T70"/>
    <mergeCell ref="U68:U71"/>
    <mergeCell ref="V69:V70"/>
    <mergeCell ref="W69:W70"/>
    <mergeCell ref="X69:X70"/>
    <mergeCell ref="Y69:Y70"/>
    <mergeCell ref="Z69:Z70"/>
    <mergeCell ref="A72:A73"/>
    <mergeCell ref="B72:B77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B68:B71"/>
    <mergeCell ref="C68:C71"/>
    <mergeCell ref="D68:D71"/>
    <mergeCell ref="E68:E71"/>
    <mergeCell ref="F68:F71"/>
    <mergeCell ref="G68:G70"/>
    <mergeCell ref="H68:H70"/>
    <mergeCell ref="I68:I70"/>
    <mergeCell ref="J68:J70"/>
    <mergeCell ref="A113:A114"/>
    <mergeCell ref="A115:A116"/>
    <mergeCell ref="A99:A100"/>
    <mergeCell ref="A101:A102"/>
    <mergeCell ref="A103:A104"/>
    <mergeCell ref="A105:A106"/>
    <mergeCell ref="A107:A108"/>
    <mergeCell ref="A109:A110"/>
    <mergeCell ref="A111:A112"/>
    <mergeCell ref="J93:J95"/>
    <mergeCell ref="A80:A83"/>
    <mergeCell ref="B80:B83"/>
    <mergeCell ref="C80:C83"/>
    <mergeCell ref="D80:D83"/>
    <mergeCell ref="E80:E83"/>
    <mergeCell ref="F80:F83"/>
    <mergeCell ref="G80:G82"/>
    <mergeCell ref="H80:H82"/>
    <mergeCell ref="I80:I82"/>
    <mergeCell ref="J80:J82"/>
    <mergeCell ref="A74:A75"/>
    <mergeCell ref="A76:A77"/>
    <mergeCell ref="B7:B64"/>
    <mergeCell ref="A30:A32"/>
    <mergeCell ref="A34:A37"/>
    <mergeCell ref="A38:A42"/>
    <mergeCell ref="C38:C41"/>
    <mergeCell ref="A44:A46"/>
    <mergeCell ref="A47:A51"/>
    <mergeCell ref="C47:C50"/>
    <mergeCell ref="A53:A54"/>
    <mergeCell ref="A56:A57"/>
    <mergeCell ref="A59:A62"/>
    <mergeCell ref="A63:A64"/>
    <mergeCell ref="A65:D65"/>
    <mergeCell ref="A68:A71"/>
    <mergeCell ref="C19:C20"/>
    <mergeCell ref="A22:A23"/>
    <mergeCell ref="A25:A26"/>
    <mergeCell ref="A27:A28"/>
    <mergeCell ref="Y4:Y5"/>
    <mergeCell ref="Z4:Z5"/>
    <mergeCell ref="A7:A8"/>
    <mergeCell ref="A9:A10"/>
    <mergeCell ref="A11:A13"/>
    <mergeCell ref="C11:C12"/>
    <mergeCell ref="A14:A17"/>
    <mergeCell ref="C14:C16"/>
    <mergeCell ref="A19:A21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</mergeCells>
  <printOptions horizontalCentered="1"/>
  <pageMargins left="0.39370078740157483" right="0.39370078740157483" top="0.39370078740157483" bottom="0.39370078740157483" header="0.31496062992125984" footer="0.31496062992125984"/>
  <pageSetup paperSize="10000" scale="55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9"/>
  <sheetViews>
    <sheetView topLeftCell="A26" zoomScale="70" zoomScaleNormal="70" workbookViewId="0">
      <selection activeCell="E41" sqref="E41"/>
    </sheetView>
  </sheetViews>
  <sheetFormatPr defaultRowHeight="15" x14ac:dyDescent="0.25"/>
  <cols>
    <col min="2" max="2" width="0" hidden="1" customWidth="1"/>
    <col min="3" max="3" width="20.42578125" bestFit="1" customWidth="1"/>
    <col min="4" max="4" width="16.7109375" customWidth="1"/>
    <col min="5" max="5" width="9.140625" customWidth="1"/>
    <col min="6" max="6" width="5.85546875" customWidth="1"/>
    <col min="8" max="20" width="9.140625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111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15.75" customHeight="1" x14ac:dyDescent="0.25">
      <c r="A7" s="254">
        <v>1</v>
      </c>
      <c r="B7" s="265" t="s">
        <v>32</v>
      </c>
      <c r="C7" s="97" t="s">
        <v>33</v>
      </c>
      <c r="D7" s="21" t="s">
        <v>34</v>
      </c>
      <c r="E7" s="10">
        <v>30</v>
      </c>
      <c r="F7" s="10">
        <v>20</v>
      </c>
      <c r="G7" s="28">
        <v>15</v>
      </c>
      <c r="H7" s="11">
        <v>130</v>
      </c>
      <c r="I7" s="11">
        <v>15</v>
      </c>
      <c r="J7" s="11">
        <v>160</v>
      </c>
      <c r="K7" s="11">
        <v>4</v>
      </c>
      <c r="L7" s="11">
        <v>124</v>
      </c>
      <c r="M7" s="12">
        <v>13</v>
      </c>
      <c r="N7" s="11">
        <v>9</v>
      </c>
      <c r="O7" s="11">
        <v>4</v>
      </c>
      <c r="P7" s="12">
        <v>141</v>
      </c>
      <c r="Q7" s="11">
        <v>498</v>
      </c>
      <c r="R7" s="11">
        <v>3</v>
      </c>
      <c r="S7" s="11">
        <v>503</v>
      </c>
      <c r="T7" s="12">
        <v>19</v>
      </c>
      <c r="U7" s="12">
        <v>137</v>
      </c>
      <c r="V7" s="13">
        <v>16.766666666666666</v>
      </c>
      <c r="W7" s="13">
        <v>83.833333333333329</v>
      </c>
      <c r="X7" s="13">
        <v>3.6715328467153285</v>
      </c>
      <c r="Y7" s="14">
        <v>0.70802919708029222</v>
      </c>
      <c r="Z7" s="15">
        <v>6.85</v>
      </c>
    </row>
    <row r="8" spans="1:26" ht="15.75" x14ac:dyDescent="0.25">
      <c r="A8" s="254"/>
      <c r="B8" s="266"/>
      <c r="C8" s="17" t="s">
        <v>35</v>
      </c>
      <c r="D8" s="16"/>
      <c r="E8" s="10">
        <v>30</v>
      </c>
      <c r="F8" s="17">
        <v>20</v>
      </c>
      <c r="G8" s="17">
        <v>15</v>
      </c>
      <c r="H8" s="17">
        <v>130</v>
      </c>
      <c r="I8" s="17">
        <v>15</v>
      </c>
      <c r="J8" s="17">
        <v>160</v>
      </c>
      <c r="K8" s="17">
        <v>4</v>
      </c>
      <c r="L8" s="17">
        <v>124</v>
      </c>
      <c r="M8" s="18">
        <v>13</v>
      </c>
      <c r="N8" s="17">
        <v>9</v>
      </c>
      <c r="O8" s="17">
        <v>4</v>
      </c>
      <c r="P8" s="18">
        <v>141</v>
      </c>
      <c r="Q8" s="17">
        <v>498</v>
      </c>
      <c r="R8" s="17">
        <v>3</v>
      </c>
      <c r="S8" s="17">
        <v>503</v>
      </c>
      <c r="T8" s="18">
        <v>19</v>
      </c>
      <c r="U8" s="18">
        <v>137</v>
      </c>
      <c r="V8" s="19">
        <v>16.766666666666666</v>
      </c>
      <c r="W8" s="19">
        <v>83.833333333333329</v>
      </c>
      <c r="X8" s="19">
        <v>3.6715328467153285</v>
      </c>
      <c r="Y8" s="20">
        <v>0.70802919708029222</v>
      </c>
      <c r="Z8" s="20">
        <v>6.85</v>
      </c>
    </row>
    <row r="9" spans="1:26" ht="15.75" x14ac:dyDescent="0.25">
      <c r="A9" s="256">
        <v>2</v>
      </c>
      <c r="B9" s="266"/>
      <c r="C9" s="11" t="s">
        <v>36</v>
      </c>
      <c r="D9" s="21" t="s">
        <v>34</v>
      </c>
      <c r="E9" s="10">
        <v>30</v>
      </c>
      <c r="F9" s="11">
        <v>16</v>
      </c>
      <c r="G9" s="28">
        <v>13</v>
      </c>
      <c r="H9" s="11">
        <v>96</v>
      </c>
      <c r="I9" s="11">
        <v>43</v>
      </c>
      <c r="J9" s="11">
        <v>152</v>
      </c>
      <c r="K9" s="11">
        <v>9</v>
      </c>
      <c r="L9" s="11">
        <v>113</v>
      </c>
      <c r="M9" s="12">
        <v>13</v>
      </c>
      <c r="N9" s="11">
        <v>8</v>
      </c>
      <c r="O9" s="11">
        <v>5</v>
      </c>
      <c r="P9" s="12">
        <v>135</v>
      </c>
      <c r="Q9" s="11">
        <v>456</v>
      </c>
      <c r="R9" s="11">
        <v>2</v>
      </c>
      <c r="S9" s="11">
        <v>480</v>
      </c>
      <c r="T9" s="12">
        <v>17</v>
      </c>
      <c r="U9" s="12">
        <v>126</v>
      </c>
      <c r="V9" s="13">
        <v>16</v>
      </c>
      <c r="W9" s="13">
        <v>100</v>
      </c>
      <c r="X9" s="13">
        <v>3.8095238095238093</v>
      </c>
      <c r="Y9" s="14">
        <v>0</v>
      </c>
      <c r="Z9" s="15">
        <v>7.875</v>
      </c>
    </row>
    <row r="10" spans="1:26" ht="15.75" x14ac:dyDescent="0.25">
      <c r="A10" s="256"/>
      <c r="B10" s="266"/>
      <c r="C10" s="17" t="s">
        <v>36</v>
      </c>
      <c r="D10" s="16"/>
      <c r="E10" s="10">
        <v>30</v>
      </c>
      <c r="F10" s="17">
        <v>16</v>
      </c>
      <c r="G10" s="17">
        <v>13</v>
      </c>
      <c r="H10" s="17">
        <v>96</v>
      </c>
      <c r="I10" s="17">
        <v>43</v>
      </c>
      <c r="J10" s="17">
        <v>152</v>
      </c>
      <c r="K10" s="17">
        <v>9</v>
      </c>
      <c r="L10" s="17">
        <v>113</v>
      </c>
      <c r="M10" s="18">
        <v>13</v>
      </c>
      <c r="N10" s="17">
        <v>8</v>
      </c>
      <c r="O10" s="17">
        <v>5</v>
      </c>
      <c r="P10" s="18">
        <v>135</v>
      </c>
      <c r="Q10" s="17">
        <v>456</v>
      </c>
      <c r="R10" s="17">
        <v>2</v>
      </c>
      <c r="S10" s="17">
        <v>480</v>
      </c>
      <c r="T10" s="18">
        <v>17</v>
      </c>
      <c r="U10" s="18">
        <v>126</v>
      </c>
      <c r="V10" s="19">
        <v>16</v>
      </c>
      <c r="W10" s="19">
        <v>100</v>
      </c>
      <c r="X10" s="19">
        <v>3.8095238095238093</v>
      </c>
      <c r="Y10" s="20">
        <v>0</v>
      </c>
      <c r="Z10" s="20">
        <v>7.875</v>
      </c>
    </row>
    <row r="11" spans="1:26" ht="15.75" x14ac:dyDescent="0.25">
      <c r="A11" s="256">
        <v>3</v>
      </c>
      <c r="B11" s="266"/>
      <c r="C11" s="256" t="s">
        <v>37</v>
      </c>
      <c r="D11" s="21" t="s">
        <v>38</v>
      </c>
      <c r="E11" s="10">
        <v>30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266"/>
      <c r="C12" s="256"/>
      <c r="D12" s="21" t="s">
        <v>34</v>
      </c>
      <c r="E12" s="10">
        <v>30</v>
      </c>
      <c r="F12" s="11">
        <v>12</v>
      </c>
      <c r="G12" s="28">
        <v>12</v>
      </c>
      <c r="H12" s="11">
        <v>79</v>
      </c>
      <c r="I12" s="11">
        <v>2</v>
      </c>
      <c r="J12" s="11">
        <v>93</v>
      </c>
      <c r="K12" s="11">
        <v>6</v>
      </c>
      <c r="L12" s="11">
        <v>74</v>
      </c>
      <c r="M12" s="12">
        <v>4</v>
      </c>
      <c r="N12" s="11">
        <v>1</v>
      </c>
      <c r="O12" s="11">
        <v>3</v>
      </c>
      <c r="P12" s="12">
        <v>84</v>
      </c>
      <c r="Q12" s="11">
        <v>295</v>
      </c>
      <c r="R12" s="11">
        <v>1</v>
      </c>
      <c r="S12" s="11">
        <v>304</v>
      </c>
      <c r="T12" s="12">
        <v>9</v>
      </c>
      <c r="U12" s="12">
        <v>78</v>
      </c>
      <c r="V12" s="13">
        <v>10.133333333333333</v>
      </c>
      <c r="W12" s="13">
        <v>84.444444444444443</v>
      </c>
      <c r="X12" s="13">
        <v>3.8974358974358974</v>
      </c>
      <c r="Y12" s="14">
        <v>0.71794871794871817</v>
      </c>
      <c r="Z12" s="15">
        <v>6.5</v>
      </c>
    </row>
    <row r="13" spans="1:26" ht="15.75" x14ac:dyDescent="0.25">
      <c r="A13" s="256"/>
      <c r="B13" s="266"/>
      <c r="C13" s="17" t="s">
        <v>37</v>
      </c>
      <c r="D13" s="16"/>
      <c r="E13" s="10">
        <v>30</v>
      </c>
      <c r="F13" s="17">
        <v>12</v>
      </c>
      <c r="G13" s="17">
        <v>12</v>
      </c>
      <c r="H13" s="17">
        <v>79</v>
      </c>
      <c r="I13" s="17">
        <v>2</v>
      </c>
      <c r="J13" s="17">
        <v>93</v>
      </c>
      <c r="K13" s="17">
        <v>6</v>
      </c>
      <c r="L13" s="17">
        <v>74</v>
      </c>
      <c r="M13" s="18">
        <v>4</v>
      </c>
      <c r="N13" s="17">
        <v>1</v>
      </c>
      <c r="O13" s="17">
        <v>3</v>
      </c>
      <c r="P13" s="18">
        <v>84</v>
      </c>
      <c r="Q13" s="17">
        <v>295</v>
      </c>
      <c r="R13" s="17">
        <v>1</v>
      </c>
      <c r="S13" s="17">
        <v>304</v>
      </c>
      <c r="T13" s="18">
        <v>9</v>
      </c>
      <c r="U13" s="18">
        <v>78</v>
      </c>
      <c r="V13" s="19">
        <v>10.133333333333333</v>
      </c>
      <c r="W13" s="19">
        <v>84.444444444444443</v>
      </c>
      <c r="X13" s="19">
        <v>3.8974358974358974</v>
      </c>
      <c r="Y13" s="20">
        <v>0.71794871794871817</v>
      </c>
      <c r="Z13" s="20">
        <v>6.5</v>
      </c>
    </row>
    <row r="14" spans="1:26" ht="15.75" x14ac:dyDescent="0.25">
      <c r="A14" s="256">
        <v>4</v>
      </c>
      <c r="B14" s="266"/>
      <c r="C14" s="254" t="s">
        <v>39</v>
      </c>
      <c r="D14" s="21" t="s">
        <v>38</v>
      </c>
      <c r="E14" s="10">
        <v>30</v>
      </c>
      <c r="F14" s="10">
        <v>2</v>
      </c>
      <c r="G14" s="28">
        <v>2</v>
      </c>
      <c r="H14" s="11">
        <v>20</v>
      </c>
      <c r="I14" s="11">
        <v>7</v>
      </c>
      <c r="J14" s="11">
        <v>29</v>
      </c>
      <c r="K14" s="11">
        <v>17</v>
      </c>
      <c r="L14" s="11">
        <v>9</v>
      </c>
      <c r="M14" s="12">
        <v>1</v>
      </c>
      <c r="N14" s="11">
        <v>0</v>
      </c>
      <c r="O14" s="11">
        <v>1</v>
      </c>
      <c r="P14" s="12">
        <v>27</v>
      </c>
      <c r="Q14" s="11">
        <v>54</v>
      </c>
      <c r="R14" s="11">
        <v>0</v>
      </c>
      <c r="S14" s="11">
        <v>46</v>
      </c>
      <c r="T14" s="12">
        <v>2</v>
      </c>
      <c r="U14" s="12">
        <v>10</v>
      </c>
      <c r="V14" s="13">
        <v>1.5333333333333334</v>
      </c>
      <c r="W14" s="13">
        <v>76.666666666666671</v>
      </c>
      <c r="X14" s="13">
        <v>4.5999999999999996</v>
      </c>
      <c r="Y14" s="14">
        <v>1.3999999999999997</v>
      </c>
      <c r="Z14" s="15">
        <v>5</v>
      </c>
    </row>
    <row r="15" spans="1:26" ht="15.75" x14ac:dyDescent="0.25">
      <c r="A15" s="256"/>
      <c r="B15" s="266"/>
      <c r="C15" s="254"/>
      <c r="D15" s="21" t="s">
        <v>34</v>
      </c>
      <c r="E15" s="10">
        <v>30</v>
      </c>
      <c r="F15" s="10">
        <v>17</v>
      </c>
      <c r="G15" s="28">
        <v>13</v>
      </c>
      <c r="H15" s="11">
        <v>101</v>
      </c>
      <c r="I15" s="11">
        <v>31</v>
      </c>
      <c r="J15" s="11">
        <v>145</v>
      </c>
      <c r="K15" s="11">
        <v>12</v>
      </c>
      <c r="L15" s="11">
        <v>114</v>
      </c>
      <c r="M15" s="12">
        <v>4</v>
      </c>
      <c r="N15" s="11">
        <v>1</v>
      </c>
      <c r="O15" s="11">
        <v>3</v>
      </c>
      <c r="P15" s="12">
        <v>130</v>
      </c>
      <c r="Q15" s="11">
        <v>558</v>
      </c>
      <c r="R15" s="11">
        <v>0</v>
      </c>
      <c r="S15" s="11">
        <v>474</v>
      </c>
      <c r="T15" s="12">
        <v>15</v>
      </c>
      <c r="U15" s="12">
        <v>118</v>
      </c>
      <c r="V15" s="13">
        <v>15.8</v>
      </c>
      <c r="W15" s="13">
        <v>92.941176470588232</v>
      </c>
      <c r="X15" s="13">
        <v>4.0169491525423728</v>
      </c>
      <c r="Y15" s="14">
        <v>0.30508474576271166</v>
      </c>
      <c r="Z15" s="15">
        <v>6.9411764705882355</v>
      </c>
    </row>
    <row r="16" spans="1:26" ht="15.75" x14ac:dyDescent="0.25">
      <c r="A16" s="256"/>
      <c r="B16" s="266"/>
      <c r="C16" s="254"/>
      <c r="D16" s="21" t="s">
        <v>40</v>
      </c>
      <c r="E16" s="10">
        <v>30</v>
      </c>
      <c r="F16" s="10">
        <v>5</v>
      </c>
      <c r="G16" s="28">
        <v>2</v>
      </c>
      <c r="H16" s="11">
        <v>31</v>
      </c>
      <c r="I16" s="11">
        <v>7</v>
      </c>
      <c r="J16" s="11">
        <v>40</v>
      </c>
      <c r="K16" s="11">
        <v>3</v>
      </c>
      <c r="L16" s="11">
        <v>35</v>
      </c>
      <c r="M16" s="12">
        <v>0</v>
      </c>
      <c r="N16" s="11">
        <v>0</v>
      </c>
      <c r="O16" s="11">
        <v>0</v>
      </c>
      <c r="P16" s="12">
        <v>38</v>
      </c>
      <c r="Q16" s="11">
        <v>132</v>
      </c>
      <c r="R16" s="11">
        <v>0</v>
      </c>
      <c r="S16" s="11">
        <v>114</v>
      </c>
      <c r="T16" s="12">
        <v>2</v>
      </c>
      <c r="U16" s="12">
        <v>35</v>
      </c>
      <c r="V16" s="13">
        <v>3.8</v>
      </c>
      <c r="W16" s="13">
        <v>76</v>
      </c>
      <c r="X16" s="13">
        <v>3.2571428571428571</v>
      </c>
      <c r="Y16" s="14">
        <v>1.0285714285714287</v>
      </c>
      <c r="Z16" s="15">
        <v>7</v>
      </c>
    </row>
    <row r="17" spans="1:26" ht="15.75" x14ac:dyDescent="0.25">
      <c r="A17" s="256"/>
      <c r="B17" s="266"/>
      <c r="C17" s="17" t="s">
        <v>39</v>
      </c>
      <c r="D17" s="16"/>
      <c r="E17" s="10">
        <v>30</v>
      </c>
      <c r="F17" s="17">
        <v>24</v>
      </c>
      <c r="G17" s="17">
        <v>17</v>
      </c>
      <c r="H17" s="17">
        <v>152</v>
      </c>
      <c r="I17" s="17">
        <v>45</v>
      </c>
      <c r="J17" s="17">
        <v>214</v>
      </c>
      <c r="K17" s="17">
        <v>32</v>
      </c>
      <c r="L17" s="17">
        <v>158</v>
      </c>
      <c r="M17" s="18">
        <v>5</v>
      </c>
      <c r="N17" s="17">
        <v>1</v>
      </c>
      <c r="O17" s="17">
        <v>4</v>
      </c>
      <c r="P17" s="18">
        <v>195</v>
      </c>
      <c r="Q17" s="17">
        <v>744</v>
      </c>
      <c r="R17" s="17">
        <v>0</v>
      </c>
      <c r="S17" s="17">
        <v>634</v>
      </c>
      <c r="T17" s="18">
        <v>19</v>
      </c>
      <c r="U17" s="18">
        <v>163</v>
      </c>
      <c r="V17" s="19">
        <v>21.133333333333333</v>
      </c>
      <c r="W17" s="19">
        <v>88.055555555555557</v>
      </c>
      <c r="X17" s="19">
        <v>3.8895705521472395</v>
      </c>
      <c r="Y17" s="20">
        <v>0.52760736196319025</v>
      </c>
      <c r="Z17" s="20">
        <v>6.791666666666667</v>
      </c>
    </row>
    <row r="18" spans="1:26" ht="15.75" x14ac:dyDescent="0.25">
      <c r="A18" s="53"/>
      <c r="B18" s="266"/>
      <c r="C18" s="17"/>
      <c r="D18" s="16"/>
      <c r="E18" s="10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8"/>
      <c r="Q18" s="17"/>
      <c r="R18" s="17"/>
      <c r="S18" s="17"/>
      <c r="T18" s="18"/>
      <c r="U18" s="18"/>
      <c r="V18" s="19"/>
      <c r="W18" s="19"/>
      <c r="X18" s="19"/>
      <c r="Y18" s="20"/>
      <c r="Z18" s="20"/>
    </row>
    <row r="19" spans="1:26" ht="15.75" x14ac:dyDescent="0.25">
      <c r="A19" s="254">
        <v>5</v>
      </c>
      <c r="B19" s="266"/>
      <c r="C19" s="254" t="s">
        <v>41</v>
      </c>
      <c r="D19" s="98" t="s">
        <v>42</v>
      </c>
      <c r="E19" s="10">
        <v>30</v>
      </c>
      <c r="F19" s="10">
        <v>19</v>
      </c>
      <c r="G19" s="28">
        <v>19</v>
      </c>
      <c r="H19" s="11">
        <v>152</v>
      </c>
      <c r="I19" s="11">
        <v>9</v>
      </c>
      <c r="J19" s="11">
        <v>180</v>
      </c>
      <c r="K19" s="11">
        <v>11</v>
      </c>
      <c r="L19" s="11">
        <v>122</v>
      </c>
      <c r="M19" s="12">
        <v>29</v>
      </c>
      <c r="N19" s="11">
        <v>19</v>
      </c>
      <c r="O19" s="11">
        <v>10</v>
      </c>
      <c r="P19" s="12">
        <v>162</v>
      </c>
      <c r="Q19" s="11">
        <v>539</v>
      </c>
      <c r="R19" s="11">
        <v>3</v>
      </c>
      <c r="S19" s="11">
        <v>556</v>
      </c>
      <c r="T19" s="12">
        <v>18</v>
      </c>
      <c r="U19" s="12">
        <v>151</v>
      </c>
      <c r="V19" s="13">
        <v>18.533333333333335</v>
      </c>
      <c r="W19" s="13">
        <v>97.543859649122808</v>
      </c>
      <c r="X19" s="13">
        <v>3.6821192052980134</v>
      </c>
      <c r="Y19" s="14">
        <v>9.2715231788079139E-2</v>
      </c>
      <c r="Z19" s="15">
        <v>7.9473684210526319</v>
      </c>
    </row>
    <row r="20" spans="1:26" ht="15.75" x14ac:dyDescent="0.25">
      <c r="A20" s="254"/>
      <c r="B20" s="266"/>
      <c r="C20" s="254"/>
      <c r="D20" s="98" t="s">
        <v>43</v>
      </c>
      <c r="E20" s="10">
        <v>30</v>
      </c>
      <c r="F20" s="10">
        <v>12</v>
      </c>
      <c r="G20" s="28">
        <v>12</v>
      </c>
      <c r="H20" s="11">
        <v>79</v>
      </c>
      <c r="I20" s="11">
        <v>25</v>
      </c>
      <c r="J20" s="11">
        <v>116</v>
      </c>
      <c r="K20" s="11">
        <v>22</v>
      </c>
      <c r="L20" s="11">
        <v>65</v>
      </c>
      <c r="M20" s="12">
        <v>16</v>
      </c>
      <c r="N20" s="11">
        <v>9</v>
      </c>
      <c r="O20" s="11">
        <v>7</v>
      </c>
      <c r="P20" s="12">
        <v>103</v>
      </c>
      <c r="Q20" s="11">
        <v>327</v>
      </c>
      <c r="R20" s="11">
        <v>1</v>
      </c>
      <c r="S20" s="11">
        <v>363</v>
      </c>
      <c r="T20" s="12">
        <v>13</v>
      </c>
      <c r="U20" s="12">
        <v>81</v>
      </c>
      <c r="V20" s="13">
        <v>12.1</v>
      </c>
      <c r="W20" s="13">
        <v>100.83333333333333</v>
      </c>
      <c r="X20" s="13">
        <v>4.4814814814814818</v>
      </c>
      <c r="Y20" s="14">
        <v>-3.7037037037036903E-2</v>
      </c>
      <c r="Z20" s="15">
        <v>6.75</v>
      </c>
    </row>
    <row r="21" spans="1:26" ht="15.75" x14ac:dyDescent="0.25">
      <c r="A21" s="254"/>
      <c r="B21" s="266"/>
      <c r="C21" s="17" t="s">
        <v>41</v>
      </c>
      <c r="D21" s="16"/>
      <c r="E21" s="10">
        <v>30</v>
      </c>
      <c r="F21" s="17">
        <v>31</v>
      </c>
      <c r="G21" s="17">
        <v>31</v>
      </c>
      <c r="H21" s="17">
        <v>231</v>
      </c>
      <c r="I21" s="17">
        <v>34</v>
      </c>
      <c r="J21" s="17">
        <v>296</v>
      </c>
      <c r="K21" s="17">
        <v>33</v>
      </c>
      <c r="L21" s="17">
        <v>187</v>
      </c>
      <c r="M21" s="18">
        <v>45</v>
      </c>
      <c r="N21" s="17">
        <v>28</v>
      </c>
      <c r="O21" s="17">
        <v>17</v>
      </c>
      <c r="P21" s="18">
        <v>265</v>
      </c>
      <c r="Q21" s="17">
        <v>866</v>
      </c>
      <c r="R21" s="17">
        <v>4</v>
      </c>
      <c r="S21" s="17">
        <v>919</v>
      </c>
      <c r="T21" s="18">
        <v>31</v>
      </c>
      <c r="U21" s="18">
        <v>232</v>
      </c>
      <c r="V21" s="19">
        <v>30.633333333333333</v>
      </c>
      <c r="W21" s="19">
        <v>98.817204301075265</v>
      </c>
      <c r="X21" s="19">
        <v>3.9612068965517242</v>
      </c>
      <c r="Y21" s="20">
        <v>4.7413793103448273E-2</v>
      </c>
      <c r="Z21" s="20">
        <v>14.697368421052632</v>
      </c>
    </row>
    <row r="22" spans="1:26" ht="15.75" x14ac:dyDescent="0.25">
      <c r="A22" s="254">
        <v>6</v>
      </c>
      <c r="B22" s="266"/>
      <c r="C22" s="10" t="s">
        <v>44</v>
      </c>
      <c r="D22" s="21" t="s">
        <v>34</v>
      </c>
      <c r="E22" s="10">
        <v>30</v>
      </c>
      <c r="F22" s="10">
        <v>18</v>
      </c>
      <c r="G22" s="28">
        <v>16</v>
      </c>
      <c r="H22" s="11">
        <v>137</v>
      </c>
      <c r="I22" s="11">
        <v>15</v>
      </c>
      <c r="J22" s="11">
        <v>168</v>
      </c>
      <c r="K22" s="11">
        <v>10</v>
      </c>
      <c r="L22" s="11">
        <v>133</v>
      </c>
      <c r="M22" s="12">
        <v>7</v>
      </c>
      <c r="N22" s="11">
        <v>3</v>
      </c>
      <c r="O22" s="11">
        <v>4</v>
      </c>
      <c r="P22" s="12">
        <v>150</v>
      </c>
      <c r="Q22" s="11">
        <v>468</v>
      </c>
      <c r="R22" s="11">
        <v>4</v>
      </c>
      <c r="S22" s="11">
        <v>518</v>
      </c>
      <c r="T22" s="12">
        <v>18</v>
      </c>
      <c r="U22" s="12">
        <v>140</v>
      </c>
      <c r="V22" s="13">
        <v>17.266666666666666</v>
      </c>
      <c r="W22" s="13">
        <v>95.925925925925924</v>
      </c>
      <c r="X22" s="13">
        <v>3.7</v>
      </c>
      <c r="Y22" s="14">
        <v>0.15714285714285733</v>
      </c>
      <c r="Z22" s="15">
        <v>7.7777777777777777</v>
      </c>
    </row>
    <row r="23" spans="1:26" ht="15.75" x14ac:dyDescent="0.25">
      <c r="A23" s="254"/>
      <c r="B23" s="266"/>
      <c r="C23" s="17" t="s">
        <v>44</v>
      </c>
      <c r="D23" s="16"/>
      <c r="E23" s="10">
        <v>30</v>
      </c>
      <c r="F23" s="17">
        <v>18</v>
      </c>
      <c r="G23" s="17">
        <v>16</v>
      </c>
      <c r="H23" s="17">
        <v>137</v>
      </c>
      <c r="I23" s="17">
        <v>15</v>
      </c>
      <c r="J23" s="17">
        <v>168</v>
      </c>
      <c r="K23" s="17">
        <v>10</v>
      </c>
      <c r="L23" s="17">
        <v>133</v>
      </c>
      <c r="M23" s="18">
        <v>7</v>
      </c>
      <c r="N23" s="17">
        <v>3</v>
      </c>
      <c r="O23" s="17">
        <v>4</v>
      </c>
      <c r="P23" s="18">
        <v>150</v>
      </c>
      <c r="Q23" s="17">
        <v>468</v>
      </c>
      <c r="R23" s="17">
        <v>4</v>
      </c>
      <c r="S23" s="17">
        <v>518</v>
      </c>
      <c r="T23" s="18">
        <v>18</v>
      </c>
      <c r="U23" s="18">
        <v>140</v>
      </c>
      <c r="V23" s="19">
        <v>17.266666666666666</v>
      </c>
      <c r="W23" s="19">
        <v>95.925925925925924</v>
      </c>
      <c r="X23" s="19">
        <v>3.7</v>
      </c>
      <c r="Y23" s="20">
        <v>0.15714285714285733</v>
      </c>
      <c r="Z23" s="20">
        <v>7.7777777777777777</v>
      </c>
    </row>
    <row r="24" spans="1:26" ht="15.75" x14ac:dyDescent="0.25">
      <c r="A24" s="52"/>
      <c r="B24" s="266"/>
      <c r="C24" s="17"/>
      <c r="D24" s="16"/>
      <c r="E24" s="10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8"/>
      <c r="Q24" s="17"/>
      <c r="R24" s="17"/>
      <c r="S24" s="17"/>
      <c r="T24" s="18"/>
      <c r="U24" s="18"/>
      <c r="V24" s="19"/>
      <c r="W24" s="19"/>
      <c r="X24" s="19"/>
      <c r="Y24" s="20"/>
      <c r="Z24" s="20"/>
    </row>
    <row r="25" spans="1:26" ht="15.75" x14ac:dyDescent="0.25">
      <c r="A25" s="254">
        <v>7</v>
      </c>
      <c r="B25" s="266"/>
      <c r="C25" s="10" t="s">
        <v>45</v>
      </c>
      <c r="D25" s="21" t="s">
        <v>34</v>
      </c>
      <c r="E25" s="10">
        <v>30</v>
      </c>
      <c r="F25" s="10">
        <v>20</v>
      </c>
      <c r="G25" s="28">
        <v>14</v>
      </c>
      <c r="H25" s="11">
        <v>128</v>
      </c>
      <c r="I25" s="11">
        <v>17</v>
      </c>
      <c r="J25" s="11">
        <v>159</v>
      </c>
      <c r="K25" s="11">
        <v>14</v>
      </c>
      <c r="L25" s="11">
        <v>111</v>
      </c>
      <c r="M25" s="12">
        <v>14</v>
      </c>
      <c r="N25" s="11">
        <v>7</v>
      </c>
      <c r="O25" s="11">
        <v>7</v>
      </c>
      <c r="P25" s="12">
        <v>139</v>
      </c>
      <c r="Q25" s="11">
        <v>443</v>
      </c>
      <c r="R25" s="11">
        <v>0</v>
      </c>
      <c r="S25" s="11">
        <v>509</v>
      </c>
      <c r="T25" s="12">
        <v>20</v>
      </c>
      <c r="U25" s="12">
        <v>125</v>
      </c>
      <c r="V25" s="13">
        <v>16.966666666666665</v>
      </c>
      <c r="W25" s="13">
        <v>84.833333333333329</v>
      </c>
      <c r="X25" s="13">
        <v>4.0720000000000001</v>
      </c>
      <c r="Y25" s="14">
        <v>0.72800000000000042</v>
      </c>
      <c r="Z25" s="15">
        <v>6.25</v>
      </c>
    </row>
    <row r="26" spans="1:26" ht="15.75" x14ac:dyDescent="0.25">
      <c r="A26" s="254"/>
      <c r="B26" s="266"/>
      <c r="C26" s="17" t="s">
        <v>45</v>
      </c>
      <c r="D26" s="16"/>
      <c r="E26" s="10">
        <v>30</v>
      </c>
      <c r="F26" s="17">
        <v>20</v>
      </c>
      <c r="G26" s="17">
        <v>14</v>
      </c>
      <c r="H26" s="17">
        <v>128</v>
      </c>
      <c r="I26" s="17">
        <v>17</v>
      </c>
      <c r="J26" s="17">
        <v>159</v>
      </c>
      <c r="K26" s="17">
        <v>14</v>
      </c>
      <c r="L26" s="17">
        <v>111</v>
      </c>
      <c r="M26" s="18">
        <v>14</v>
      </c>
      <c r="N26" s="17">
        <v>7</v>
      </c>
      <c r="O26" s="17">
        <v>7</v>
      </c>
      <c r="P26" s="18">
        <v>139</v>
      </c>
      <c r="Q26" s="17">
        <v>443</v>
      </c>
      <c r="R26" s="17">
        <v>0</v>
      </c>
      <c r="S26" s="17">
        <v>509</v>
      </c>
      <c r="T26" s="18">
        <v>20</v>
      </c>
      <c r="U26" s="18">
        <v>125</v>
      </c>
      <c r="V26" s="19">
        <v>16.966666666666665</v>
      </c>
      <c r="W26" s="19">
        <v>84.833333333333329</v>
      </c>
      <c r="X26" s="19">
        <v>4.0720000000000001</v>
      </c>
      <c r="Y26" s="20">
        <v>0.72800000000000042</v>
      </c>
      <c r="Z26" s="20">
        <v>6.25</v>
      </c>
    </row>
    <row r="27" spans="1:26" ht="15.75" x14ac:dyDescent="0.25">
      <c r="A27" s="256">
        <v>8</v>
      </c>
      <c r="B27" s="266"/>
      <c r="C27" s="11" t="s">
        <v>46</v>
      </c>
      <c r="D27" s="21" t="s">
        <v>34</v>
      </c>
      <c r="E27" s="10">
        <v>30</v>
      </c>
      <c r="F27" s="11">
        <v>20</v>
      </c>
      <c r="G27" s="28">
        <v>11</v>
      </c>
      <c r="H27" s="11">
        <v>149</v>
      </c>
      <c r="I27" s="11">
        <v>8</v>
      </c>
      <c r="J27" s="11">
        <v>168</v>
      </c>
      <c r="K27" s="11">
        <v>9</v>
      </c>
      <c r="L27" s="11">
        <v>132</v>
      </c>
      <c r="M27" s="12">
        <v>15</v>
      </c>
      <c r="N27" s="11">
        <v>6</v>
      </c>
      <c r="O27" s="11">
        <v>9</v>
      </c>
      <c r="P27" s="12">
        <v>156</v>
      </c>
      <c r="Q27" s="11">
        <v>461</v>
      </c>
      <c r="R27" s="11">
        <v>3</v>
      </c>
      <c r="S27" s="11">
        <v>476</v>
      </c>
      <c r="T27" s="12">
        <v>12</v>
      </c>
      <c r="U27" s="12">
        <v>147</v>
      </c>
      <c r="V27" s="13">
        <v>15.866666666666667</v>
      </c>
      <c r="W27" s="13">
        <v>79.333333333333329</v>
      </c>
      <c r="X27" s="13">
        <v>3.2380952380952381</v>
      </c>
      <c r="Y27" s="14">
        <v>0.84353741496598633</v>
      </c>
      <c r="Z27" s="15">
        <v>7.35</v>
      </c>
    </row>
    <row r="28" spans="1:26" ht="15.75" x14ac:dyDescent="0.25">
      <c r="A28" s="256"/>
      <c r="B28" s="266"/>
      <c r="C28" s="17" t="s">
        <v>46</v>
      </c>
      <c r="D28" s="16"/>
      <c r="E28" s="10">
        <v>30</v>
      </c>
      <c r="F28" s="17">
        <v>20</v>
      </c>
      <c r="G28" s="17">
        <v>11</v>
      </c>
      <c r="H28" s="17">
        <v>149</v>
      </c>
      <c r="I28" s="17">
        <v>8</v>
      </c>
      <c r="J28" s="17">
        <v>168</v>
      </c>
      <c r="K28" s="17">
        <v>9</v>
      </c>
      <c r="L28" s="17">
        <v>132</v>
      </c>
      <c r="M28" s="18">
        <v>15</v>
      </c>
      <c r="N28" s="17">
        <v>6</v>
      </c>
      <c r="O28" s="17">
        <v>9</v>
      </c>
      <c r="P28" s="18">
        <v>156</v>
      </c>
      <c r="Q28" s="17">
        <v>461</v>
      </c>
      <c r="R28" s="17">
        <v>3</v>
      </c>
      <c r="S28" s="17">
        <v>476</v>
      </c>
      <c r="T28" s="18">
        <v>12</v>
      </c>
      <c r="U28" s="18">
        <v>147</v>
      </c>
      <c r="V28" s="19">
        <v>15.866666666666667</v>
      </c>
      <c r="W28" s="19">
        <v>79.333333333333329</v>
      </c>
      <c r="X28" s="19">
        <v>3.2380952380952381</v>
      </c>
      <c r="Y28" s="20">
        <v>0.84353741496598633</v>
      </c>
      <c r="Z28" s="20">
        <v>7.35</v>
      </c>
    </row>
    <row r="29" spans="1:26" ht="15.75" x14ac:dyDescent="0.25">
      <c r="A29" s="53"/>
      <c r="B29" s="266"/>
      <c r="C29" s="17"/>
      <c r="D29" s="16"/>
      <c r="E29" s="10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8"/>
      <c r="Q29" s="17"/>
      <c r="R29" s="17"/>
      <c r="S29" s="17"/>
      <c r="T29" s="18"/>
      <c r="U29" s="18"/>
      <c r="V29" s="19"/>
      <c r="W29" s="19"/>
      <c r="X29" s="19"/>
      <c r="Y29" s="20"/>
      <c r="Z29" s="20"/>
    </row>
    <row r="30" spans="1:26" ht="15.75" x14ac:dyDescent="0.25">
      <c r="A30" s="256">
        <v>9</v>
      </c>
      <c r="B30" s="266"/>
      <c r="C30" s="11" t="s">
        <v>47</v>
      </c>
      <c r="D30" s="22" t="s">
        <v>48</v>
      </c>
      <c r="E30" s="10">
        <v>30</v>
      </c>
      <c r="F30" s="11">
        <v>4</v>
      </c>
      <c r="G30" s="28">
        <v>6</v>
      </c>
      <c r="H30" s="11">
        <v>16</v>
      </c>
      <c r="I30" s="11">
        <v>28</v>
      </c>
      <c r="J30" s="11">
        <v>50</v>
      </c>
      <c r="K30" s="11">
        <v>6</v>
      </c>
      <c r="L30" s="11">
        <v>38</v>
      </c>
      <c r="M30" s="12">
        <v>2</v>
      </c>
      <c r="N30" s="11">
        <v>1</v>
      </c>
      <c r="O30" s="11">
        <v>1</v>
      </c>
      <c r="P30" s="12">
        <v>46</v>
      </c>
      <c r="Q30" s="11">
        <v>125</v>
      </c>
      <c r="R30" s="11">
        <v>1</v>
      </c>
      <c r="S30" s="11">
        <v>111</v>
      </c>
      <c r="T30" s="12">
        <v>4</v>
      </c>
      <c r="U30" s="12">
        <v>40</v>
      </c>
      <c r="V30" s="13">
        <v>3.7</v>
      </c>
      <c r="W30" s="13">
        <v>92.5</v>
      </c>
      <c r="X30" s="13">
        <v>2.7749999999999999</v>
      </c>
      <c r="Y30" s="14">
        <v>0.22499999999999987</v>
      </c>
      <c r="Z30" s="15">
        <v>10</v>
      </c>
    </row>
    <row r="31" spans="1:26" ht="15.75" x14ac:dyDescent="0.25">
      <c r="A31" s="256"/>
      <c r="B31" s="266"/>
      <c r="C31" s="11"/>
      <c r="D31" s="22" t="s">
        <v>112</v>
      </c>
      <c r="E31" s="10">
        <v>30</v>
      </c>
      <c r="F31" s="11">
        <v>8</v>
      </c>
      <c r="G31" s="28">
        <v>0</v>
      </c>
      <c r="H31" s="11">
        <v>44</v>
      </c>
      <c r="I31" s="11">
        <v>11</v>
      </c>
      <c r="J31" s="11">
        <v>55</v>
      </c>
      <c r="K31" s="11">
        <v>29</v>
      </c>
      <c r="L31" s="11">
        <v>22</v>
      </c>
      <c r="M31" s="12">
        <v>2</v>
      </c>
      <c r="N31" s="11">
        <v>1</v>
      </c>
      <c r="O31" s="11">
        <v>1</v>
      </c>
      <c r="P31" s="12">
        <v>53</v>
      </c>
      <c r="Q31" s="11">
        <v>74</v>
      </c>
      <c r="R31" s="11">
        <v>1</v>
      </c>
      <c r="S31" s="11">
        <v>95</v>
      </c>
      <c r="T31" s="12">
        <v>2</v>
      </c>
      <c r="U31" s="12">
        <v>24</v>
      </c>
      <c r="V31" s="13">
        <v>3.1666666666666665</v>
      </c>
      <c r="W31" s="13">
        <v>39.583333333333329</v>
      </c>
      <c r="X31" s="13">
        <v>3.9583333333333335</v>
      </c>
      <c r="Y31" s="14">
        <v>6.0416666666666679</v>
      </c>
      <c r="Z31" s="15">
        <v>3</v>
      </c>
    </row>
    <row r="32" spans="1:26" ht="15.75" x14ac:dyDescent="0.25">
      <c r="A32" s="256"/>
      <c r="B32" s="266"/>
      <c r="C32" s="17" t="s">
        <v>47</v>
      </c>
      <c r="D32" s="16"/>
      <c r="E32" s="10">
        <v>30</v>
      </c>
      <c r="F32" s="17">
        <v>12</v>
      </c>
      <c r="G32" s="17">
        <v>6</v>
      </c>
      <c r="H32" s="17">
        <v>60</v>
      </c>
      <c r="I32" s="17">
        <v>39</v>
      </c>
      <c r="J32" s="17">
        <v>105</v>
      </c>
      <c r="K32" s="17">
        <v>35</v>
      </c>
      <c r="L32" s="17">
        <v>60</v>
      </c>
      <c r="M32" s="18">
        <v>4</v>
      </c>
      <c r="N32" s="17">
        <v>2</v>
      </c>
      <c r="O32" s="17">
        <v>2</v>
      </c>
      <c r="P32" s="18">
        <v>99</v>
      </c>
      <c r="Q32" s="17">
        <v>199</v>
      </c>
      <c r="R32" s="17">
        <v>2</v>
      </c>
      <c r="S32" s="17">
        <v>206</v>
      </c>
      <c r="T32" s="18">
        <v>6</v>
      </c>
      <c r="U32" s="18">
        <v>64</v>
      </c>
      <c r="V32" s="19">
        <v>6.8666666666666663</v>
      </c>
      <c r="W32" s="19">
        <v>57.222222222222221</v>
      </c>
      <c r="X32" s="19">
        <v>3.21875</v>
      </c>
      <c r="Y32" s="20">
        <v>2.40625</v>
      </c>
      <c r="Z32" s="20">
        <v>5.333333333333333</v>
      </c>
    </row>
    <row r="33" spans="1:26" ht="15.75" x14ac:dyDescent="0.25">
      <c r="A33" s="53"/>
      <c r="B33" s="266"/>
      <c r="C33" s="17"/>
      <c r="D33" s="16"/>
      <c r="E33" s="10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8"/>
      <c r="Q33" s="17"/>
      <c r="R33" s="17"/>
      <c r="S33" s="17"/>
      <c r="T33" s="18"/>
      <c r="U33" s="18"/>
      <c r="V33" s="19"/>
      <c r="W33" s="19"/>
      <c r="X33" s="19"/>
      <c r="Y33" s="20"/>
      <c r="Z33" s="20"/>
    </row>
    <row r="34" spans="1:26" ht="15.75" x14ac:dyDescent="0.25">
      <c r="A34" s="256">
        <v>10</v>
      </c>
      <c r="B34" s="266"/>
      <c r="C34" s="11" t="s">
        <v>49</v>
      </c>
      <c r="D34" s="22" t="s">
        <v>48</v>
      </c>
      <c r="E34" s="10">
        <v>30</v>
      </c>
      <c r="F34" s="11">
        <v>3</v>
      </c>
      <c r="G34" s="28">
        <v>0</v>
      </c>
      <c r="H34" s="11">
        <v>18</v>
      </c>
      <c r="I34" s="11">
        <v>7</v>
      </c>
      <c r="J34" s="11">
        <v>25</v>
      </c>
      <c r="K34" s="11">
        <v>3</v>
      </c>
      <c r="L34" s="11">
        <v>19</v>
      </c>
      <c r="M34" s="12">
        <v>0</v>
      </c>
      <c r="N34" s="11">
        <v>0</v>
      </c>
      <c r="O34" s="11">
        <v>0</v>
      </c>
      <c r="P34" s="12">
        <v>22</v>
      </c>
      <c r="Q34" s="11">
        <v>59</v>
      </c>
      <c r="R34" s="11">
        <v>0</v>
      </c>
      <c r="S34" s="11">
        <v>67</v>
      </c>
      <c r="T34" s="12">
        <v>3</v>
      </c>
      <c r="U34" s="12">
        <v>19</v>
      </c>
      <c r="V34" s="13">
        <v>2.2333333333333334</v>
      </c>
      <c r="W34" s="13">
        <v>74.444444444444443</v>
      </c>
      <c r="X34" s="13">
        <v>3.5263157894736841</v>
      </c>
      <c r="Y34" s="14">
        <v>1.2105263157894737</v>
      </c>
      <c r="Z34" s="15">
        <v>6.333333333333333</v>
      </c>
    </row>
    <row r="35" spans="1:26" ht="15.75" x14ac:dyDescent="0.25">
      <c r="A35" s="256"/>
      <c r="B35" s="266"/>
      <c r="C35" s="11"/>
      <c r="D35" s="22" t="s">
        <v>38</v>
      </c>
      <c r="E35" s="10">
        <v>30</v>
      </c>
      <c r="F35" s="11">
        <v>4</v>
      </c>
      <c r="G35" s="28">
        <v>2</v>
      </c>
      <c r="H35" s="11">
        <v>24</v>
      </c>
      <c r="I35" s="11">
        <v>6</v>
      </c>
      <c r="J35" s="11">
        <v>32</v>
      </c>
      <c r="K35" s="11">
        <v>4</v>
      </c>
      <c r="L35" s="11">
        <v>24</v>
      </c>
      <c r="M35" s="12">
        <v>2</v>
      </c>
      <c r="N35" s="11">
        <v>0</v>
      </c>
      <c r="O35" s="11">
        <v>2</v>
      </c>
      <c r="P35" s="12">
        <v>30</v>
      </c>
      <c r="Q35" s="11">
        <v>78</v>
      </c>
      <c r="R35" s="11">
        <v>0</v>
      </c>
      <c r="S35" s="11">
        <v>89</v>
      </c>
      <c r="T35" s="12">
        <v>2</v>
      </c>
      <c r="U35" s="12">
        <v>26</v>
      </c>
      <c r="V35" s="13">
        <v>2.9666666666666668</v>
      </c>
      <c r="W35" s="13">
        <v>74.166666666666671</v>
      </c>
      <c r="X35" s="13">
        <v>3.4230769230769229</v>
      </c>
      <c r="Y35" s="14">
        <v>1.1923076923076921</v>
      </c>
      <c r="Z35" s="15">
        <v>6.5</v>
      </c>
    </row>
    <row r="36" spans="1:26" ht="15.75" x14ac:dyDescent="0.25">
      <c r="A36" s="256"/>
      <c r="B36" s="266"/>
      <c r="C36" s="11"/>
      <c r="D36" s="22" t="s">
        <v>34</v>
      </c>
      <c r="E36" s="10">
        <v>30</v>
      </c>
      <c r="F36" s="11">
        <v>12</v>
      </c>
      <c r="G36" s="28">
        <v>6</v>
      </c>
      <c r="H36" s="11">
        <v>76</v>
      </c>
      <c r="I36" s="11">
        <v>8</v>
      </c>
      <c r="J36" s="11">
        <v>90</v>
      </c>
      <c r="K36" s="11">
        <v>3</v>
      </c>
      <c r="L36" s="11">
        <v>77</v>
      </c>
      <c r="M36" s="12">
        <v>2</v>
      </c>
      <c r="N36" s="11">
        <v>2</v>
      </c>
      <c r="O36" s="11">
        <v>0</v>
      </c>
      <c r="P36" s="12">
        <v>82</v>
      </c>
      <c r="Q36" s="11">
        <v>284</v>
      </c>
      <c r="R36" s="11">
        <v>0</v>
      </c>
      <c r="S36" s="11">
        <v>275</v>
      </c>
      <c r="T36" s="12">
        <v>8</v>
      </c>
      <c r="U36" s="12">
        <v>79</v>
      </c>
      <c r="V36" s="13">
        <v>9.1666666666666661</v>
      </c>
      <c r="W36" s="13">
        <v>76.388888888888886</v>
      </c>
      <c r="X36" s="13">
        <v>3.481012658227848</v>
      </c>
      <c r="Y36" s="14">
        <v>1.0759493670886078</v>
      </c>
      <c r="Z36" s="15">
        <v>6.583333333333333</v>
      </c>
    </row>
    <row r="37" spans="1:26" ht="15.75" x14ac:dyDescent="0.25">
      <c r="A37" s="256"/>
      <c r="B37" s="266"/>
      <c r="C37" s="17" t="s">
        <v>49</v>
      </c>
      <c r="D37" s="16"/>
      <c r="E37" s="10">
        <v>30</v>
      </c>
      <c r="F37" s="17">
        <v>19</v>
      </c>
      <c r="G37" s="17">
        <v>8</v>
      </c>
      <c r="H37" s="17">
        <v>118</v>
      </c>
      <c r="I37" s="17">
        <v>21</v>
      </c>
      <c r="J37" s="17">
        <v>147</v>
      </c>
      <c r="K37" s="17">
        <v>10</v>
      </c>
      <c r="L37" s="17">
        <v>120</v>
      </c>
      <c r="M37" s="18">
        <v>4</v>
      </c>
      <c r="N37" s="17">
        <v>2</v>
      </c>
      <c r="O37" s="17">
        <v>2</v>
      </c>
      <c r="P37" s="18">
        <v>134</v>
      </c>
      <c r="Q37" s="17">
        <v>421</v>
      </c>
      <c r="R37" s="17">
        <v>0</v>
      </c>
      <c r="S37" s="17">
        <v>431</v>
      </c>
      <c r="T37" s="18">
        <v>13</v>
      </c>
      <c r="U37" s="18">
        <v>124</v>
      </c>
      <c r="V37" s="19">
        <v>14.366666666666667</v>
      </c>
      <c r="W37" s="19">
        <v>75.614035087719301</v>
      </c>
      <c r="X37" s="19">
        <v>3.475806451612903</v>
      </c>
      <c r="Y37" s="20">
        <v>1.1209677419354838</v>
      </c>
      <c r="Z37" s="20">
        <v>6.5263157894736841</v>
      </c>
    </row>
    <row r="38" spans="1:26" ht="15.75" x14ac:dyDescent="0.25">
      <c r="A38" s="231">
        <v>11</v>
      </c>
      <c r="B38" s="266"/>
      <c r="C38" s="254" t="s">
        <v>50</v>
      </c>
      <c r="D38" s="22" t="s">
        <v>51</v>
      </c>
      <c r="E38" s="10">
        <v>30</v>
      </c>
      <c r="F38" s="10">
        <v>7</v>
      </c>
      <c r="G38" s="28">
        <v>7</v>
      </c>
      <c r="H38" s="11">
        <v>48</v>
      </c>
      <c r="I38" s="11">
        <v>2</v>
      </c>
      <c r="J38" s="11">
        <v>57</v>
      </c>
      <c r="K38" s="11">
        <v>9</v>
      </c>
      <c r="L38" s="11">
        <v>38</v>
      </c>
      <c r="M38" s="12">
        <v>4</v>
      </c>
      <c r="N38" s="11">
        <v>1</v>
      </c>
      <c r="O38" s="11">
        <v>3</v>
      </c>
      <c r="P38" s="12">
        <v>51</v>
      </c>
      <c r="Q38" s="11">
        <v>129</v>
      </c>
      <c r="R38" s="11">
        <v>0</v>
      </c>
      <c r="S38" s="11">
        <v>179</v>
      </c>
      <c r="T38" s="12">
        <v>6</v>
      </c>
      <c r="U38" s="12">
        <v>42</v>
      </c>
      <c r="V38" s="13">
        <v>5.9666666666666668</v>
      </c>
      <c r="W38" s="13">
        <v>85.238095238095241</v>
      </c>
      <c r="X38" s="13">
        <v>4.2619047619047619</v>
      </c>
      <c r="Y38" s="14">
        <v>0.73809523809523803</v>
      </c>
      <c r="Z38" s="15">
        <v>6</v>
      </c>
    </row>
    <row r="39" spans="1:26" ht="15.75" x14ac:dyDescent="0.25">
      <c r="A39" s="231"/>
      <c r="B39" s="266"/>
      <c r="C39" s="254"/>
      <c r="D39" s="22" t="s">
        <v>52</v>
      </c>
      <c r="E39" s="10">
        <v>30</v>
      </c>
      <c r="F39" s="10">
        <v>7</v>
      </c>
      <c r="G39" s="28">
        <v>3</v>
      </c>
      <c r="H39" s="11">
        <v>52</v>
      </c>
      <c r="I39" s="11">
        <v>9</v>
      </c>
      <c r="J39" s="11">
        <v>64</v>
      </c>
      <c r="K39" s="11">
        <v>5</v>
      </c>
      <c r="L39" s="11">
        <v>51</v>
      </c>
      <c r="M39" s="12">
        <v>3</v>
      </c>
      <c r="N39" s="11">
        <v>2</v>
      </c>
      <c r="O39" s="11">
        <v>1</v>
      </c>
      <c r="P39" s="12">
        <v>59</v>
      </c>
      <c r="Q39" s="11">
        <v>164</v>
      </c>
      <c r="R39" s="11">
        <v>0</v>
      </c>
      <c r="S39" s="11">
        <v>133</v>
      </c>
      <c r="T39" s="12">
        <v>5</v>
      </c>
      <c r="U39" s="12">
        <v>54</v>
      </c>
      <c r="V39" s="13">
        <v>4.4333333333333336</v>
      </c>
      <c r="W39" s="13">
        <v>63.333333333333343</v>
      </c>
      <c r="X39" s="13">
        <v>2.4629629629629628</v>
      </c>
      <c r="Y39" s="14">
        <v>1.4259259259259258</v>
      </c>
      <c r="Z39" s="15">
        <v>7.7142857142857144</v>
      </c>
    </row>
    <row r="40" spans="1:26" ht="15.75" x14ac:dyDescent="0.25">
      <c r="A40" s="231"/>
      <c r="B40" s="266"/>
      <c r="C40" s="254"/>
      <c r="D40" s="22" t="s">
        <v>53</v>
      </c>
      <c r="E40" s="10">
        <v>30</v>
      </c>
      <c r="F40" s="10">
        <v>14</v>
      </c>
      <c r="G40" s="28">
        <v>5</v>
      </c>
      <c r="H40" s="11">
        <v>95</v>
      </c>
      <c r="I40" s="11">
        <v>3</v>
      </c>
      <c r="J40" s="11">
        <v>103</v>
      </c>
      <c r="K40" s="11">
        <v>14</v>
      </c>
      <c r="L40" s="11">
        <v>81</v>
      </c>
      <c r="M40" s="12">
        <v>4</v>
      </c>
      <c r="N40" s="11">
        <v>2</v>
      </c>
      <c r="O40" s="11">
        <v>2</v>
      </c>
      <c r="P40" s="12">
        <v>99</v>
      </c>
      <c r="Q40" s="11">
        <v>282</v>
      </c>
      <c r="R40" s="11">
        <v>3</v>
      </c>
      <c r="S40" s="11">
        <v>296</v>
      </c>
      <c r="T40" s="12">
        <v>4</v>
      </c>
      <c r="U40" s="12">
        <v>85</v>
      </c>
      <c r="V40" s="13">
        <v>9.8666666666666671</v>
      </c>
      <c r="W40" s="13">
        <v>70.476190476190482</v>
      </c>
      <c r="X40" s="13">
        <v>3.4823529411764707</v>
      </c>
      <c r="Y40" s="23">
        <v>1.4588235294117646</v>
      </c>
      <c r="Z40" s="24">
        <v>6.0714285714285712</v>
      </c>
    </row>
    <row r="41" spans="1:26" ht="15.75" x14ac:dyDescent="0.25">
      <c r="A41" s="231"/>
      <c r="B41" s="266"/>
      <c r="C41" s="254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30</v>
      </c>
      <c r="F42" s="17">
        <v>28</v>
      </c>
      <c r="G42" s="17">
        <v>15</v>
      </c>
      <c r="H42" s="17">
        <v>195</v>
      </c>
      <c r="I42" s="17">
        <v>14</v>
      </c>
      <c r="J42" s="17">
        <v>224</v>
      </c>
      <c r="K42" s="17">
        <v>28</v>
      </c>
      <c r="L42" s="17">
        <v>170</v>
      </c>
      <c r="M42" s="18">
        <v>11</v>
      </c>
      <c r="N42" s="17">
        <v>5</v>
      </c>
      <c r="O42" s="17">
        <v>6</v>
      </c>
      <c r="P42" s="18">
        <v>209</v>
      </c>
      <c r="Q42" s="17">
        <v>575</v>
      </c>
      <c r="R42" s="17">
        <v>3</v>
      </c>
      <c r="S42" s="17">
        <v>608</v>
      </c>
      <c r="T42" s="18">
        <v>15</v>
      </c>
      <c r="U42" s="18">
        <v>181</v>
      </c>
      <c r="V42" s="19">
        <v>20.266666666666666</v>
      </c>
      <c r="W42" s="19">
        <v>72.38095238095238</v>
      </c>
      <c r="X42" s="19">
        <v>3.3591160220994474</v>
      </c>
      <c r="Y42" s="20">
        <v>1.281767955801105</v>
      </c>
      <c r="Z42" s="20">
        <v>6.4642857142857144</v>
      </c>
    </row>
    <row r="43" spans="1:26" ht="15.75" x14ac:dyDescent="0.25">
      <c r="A43" s="59"/>
      <c r="B43" s="266"/>
      <c r="C43" s="17"/>
      <c r="D43" s="16"/>
      <c r="E43" s="10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8"/>
      <c r="Q43" s="17"/>
      <c r="R43" s="17"/>
      <c r="S43" s="17"/>
      <c r="T43" s="18"/>
      <c r="U43" s="18"/>
      <c r="V43" s="19"/>
      <c r="W43" s="19"/>
      <c r="X43" s="19"/>
      <c r="Y43" s="20"/>
      <c r="Z43" s="20"/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30</v>
      </c>
      <c r="F44" s="10">
        <v>15</v>
      </c>
      <c r="G44" s="28">
        <v>12</v>
      </c>
      <c r="H44" s="11">
        <v>111</v>
      </c>
      <c r="I44" s="11">
        <v>14</v>
      </c>
      <c r="J44" s="11">
        <v>137</v>
      </c>
      <c r="K44" s="11">
        <v>9</v>
      </c>
      <c r="L44" s="11">
        <v>104</v>
      </c>
      <c r="M44" s="12">
        <v>13</v>
      </c>
      <c r="N44" s="11">
        <v>8</v>
      </c>
      <c r="O44" s="11">
        <v>5</v>
      </c>
      <c r="P44" s="12">
        <v>126</v>
      </c>
      <c r="Q44" s="11">
        <v>359</v>
      </c>
      <c r="R44" s="11">
        <v>3</v>
      </c>
      <c r="S44" s="11">
        <v>358</v>
      </c>
      <c r="T44" s="12">
        <v>11</v>
      </c>
      <c r="U44" s="12">
        <v>117</v>
      </c>
      <c r="V44" s="13">
        <v>11.933333333333334</v>
      </c>
      <c r="W44" s="13">
        <v>79.555555555555557</v>
      </c>
      <c r="X44" s="13">
        <v>3.0598290598290596</v>
      </c>
      <c r="Y44" s="14">
        <v>0.78632478632478631</v>
      </c>
      <c r="Z44" s="15">
        <v>7.8</v>
      </c>
    </row>
    <row r="45" spans="1:26" ht="15.75" x14ac:dyDescent="0.25">
      <c r="A45" s="231"/>
      <c r="B45" s="266"/>
      <c r="C45" s="10"/>
      <c r="D45" s="21" t="s">
        <v>55</v>
      </c>
      <c r="E45" s="10">
        <v>30</v>
      </c>
      <c r="F45" s="10">
        <v>2</v>
      </c>
      <c r="G45" s="28">
        <v>1</v>
      </c>
      <c r="H45" s="11">
        <v>4</v>
      </c>
      <c r="I45" s="11">
        <v>1</v>
      </c>
      <c r="J45" s="11">
        <v>6</v>
      </c>
      <c r="K45" s="11">
        <v>0</v>
      </c>
      <c r="L45" s="11">
        <v>5</v>
      </c>
      <c r="M45" s="12">
        <v>0</v>
      </c>
      <c r="N45" s="11">
        <v>0</v>
      </c>
      <c r="O45" s="11">
        <v>0</v>
      </c>
      <c r="P45" s="12">
        <v>5</v>
      </c>
      <c r="Q45" s="11">
        <v>20</v>
      </c>
      <c r="R45" s="11">
        <v>0</v>
      </c>
      <c r="S45" s="11">
        <v>17</v>
      </c>
      <c r="T45" s="12">
        <v>1</v>
      </c>
      <c r="U45" s="12">
        <v>5</v>
      </c>
      <c r="V45" s="13">
        <v>0.56666666666666665</v>
      </c>
      <c r="W45" s="13">
        <v>28.333333333333332</v>
      </c>
      <c r="X45" s="13">
        <v>3.4</v>
      </c>
      <c r="Y45" s="14">
        <v>8.6</v>
      </c>
      <c r="Z45" s="15">
        <v>2.5</v>
      </c>
    </row>
    <row r="46" spans="1:26" ht="15.75" x14ac:dyDescent="0.25">
      <c r="A46" s="231"/>
      <c r="B46" s="266"/>
      <c r="C46" s="17" t="s">
        <v>54</v>
      </c>
      <c r="D46" s="16"/>
      <c r="E46" s="10">
        <v>30</v>
      </c>
      <c r="F46" s="17">
        <v>17</v>
      </c>
      <c r="G46" s="17">
        <v>13</v>
      </c>
      <c r="H46" s="17">
        <v>115</v>
      </c>
      <c r="I46" s="17">
        <v>15</v>
      </c>
      <c r="J46" s="17">
        <v>143</v>
      </c>
      <c r="K46" s="17">
        <v>9</v>
      </c>
      <c r="L46" s="17">
        <v>109</v>
      </c>
      <c r="M46" s="18">
        <v>13</v>
      </c>
      <c r="N46" s="17">
        <v>8</v>
      </c>
      <c r="O46" s="17">
        <v>5</v>
      </c>
      <c r="P46" s="18">
        <v>131</v>
      </c>
      <c r="Q46" s="17">
        <v>379</v>
      </c>
      <c r="R46" s="17">
        <v>3</v>
      </c>
      <c r="S46" s="17">
        <v>375</v>
      </c>
      <c r="T46" s="18">
        <v>12</v>
      </c>
      <c r="U46" s="18">
        <v>122</v>
      </c>
      <c r="V46" s="25">
        <v>12.5</v>
      </c>
      <c r="W46" s="19">
        <v>73.529411764705884</v>
      </c>
      <c r="X46" s="19">
        <v>3.0737704918032787</v>
      </c>
      <c r="Y46" s="20">
        <v>1.1065573770491803</v>
      </c>
      <c r="Z46" s="20">
        <v>7.1764705882352944</v>
      </c>
    </row>
    <row r="47" spans="1:26" ht="15.75" customHeight="1" x14ac:dyDescent="0.25">
      <c r="A47" s="245">
        <v>13</v>
      </c>
      <c r="B47" s="266"/>
      <c r="C47" s="257" t="s">
        <v>56</v>
      </c>
      <c r="D47" s="22" t="s">
        <v>57</v>
      </c>
      <c r="E47" s="10">
        <v>30</v>
      </c>
      <c r="F47" s="11">
        <v>2</v>
      </c>
      <c r="G47" s="28">
        <v>1</v>
      </c>
      <c r="H47" s="11">
        <v>1</v>
      </c>
      <c r="I47" s="11">
        <v>0</v>
      </c>
      <c r="J47" s="11">
        <v>2</v>
      </c>
      <c r="K47" s="11">
        <v>2</v>
      </c>
      <c r="L47" s="11">
        <v>0</v>
      </c>
      <c r="M47" s="12">
        <v>0</v>
      </c>
      <c r="N47" s="11">
        <v>0</v>
      </c>
      <c r="O47" s="11">
        <v>0</v>
      </c>
      <c r="P47" s="12">
        <v>2</v>
      </c>
      <c r="Q47" s="11">
        <v>0</v>
      </c>
      <c r="R47" s="11">
        <v>0</v>
      </c>
      <c r="S47" s="11">
        <v>18</v>
      </c>
      <c r="T47" s="12">
        <v>0</v>
      </c>
      <c r="U47" s="12">
        <v>0</v>
      </c>
      <c r="V47" s="13">
        <v>0.6</v>
      </c>
      <c r="W47" s="13">
        <v>30</v>
      </c>
      <c r="X47" s="13" t="e">
        <v>#DIV/0!</v>
      </c>
      <c r="Y47" s="14" t="e">
        <v>#DIV/0!</v>
      </c>
      <c r="Z47" s="15">
        <v>0</v>
      </c>
    </row>
    <row r="48" spans="1:26" ht="15.75" x14ac:dyDescent="0.25">
      <c r="A48" s="246"/>
      <c r="B48" s="266"/>
      <c r="C48" s="257"/>
      <c r="D48" s="99" t="s">
        <v>58</v>
      </c>
      <c r="E48" s="10">
        <v>30</v>
      </c>
      <c r="F48" s="26">
        <v>3</v>
      </c>
      <c r="G48" s="56">
        <v>0</v>
      </c>
      <c r="H48" s="26">
        <v>9</v>
      </c>
      <c r="I48" s="26">
        <v>2</v>
      </c>
      <c r="J48" s="11">
        <v>11</v>
      </c>
      <c r="K48" s="26">
        <v>1</v>
      </c>
      <c r="L48" s="26">
        <v>9</v>
      </c>
      <c r="M48" s="12">
        <v>0</v>
      </c>
      <c r="N48" s="26">
        <v>0</v>
      </c>
      <c r="O48" s="26">
        <v>0</v>
      </c>
      <c r="P48" s="12">
        <v>10</v>
      </c>
      <c r="Q48" s="26">
        <v>44</v>
      </c>
      <c r="R48" s="26">
        <v>0</v>
      </c>
      <c r="S48" s="26">
        <v>39</v>
      </c>
      <c r="T48" s="12">
        <v>1</v>
      </c>
      <c r="U48" s="12">
        <v>9</v>
      </c>
      <c r="V48" s="13">
        <v>1.3</v>
      </c>
      <c r="W48" s="13">
        <v>43.333333333333336</v>
      </c>
      <c r="X48" s="13">
        <v>4.333333333333333</v>
      </c>
      <c r="Y48" s="14">
        <v>5.666666666666667</v>
      </c>
      <c r="Z48" s="15">
        <v>3</v>
      </c>
    </row>
    <row r="49" spans="1:26" ht="15.75" x14ac:dyDescent="0.25">
      <c r="A49" s="246"/>
      <c r="B49" s="266"/>
      <c r="C49" s="257"/>
      <c r="D49" s="99" t="s">
        <v>59</v>
      </c>
      <c r="E49" s="10">
        <v>30</v>
      </c>
      <c r="F49" s="26">
        <v>2</v>
      </c>
      <c r="G49" s="56">
        <v>0</v>
      </c>
      <c r="H49" s="26">
        <v>6</v>
      </c>
      <c r="I49" s="26">
        <v>1</v>
      </c>
      <c r="J49" s="11">
        <v>7</v>
      </c>
      <c r="K49" s="26">
        <v>2</v>
      </c>
      <c r="L49" s="26">
        <v>4</v>
      </c>
      <c r="M49" s="12">
        <v>1</v>
      </c>
      <c r="N49" s="26">
        <v>1</v>
      </c>
      <c r="O49" s="26">
        <v>0</v>
      </c>
      <c r="P49" s="12">
        <v>7</v>
      </c>
      <c r="Q49" s="26">
        <v>21</v>
      </c>
      <c r="R49" s="26">
        <v>0</v>
      </c>
      <c r="S49" s="26">
        <v>23</v>
      </c>
      <c r="T49" s="12">
        <v>0</v>
      </c>
      <c r="U49" s="12">
        <v>5</v>
      </c>
      <c r="V49" s="13">
        <v>0.76666666666666672</v>
      </c>
      <c r="W49" s="13">
        <v>38.333333333333336</v>
      </c>
      <c r="X49" s="13">
        <v>4.5999999999999996</v>
      </c>
      <c r="Y49" s="14">
        <v>7.4</v>
      </c>
      <c r="Z49" s="15">
        <v>2.5</v>
      </c>
    </row>
    <row r="50" spans="1:26" ht="15.75" x14ac:dyDescent="0.25">
      <c r="A50" s="246"/>
      <c r="B50" s="266"/>
      <c r="C50" s="257"/>
      <c r="D50" s="99" t="s">
        <v>60</v>
      </c>
      <c r="E50" s="10">
        <v>30</v>
      </c>
      <c r="F50" s="26">
        <v>10</v>
      </c>
      <c r="G50" s="56">
        <v>8</v>
      </c>
      <c r="H50" s="26">
        <v>51</v>
      </c>
      <c r="I50" s="26">
        <v>12</v>
      </c>
      <c r="J50" s="11">
        <v>71</v>
      </c>
      <c r="K50" s="26">
        <v>2</v>
      </c>
      <c r="L50" s="26">
        <v>53</v>
      </c>
      <c r="M50" s="12">
        <v>12</v>
      </c>
      <c r="N50" s="26">
        <v>5</v>
      </c>
      <c r="O50" s="26">
        <v>7</v>
      </c>
      <c r="P50" s="12">
        <v>67</v>
      </c>
      <c r="Q50" s="26">
        <v>295</v>
      </c>
      <c r="R50" s="26">
        <v>1</v>
      </c>
      <c r="S50" s="26">
        <v>240</v>
      </c>
      <c r="T50" s="12">
        <v>4</v>
      </c>
      <c r="U50" s="12">
        <v>65</v>
      </c>
      <c r="V50" s="13">
        <v>8</v>
      </c>
      <c r="W50" s="13">
        <v>80</v>
      </c>
      <c r="X50" s="13">
        <v>3.6923076923076925</v>
      </c>
      <c r="Y50" s="14">
        <v>0.92307692307692313</v>
      </c>
      <c r="Z50" s="15">
        <v>6.5</v>
      </c>
    </row>
    <row r="51" spans="1:26" ht="15.75" x14ac:dyDescent="0.25">
      <c r="A51" s="247"/>
      <c r="B51" s="266"/>
      <c r="C51" s="17" t="s">
        <v>61</v>
      </c>
      <c r="D51" s="16"/>
      <c r="E51" s="10">
        <v>30</v>
      </c>
      <c r="F51" s="17">
        <v>17</v>
      </c>
      <c r="G51" s="17">
        <v>9</v>
      </c>
      <c r="H51" s="17">
        <v>67</v>
      </c>
      <c r="I51" s="17">
        <v>15</v>
      </c>
      <c r="J51" s="17">
        <v>91</v>
      </c>
      <c r="K51" s="17">
        <v>7</v>
      </c>
      <c r="L51" s="17">
        <v>66</v>
      </c>
      <c r="M51" s="18">
        <v>13</v>
      </c>
      <c r="N51" s="17">
        <v>6</v>
      </c>
      <c r="O51" s="17">
        <v>7</v>
      </c>
      <c r="P51" s="18">
        <v>86</v>
      </c>
      <c r="Q51" s="17">
        <v>360</v>
      </c>
      <c r="R51" s="17">
        <v>1</v>
      </c>
      <c r="S51" s="17">
        <v>320</v>
      </c>
      <c r="T51" s="18">
        <v>5</v>
      </c>
      <c r="U51" s="18">
        <v>79</v>
      </c>
      <c r="V51" s="19">
        <v>10.666666666666666</v>
      </c>
      <c r="W51" s="19">
        <v>62.745098039215684</v>
      </c>
      <c r="X51" s="19">
        <v>4.0506329113924053</v>
      </c>
      <c r="Y51" s="20">
        <v>2.4050632911392409</v>
      </c>
      <c r="Z51" s="20">
        <v>4.6470588235294121</v>
      </c>
    </row>
    <row r="52" spans="1:26" ht="15.75" x14ac:dyDescent="0.25">
      <c r="A52" s="145"/>
      <c r="B52" s="266"/>
      <c r="C52" s="17"/>
      <c r="D52" s="16"/>
      <c r="E52" s="10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30</v>
      </c>
      <c r="F53" s="11">
        <v>8</v>
      </c>
      <c r="G53" s="28">
        <v>4</v>
      </c>
      <c r="H53" s="11">
        <v>28</v>
      </c>
      <c r="I53" s="11">
        <v>2</v>
      </c>
      <c r="J53" s="11">
        <v>34</v>
      </c>
      <c r="K53" s="11">
        <v>5</v>
      </c>
      <c r="L53" s="11">
        <v>27</v>
      </c>
      <c r="M53" s="12">
        <v>1</v>
      </c>
      <c r="N53" s="11">
        <v>0</v>
      </c>
      <c r="O53" s="11">
        <v>1</v>
      </c>
      <c r="P53" s="12">
        <v>33</v>
      </c>
      <c r="Q53" s="11">
        <v>82</v>
      </c>
      <c r="R53" s="11">
        <v>0</v>
      </c>
      <c r="S53" s="11">
        <v>74</v>
      </c>
      <c r="T53" s="12">
        <v>1</v>
      </c>
      <c r="U53" s="12">
        <v>28</v>
      </c>
      <c r="V53" s="13">
        <v>2.4666666666666668</v>
      </c>
      <c r="W53" s="24">
        <v>30.833333333333336</v>
      </c>
      <c r="X53" s="24">
        <v>2.6428571428571428</v>
      </c>
      <c r="Y53" s="23">
        <v>5.9285714285714288</v>
      </c>
      <c r="Z53" s="24">
        <v>3.5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">
        <v>30</v>
      </c>
      <c r="F54" s="17">
        <v>8</v>
      </c>
      <c r="G54" s="17">
        <v>4</v>
      </c>
      <c r="H54" s="17">
        <v>28</v>
      </c>
      <c r="I54" s="17">
        <v>2</v>
      </c>
      <c r="J54" s="17">
        <v>34</v>
      </c>
      <c r="K54" s="17">
        <v>5</v>
      </c>
      <c r="L54" s="17">
        <v>27</v>
      </c>
      <c r="M54" s="18">
        <v>1</v>
      </c>
      <c r="N54" s="17">
        <v>0</v>
      </c>
      <c r="O54" s="17">
        <v>1</v>
      </c>
      <c r="P54" s="18">
        <v>33</v>
      </c>
      <c r="Q54" s="17">
        <v>82</v>
      </c>
      <c r="R54" s="17">
        <v>0</v>
      </c>
      <c r="S54" s="17">
        <v>74</v>
      </c>
      <c r="T54" s="18">
        <v>1</v>
      </c>
      <c r="U54" s="18">
        <v>28</v>
      </c>
      <c r="V54" s="19">
        <v>2.4666666666666668</v>
      </c>
      <c r="W54" s="27">
        <v>30.833333333333336</v>
      </c>
      <c r="X54" s="27">
        <v>2.6428571428571428</v>
      </c>
      <c r="Y54" s="27">
        <v>5.9285714285714288</v>
      </c>
      <c r="Z54" s="27">
        <v>3.5</v>
      </c>
    </row>
    <row r="55" spans="1:26" ht="15.75" x14ac:dyDescent="0.25">
      <c r="A55" s="59"/>
      <c r="B55" s="266"/>
      <c r="C55" s="17"/>
      <c r="D55" s="16"/>
      <c r="E55" s="10"/>
      <c r="F55" s="17"/>
      <c r="G55" s="17"/>
      <c r="H55" s="17"/>
      <c r="I55" s="17"/>
      <c r="J55" s="17"/>
      <c r="K55" s="17"/>
      <c r="L55" s="17"/>
      <c r="M55" s="18"/>
      <c r="N55" s="17"/>
      <c r="O55" s="17"/>
      <c r="P55" s="18"/>
      <c r="Q55" s="17"/>
      <c r="R55" s="17"/>
      <c r="S55" s="17"/>
      <c r="T55" s="18"/>
      <c r="U55" s="18"/>
      <c r="V55" s="19"/>
      <c r="W55" s="27"/>
      <c r="X55" s="27"/>
      <c r="Y55" s="27"/>
      <c r="Z55" s="27"/>
    </row>
    <row r="56" spans="1:26" ht="15.75" x14ac:dyDescent="0.25">
      <c r="A56" s="231">
        <v>15</v>
      </c>
      <c r="B56" s="266"/>
      <c r="C56" s="11" t="s">
        <v>63</v>
      </c>
      <c r="D56" s="22" t="s">
        <v>34</v>
      </c>
      <c r="E56" s="10">
        <v>30</v>
      </c>
      <c r="F56" s="11">
        <v>16</v>
      </c>
      <c r="G56" s="28">
        <v>16</v>
      </c>
      <c r="H56" s="11">
        <v>114</v>
      </c>
      <c r="I56" s="11">
        <v>16</v>
      </c>
      <c r="J56" s="11">
        <v>146</v>
      </c>
      <c r="K56" s="11">
        <v>3</v>
      </c>
      <c r="L56" s="11">
        <v>115</v>
      </c>
      <c r="M56" s="11">
        <v>12</v>
      </c>
      <c r="N56" s="11">
        <v>6</v>
      </c>
      <c r="O56" s="11">
        <v>6</v>
      </c>
      <c r="P56" s="11">
        <v>130</v>
      </c>
      <c r="Q56" s="11">
        <v>514</v>
      </c>
      <c r="R56" s="11">
        <v>1</v>
      </c>
      <c r="S56" s="11">
        <v>485</v>
      </c>
      <c r="T56" s="11">
        <v>16</v>
      </c>
      <c r="U56" s="11">
        <v>127</v>
      </c>
      <c r="V56" s="15">
        <v>16.166666666666668</v>
      </c>
      <c r="W56" s="15">
        <v>101.04166666666667</v>
      </c>
      <c r="X56" s="15">
        <v>3.8188976377952755</v>
      </c>
      <c r="Y56" s="14">
        <v>-3.9370078740157757E-2</v>
      </c>
      <c r="Z56" s="15">
        <v>7.9375</v>
      </c>
    </row>
    <row r="57" spans="1:26" ht="15.75" x14ac:dyDescent="0.25">
      <c r="A57" s="231"/>
      <c r="B57" s="266"/>
      <c r="C57" s="17" t="s">
        <v>63</v>
      </c>
      <c r="D57" s="16"/>
      <c r="E57" s="10">
        <v>30</v>
      </c>
      <c r="F57" s="17">
        <v>16</v>
      </c>
      <c r="G57" s="17">
        <v>16</v>
      </c>
      <c r="H57" s="17">
        <v>114</v>
      </c>
      <c r="I57" s="17">
        <v>16</v>
      </c>
      <c r="J57" s="17">
        <v>146</v>
      </c>
      <c r="K57" s="17">
        <v>3</v>
      </c>
      <c r="L57" s="17">
        <v>115</v>
      </c>
      <c r="M57" s="17">
        <v>12</v>
      </c>
      <c r="N57" s="17">
        <v>6</v>
      </c>
      <c r="O57" s="17">
        <v>6</v>
      </c>
      <c r="P57" s="17">
        <v>130</v>
      </c>
      <c r="Q57" s="17">
        <v>514</v>
      </c>
      <c r="R57" s="17">
        <v>1</v>
      </c>
      <c r="S57" s="17">
        <v>485</v>
      </c>
      <c r="T57" s="17">
        <v>16</v>
      </c>
      <c r="U57" s="17">
        <v>127</v>
      </c>
      <c r="V57" s="20">
        <v>16.166666666666668</v>
      </c>
      <c r="W57" s="20">
        <v>101.04166666666667</v>
      </c>
      <c r="X57" s="20">
        <v>3.8188976377952755</v>
      </c>
      <c r="Y57" s="20">
        <v>-3.9370078740157757E-2</v>
      </c>
      <c r="Z57" s="20">
        <v>7.9375</v>
      </c>
    </row>
    <row r="58" spans="1:26" ht="15.75" x14ac:dyDescent="0.25">
      <c r="A58" s="59"/>
      <c r="B58" s="266"/>
      <c r="C58" s="248" t="s">
        <v>64</v>
      </c>
      <c r="D58" s="22" t="s">
        <v>55</v>
      </c>
      <c r="E58" s="11">
        <v>30</v>
      </c>
      <c r="F58" s="11">
        <v>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5"/>
      <c r="X58" s="15"/>
      <c r="Y58" s="15"/>
      <c r="Z58" s="15"/>
    </row>
    <row r="59" spans="1:26" ht="15.75" x14ac:dyDescent="0.25">
      <c r="A59" s="253">
        <v>16</v>
      </c>
      <c r="B59" s="266"/>
      <c r="C59" s="249"/>
      <c r="D59" s="21" t="s">
        <v>48</v>
      </c>
      <c r="E59" s="10">
        <v>30</v>
      </c>
      <c r="F59" s="10">
        <v>4</v>
      </c>
      <c r="G59" s="28">
        <v>0</v>
      </c>
      <c r="H59" s="10">
        <v>3</v>
      </c>
      <c r="I59" s="10">
        <v>2</v>
      </c>
      <c r="J59" s="11">
        <v>5</v>
      </c>
      <c r="K59" s="10">
        <v>2</v>
      </c>
      <c r="L59" s="10">
        <v>3</v>
      </c>
      <c r="M59" s="11">
        <v>0</v>
      </c>
      <c r="N59" s="10">
        <v>0</v>
      </c>
      <c r="O59" s="10">
        <v>0</v>
      </c>
      <c r="P59" s="11">
        <v>5</v>
      </c>
      <c r="Q59" s="10">
        <v>10</v>
      </c>
      <c r="R59" s="10">
        <v>0</v>
      </c>
      <c r="S59" s="10">
        <v>6</v>
      </c>
      <c r="T59" s="12">
        <v>0</v>
      </c>
      <c r="U59" s="12">
        <v>3</v>
      </c>
      <c r="V59" s="13">
        <v>0.2</v>
      </c>
      <c r="W59" s="24">
        <v>5</v>
      </c>
      <c r="X59" s="24">
        <v>2</v>
      </c>
      <c r="Y59" s="23">
        <v>38</v>
      </c>
      <c r="Z59" s="24">
        <v>0.75</v>
      </c>
    </row>
    <row r="60" spans="1:26" ht="15.75" x14ac:dyDescent="0.25">
      <c r="A60" s="253"/>
      <c r="B60" s="266"/>
      <c r="C60" s="249"/>
      <c r="D60" s="21" t="s">
        <v>38</v>
      </c>
      <c r="E60" s="10">
        <v>30</v>
      </c>
      <c r="F60" s="10">
        <v>12</v>
      </c>
      <c r="G60" s="28">
        <v>1</v>
      </c>
      <c r="H60" s="10">
        <v>39</v>
      </c>
      <c r="I60" s="10">
        <v>132</v>
      </c>
      <c r="J60" s="11">
        <v>172</v>
      </c>
      <c r="K60" s="10">
        <v>140</v>
      </c>
      <c r="L60" s="10">
        <v>28</v>
      </c>
      <c r="M60" s="11">
        <v>0</v>
      </c>
      <c r="N60" s="10">
        <v>0</v>
      </c>
      <c r="O60" s="10">
        <v>0</v>
      </c>
      <c r="P60" s="11">
        <v>168</v>
      </c>
      <c r="Q60" s="10">
        <v>75</v>
      </c>
      <c r="R60" s="10">
        <v>0</v>
      </c>
      <c r="S60" s="10">
        <v>222</v>
      </c>
      <c r="T60" s="12">
        <v>4</v>
      </c>
      <c r="U60" s="12">
        <v>28</v>
      </c>
      <c r="V60" s="13">
        <v>7.4</v>
      </c>
      <c r="W60" s="24">
        <v>61.666666666666671</v>
      </c>
      <c r="X60" s="24">
        <v>7.9285714285714288</v>
      </c>
      <c r="Y60" s="23">
        <v>4.9285714285714288</v>
      </c>
      <c r="Z60" s="24">
        <v>2.3333333333333335</v>
      </c>
    </row>
    <row r="61" spans="1:26" ht="15.75" x14ac:dyDescent="0.25">
      <c r="A61" s="253"/>
      <c r="B61" s="266"/>
      <c r="C61" s="250"/>
      <c r="D61" s="21" t="s">
        <v>34</v>
      </c>
      <c r="E61" s="10">
        <v>30</v>
      </c>
      <c r="F61" s="10">
        <v>31</v>
      </c>
      <c r="G61" s="28">
        <v>13</v>
      </c>
      <c r="H61" s="10">
        <v>101</v>
      </c>
      <c r="I61" s="10">
        <v>257</v>
      </c>
      <c r="J61" s="11">
        <v>371</v>
      </c>
      <c r="K61" s="10">
        <v>63</v>
      </c>
      <c r="L61" s="10">
        <v>292</v>
      </c>
      <c r="M61" s="11">
        <v>1</v>
      </c>
      <c r="N61" s="10">
        <v>1</v>
      </c>
      <c r="O61" s="10">
        <v>0</v>
      </c>
      <c r="P61" s="11">
        <v>356</v>
      </c>
      <c r="Q61" s="10">
        <v>757</v>
      </c>
      <c r="R61" s="10">
        <v>0</v>
      </c>
      <c r="S61" s="10">
        <v>477</v>
      </c>
      <c r="T61" s="12">
        <v>15</v>
      </c>
      <c r="U61" s="12">
        <v>293</v>
      </c>
      <c r="V61" s="13">
        <v>15.9</v>
      </c>
      <c r="W61" s="24">
        <v>51.290322580645167</v>
      </c>
      <c r="X61" s="24">
        <v>1.6279863481228669</v>
      </c>
      <c r="Y61" s="23">
        <v>1.546075085324232</v>
      </c>
      <c r="Z61" s="24">
        <v>9.4516129032258061</v>
      </c>
    </row>
    <row r="62" spans="1:26" ht="15.75" x14ac:dyDescent="0.25">
      <c r="A62" s="253"/>
      <c r="B62" s="266"/>
      <c r="C62" s="17" t="s">
        <v>64</v>
      </c>
      <c r="D62" s="16"/>
      <c r="E62" s="10">
        <v>30</v>
      </c>
      <c r="F62" s="17">
        <v>48</v>
      </c>
      <c r="G62" s="17">
        <v>14</v>
      </c>
      <c r="H62" s="17">
        <v>143</v>
      </c>
      <c r="I62" s="17">
        <v>391</v>
      </c>
      <c r="J62" s="17">
        <v>548</v>
      </c>
      <c r="K62" s="17">
        <v>205</v>
      </c>
      <c r="L62" s="17">
        <v>323</v>
      </c>
      <c r="M62" s="17">
        <v>1</v>
      </c>
      <c r="N62" s="17">
        <v>1</v>
      </c>
      <c r="O62" s="17">
        <v>0</v>
      </c>
      <c r="P62" s="17">
        <v>529</v>
      </c>
      <c r="Q62" s="17">
        <v>842</v>
      </c>
      <c r="R62" s="17">
        <v>0</v>
      </c>
      <c r="S62" s="17">
        <v>705</v>
      </c>
      <c r="T62" s="17">
        <v>19</v>
      </c>
      <c r="U62" s="17">
        <v>324</v>
      </c>
      <c r="V62" s="20">
        <v>23.5</v>
      </c>
      <c r="W62" s="20">
        <v>48.958333333333329</v>
      </c>
      <c r="X62" s="20">
        <v>2.175925925925926</v>
      </c>
      <c r="Y62" s="20">
        <v>2.2685185185185186</v>
      </c>
      <c r="Z62" s="20">
        <v>6.75</v>
      </c>
    </row>
    <row r="63" spans="1:26" ht="15.75" x14ac:dyDescent="0.25">
      <c r="A63" s="253">
        <v>17</v>
      </c>
      <c r="B63" s="266"/>
      <c r="C63" s="11" t="s">
        <v>81</v>
      </c>
      <c r="D63" s="21" t="s">
        <v>38</v>
      </c>
      <c r="E63" s="10">
        <v>30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323"/>
      <c r="C64" s="17" t="s">
        <v>81</v>
      </c>
      <c r="D64" s="16" t="s">
        <v>38</v>
      </c>
      <c r="E64" s="10">
        <v>30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 t="e">
        <v>#DIV/0!</v>
      </c>
      <c r="X64" s="20" t="e">
        <v>#DIV/0!</v>
      </c>
      <c r="Y64" s="20" t="e">
        <v>#DIV/0!</v>
      </c>
      <c r="Z64" s="20" t="e">
        <v>#DIV/0!</v>
      </c>
    </row>
    <row r="65" spans="1:26" ht="15.75" x14ac:dyDescent="0.25">
      <c r="A65" s="255" t="s">
        <v>65</v>
      </c>
      <c r="B65" s="255"/>
      <c r="C65" s="255"/>
      <c r="D65" s="255"/>
      <c r="E65" s="10">
        <v>30</v>
      </c>
      <c r="F65" s="29">
        <v>326</v>
      </c>
      <c r="G65" s="29">
        <v>214</v>
      </c>
      <c r="H65" s="29">
        <v>1942</v>
      </c>
      <c r="I65" s="29">
        <v>692</v>
      </c>
      <c r="J65" s="28">
        <v>2848</v>
      </c>
      <c r="K65" s="29">
        <v>419</v>
      </c>
      <c r="L65" s="29">
        <v>2022</v>
      </c>
      <c r="M65" s="28">
        <v>175</v>
      </c>
      <c r="N65" s="29">
        <v>93</v>
      </c>
      <c r="O65" s="29">
        <v>82</v>
      </c>
      <c r="P65" s="28">
        <v>2616</v>
      </c>
      <c r="Q65" s="29">
        <v>7603</v>
      </c>
      <c r="R65" s="29">
        <v>27</v>
      </c>
      <c r="S65" s="29">
        <v>7547</v>
      </c>
      <c r="T65" s="28">
        <v>232</v>
      </c>
      <c r="U65" s="28">
        <v>2197</v>
      </c>
      <c r="V65" s="30">
        <v>251.56666666666666</v>
      </c>
      <c r="W65" s="30">
        <v>77.167689161554193</v>
      </c>
      <c r="X65" s="30">
        <v>3.4351388256713702</v>
      </c>
      <c r="Y65" s="30">
        <v>1.0163859808830222</v>
      </c>
      <c r="Z65" s="30">
        <v>6.7392638036809815</v>
      </c>
    </row>
    <row r="66" spans="1:26" ht="15.75" x14ac:dyDescent="0.25">
      <c r="A66" s="31"/>
      <c r="B66" s="108"/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x14ac:dyDescent="0.25">
      <c r="A67" s="33" t="s">
        <v>66</v>
      </c>
      <c r="B67" s="34"/>
      <c r="C67" s="32"/>
      <c r="D67" s="32"/>
      <c r="E67" s="1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customHeight="1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23</v>
      </c>
      <c r="X68" s="8" t="s">
        <v>24</v>
      </c>
      <c r="Y68" s="8" t="s">
        <v>25</v>
      </c>
      <c r="Z68" s="8" t="s">
        <v>26</v>
      </c>
    </row>
    <row r="69" spans="1:26" ht="15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.75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30</v>
      </c>
      <c r="F72" s="11"/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 t="e">
        <v>#DIV/0!</v>
      </c>
      <c r="X72" s="35" t="e">
        <v>#DIV/0!</v>
      </c>
      <c r="Y72" s="36" t="e">
        <v>#DIV/0!</v>
      </c>
      <c r="Z72" s="35" t="e">
        <v>#DIV/0!</v>
      </c>
    </row>
    <row r="73" spans="1:26" ht="15.75" x14ac:dyDescent="0.25">
      <c r="A73" s="247"/>
      <c r="B73" s="246"/>
      <c r="C73" s="17" t="s">
        <v>69</v>
      </c>
      <c r="D73" s="17"/>
      <c r="E73" s="10">
        <v>30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 t="e">
        <v>#DIV/0!</v>
      </c>
    </row>
    <row r="74" spans="1:26" ht="15.75" x14ac:dyDescent="0.25">
      <c r="A74" s="245">
        <v>2</v>
      </c>
      <c r="B74" s="246"/>
      <c r="C74" s="11" t="s">
        <v>70</v>
      </c>
      <c r="D74" s="11" t="s">
        <v>48</v>
      </c>
      <c r="E74" s="10">
        <v>30</v>
      </c>
      <c r="F74" s="11"/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 t="e">
        <v>#DIV/0!</v>
      </c>
      <c r="X74" s="15" t="e">
        <v>#DIV/0!</v>
      </c>
      <c r="Y74" s="14" t="e">
        <v>#DIV/0!</v>
      </c>
      <c r="Z74" s="15" t="e">
        <v>#DIV/0!</v>
      </c>
    </row>
    <row r="75" spans="1:26" ht="15.75" x14ac:dyDescent="0.25">
      <c r="A75" s="247"/>
      <c r="B75" s="246"/>
      <c r="C75" s="17" t="s">
        <v>70</v>
      </c>
      <c r="D75" s="17"/>
      <c r="E75" s="10">
        <v>30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 t="e">
        <v>#DIV/0!</v>
      </c>
      <c r="X75" s="20" t="e">
        <v>#DIV/0!</v>
      </c>
      <c r="Y75" s="20" t="e">
        <v>#DIV/0!</v>
      </c>
      <c r="Z75" s="20" t="e">
        <v>#DIV/0!</v>
      </c>
    </row>
    <row r="76" spans="1:26" ht="15.75" x14ac:dyDescent="0.25">
      <c r="A76" s="245">
        <v>3</v>
      </c>
      <c r="B76" s="246"/>
      <c r="C76" s="11" t="s">
        <v>63</v>
      </c>
      <c r="D76" s="11"/>
      <c r="E76" s="10">
        <v>30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x14ac:dyDescent="0.25">
      <c r="A77" s="247"/>
      <c r="B77" s="247"/>
      <c r="C77" s="17" t="s">
        <v>63</v>
      </c>
      <c r="D77" s="17"/>
      <c r="E77" s="10">
        <v>30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x14ac:dyDescent="0.25">
      <c r="A78" s="105" t="s">
        <v>71</v>
      </c>
      <c r="B78" s="105"/>
      <c r="C78" s="105"/>
      <c r="D78" s="105"/>
      <c r="E78" s="10">
        <v>30</v>
      </c>
      <c r="F78" s="29">
        <v>0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 t="e">
        <v>#DIV/0!</v>
      </c>
      <c r="X78" s="30" t="e">
        <v>#DIV/0!</v>
      </c>
      <c r="Y78" s="30" t="e">
        <v>#DIV/0!</v>
      </c>
      <c r="Z78" s="30" t="e">
        <v>#DIV/0!</v>
      </c>
    </row>
    <row r="79" spans="1:26" ht="18.75" x14ac:dyDescent="0.25">
      <c r="A79" s="106"/>
      <c r="B79" s="106"/>
      <c r="C79" s="106"/>
      <c r="D79" s="106"/>
      <c r="E79" s="1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23</v>
      </c>
      <c r="X80" s="8" t="s">
        <v>24</v>
      </c>
      <c r="Y80" s="8" t="s">
        <v>25</v>
      </c>
      <c r="Z80" s="8" t="s">
        <v>26</v>
      </c>
    </row>
    <row r="81" spans="1:26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26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26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.75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30</v>
      </c>
      <c r="F84" s="10">
        <v>30</v>
      </c>
      <c r="G84" s="10">
        <v>15</v>
      </c>
      <c r="H84" s="10">
        <v>171</v>
      </c>
      <c r="I84" s="10">
        <v>14</v>
      </c>
      <c r="J84" s="11">
        <v>200</v>
      </c>
      <c r="K84" s="10">
        <v>80</v>
      </c>
      <c r="L84" s="10">
        <v>92</v>
      </c>
      <c r="M84" s="11">
        <v>10</v>
      </c>
      <c r="N84" s="10">
        <v>8</v>
      </c>
      <c r="O84" s="10">
        <v>2</v>
      </c>
      <c r="P84" s="11">
        <v>182</v>
      </c>
      <c r="Q84" s="10">
        <v>532</v>
      </c>
      <c r="R84" s="10">
        <v>3</v>
      </c>
      <c r="S84" s="10">
        <v>626</v>
      </c>
      <c r="T84" s="11">
        <v>18</v>
      </c>
      <c r="U84" s="11">
        <v>102</v>
      </c>
      <c r="V84" s="15">
        <v>20.866666666666667</v>
      </c>
      <c r="W84" s="15">
        <v>69.555555555555557</v>
      </c>
      <c r="X84" s="15">
        <v>6.1372549019607847</v>
      </c>
      <c r="Y84" s="14">
        <v>2.6862745098039214</v>
      </c>
      <c r="Z84" s="15">
        <v>3.4</v>
      </c>
    </row>
    <row r="85" spans="1:26" ht="15.75" x14ac:dyDescent="0.25">
      <c r="A85" s="247"/>
      <c r="B85" s="246"/>
      <c r="C85" s="17" t="s">
        <v>69</v>
      </c>
      <c r="D85" s="17"/>
      <c r="E85" s="10">
        <v>30</v>
      </c>
      <c r="F85" s="41">
        <v>30</v>
      </c>
      <c r="G85" s="17">
        <v>15</v>
      </c>
      <c r="H85" s="17">
        <v>171</v>
      </c>
      <c r="I85" s="17">
        <v>14</v>
      </c>
      <c r="J85" s="17">
        <v>200</v>
      </c>
      <c r="K85" s="17">
        <v>80</v>
      </c>
      <c r="L85" s="17">
        <v>92</v>
      </c>
      <c r="M85" s="17">
        <v>10</v>
      </c>
      <c r="N85" s="17">
        <v>8</v>
      </c>
      <c r="O85" s="17">
        <v>2</v>
      </c>
      <c r="P85" s="17">
        <v>182</v>
      </c>
      <c r="Q85" s="17">
        <v>532</v>
      </c>
      <c r="R85" s="17">
        <v>3</v>
      </c>
      <c r="S85" s="17">
        <v>626</v>
      </c>
      <c r="T85" s="17">
        <v>18</v>
      </c>
      <c r="U85" s="17">
        <v>102</v>
      </c>
      <c r="V85" s="20">
        <v>20.866666666666667</v>
      </c>
      <c r="W85" s="20">
        <v>69.555555555555557</v>
      </c>
      <c r="X85" s="20">
        <v>6.1372549019607847</v>
      </c>
      <c r="Y85" s="20">
        <v>2.6862745098039214</v>
      </c>
      <c r="Z85" s="20">
        <v>3.4</v>
      </c>
    </row>
    <row r="86" spans="1:26" ht="15.75" x14ac:dyDescent="0.25">
      <c r="A86" s="141"/>
      <c r="B86" s="246"/>
      <c r="C86" s="112"/>
      <c r="D86" s="17"/>
      <c r="E86" s="10"/>
      <c r="F86" s="4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20"/>
      <c r="W86" s="20"/>
      <c r="X86" s="20"/>
      <c r="Y86" s="20"/>
      <c r="Z86" s="20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30</v>
      </c>
      <c r="F87" s="10"/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5">
        <v>0</v>
      </c>
      <c r="W87" s="15" t="e">
        <v>#DIV/0!</v>
      </c>
      <c r="X87" s="15" t="e">
        <v>#DIV/0!</v>
      </c>
      <c r="Y87" s="14" t="e">
        <v>#DIV/0!</v>
      </c>
      <c r="Z87" s="15" t="e">
        <v>#DIV/0!</v>
      </c>
    </row>
    <row r="88" spans="1:26" ht="15.75" x14ac:dyDescent="0.25">
      <c r="A88" s="246"/>
      <c r="B88" s="246"/>
      <c r="C88" s="249"/>
      <c r="D88" s="10" t="s">
        <v>38</v>
      </c>
      <c r="E88" s="10">
        <v>30</v>
      </c>
      <c r="F88" s="10"/>
      <c r="G88" s="11">
        <v>0</v>
      </c>
      <c r="H88" s="11">
        <v>0</v>
      </c>
      <c r="I88" s="11">
        <v>63</v>
      </c>
      <c r="J88" s="11">
        <v>63</v>
      </c>
      <c r="K88" s="11">
        <v>52</v>
      </c>
      <c r="L88" s="11">
        <v>11</v>
      </c>
      <c r="M88" s="11">
        <v>0</v>
      </c>
      <c r="N88" s="11">
        <v>0</v>
      </c>
      <c r="O88" s="11">
        <v>0</v>
      </c>
      <c r="P88" s="11">
        <v>63</v>
      </c>
      <c r="Q88" s="11">
        <v>14</v>
      </c>
      <c r="R88" s="11">
        <v>0</v>
      </c>
      <c r="S88" s="11">
        <v>65</v>
      </c>
      <c r="T88" s="11">
        <v>0</v>
      </c>
      <c r="U88" s="11">
        <v>11</v>
      </c>
      <c r="V88" s="15">
        <v>2.1666666666666665</v>
      </c>
      <c r="W88" s="15" t="e">
        <v>#DIV/0!</v>
      </c>
      <c r="X88" s="15">
        <v>5.9090909090909092</v>
      </c>
      <c r="Y88" s="14">
        <v>-5.9090909090909092</v>
      </c>
      <c r="Z88" s="15" t="e">
        <v>#DIV/0!</v>
      </c>
    </row>
    <row r="89" spans="1:26" ht="15.75" x14ac:dyDescent="0.25">
      <c r="A89" s="246"/>
      <c r="B89" s="246"/>
      <c r="C89" s="250"/>
      <c r="D89" s="10" t="s">
        <v>34</v>
      </c>
      <c r="E89" s="10">
        <v>30</v>
      </c>
      <c r="F89" s="10"/>
      <c r="G89" s="11">
        <v>2</v>
      </c>
      <c r="H89" s="11">
        <v>0</v>
      </c>
      <c r="I89" s="11">
        <v>131</v>
      </c>
      <c r="J89" s="11">
        <v>133</v>
      </c>
      <c r="K89" s="11">
        <v>3</v>
      </c>
      <c r="L89" s="11">
        <v>125</v>
      </c>
      <c r="M89" s="11">
        <v>0</v>
      </c>
      <c r="N89" s="11">
        <v>0</v>
      </c>
      <c r="O89" s="11">
        <v>0</v>
      </c>
      <c r="P89" s="11">
        <v>128</v>
      </c>
      <c r="Q89" s="11">
        <v>196</v>
      </c>
      <c r="R89" s="11">
        <v>0</v>
      </c>
      <c r="S89" s="11">
        <v>136</v>
      </c>
      <c r="T89" s="11">
        <v>5</v>
      </c>
      <c r="U89" s="11">
        <v>125</v>
      </c>
      <c r="V89" s="15">
        <v>4.5333333333333332</v>
      </c>
      <c r="W89" s="15" t="e">
        <v>#DIV/0!</v>
      </c>
      <c r="X89" s="15">
        <v>1.0880000000000001</v>
      </c>
      <c r="Y89" s="14">
        <v>-1.0880000000000001</v>
      </c>
      <c r="Z89" s="15" t="e">
        <v>#DIV/0!</v>
      </c>
    </row>
    <row r="90" spans="1:26" ht="15.75" x14ac:dyDescent="0.25">
      <c r="A90" s="247"/>
      <c r="B90" s="247"/>
      <c r="C90" s="17" t="s">
        <v>73</v>
      </c>
      <c r="D90" s="17"/>
      <c r="E90" s="10">
        <v>30</v>
      </c>
      <c r="F90" s="17">
        <v>0</v>
      </c>
      <c r="G90" s="17">
        <v>2</v>
      </c>
      <c r="H90" s="17">
        <v>0</v>
      </c>
      <c r="I90" s="17">
        <v>194</v>
      </c>
      <c r="J90" s="17">
        <v>196</v>
      </c>
      <c r="K90" s="17">
        <v>55</v>
      </c>
      <c r="L90" s="17">
        <v>136</v>
      </c>
      <c r="M90" s="17">
        <v>0</v>
      </c>
      <c r="N90" s="17">
        <v>0</v>
      </c>
      <c r="O90" s="17">
        <v>0</v>
      </c>
      <c r="P90" s="17">
        <v>191</v>
      </c>
      <c r="Q90" s="17">
        <v>210</v>
      </c>
      <c r="R90" s="17">
        <v>0</v>
      </c>
      <c r="S90" s="17">
        <v>201</v>
      </c>
      <c r="T90" s="17">
        <v>5</v>
      </c>
      <c r="U90" s="17">
        <v>136</v>
      </c>
      <c r="V90" s="20">
        <v>6.7</v>
      </c>
      <c r="W90" s="20" t="e">
        <v>#DIV/0!</v>
      </c>
      <c r="X90" s="20">
        <v>1.4779411764705883</v>
      </c>
      <c r="Y90" s="20">
        <v>-1.4779411764705883</v>
      </c>
      <c r="Z90" s="20" t="e">
        <v>#DIV/0!</v>
      </c>
    </row>
    <row r="91" spans="1:26" ht="15.75" x14ac:dyDescent="0.25">
      <c r="A91" s="105" t="s">
        <v>74</v>
      </c>
      <c r="B91" s="105"/>
      <c r="C91" s="105"/>
      <c r="D91" s="105"/>
      <c r="E91" s="10">
        <v>30</v>
      </c>
      <c r="F91" s="29">
        <v>30</v>
      </c>
      <c r="G91" s="29">
        <v>17</v>
      </c>
      <c r="H91" s="29">
        <v>171</v>
      </c>
      <c r="I91" s="29">
        <v>208</v>
      </c>
      <c r="J91" s="28">
        <v>396</v>
      </c>
      <c r="K91" s="29">
        <v>135</v>
      </c>
      <c r="L91" s="29">
        <v>228</v>
      </c>
      <c r="M91" s="28">
        <v>10</v>
      </c>
      <c r="N91" s="29">
        <v>8</v>
      </c>
      <c r="O91" s="29">
        <v>2</v>
      </c>
      <c r="P91" s="28">
        <v>373</v>
      </c>
      <c r="Q91" s="29">
        <v>742</v>
      </c>
      <c r="R91" s="29">
        <v>3</v>
      </c>
      <c r="S91" s="29">
        <v>827</v>
      </c>
      <c r="T91" s="28">
        <v>23</v>
      </c>
      <c r="U91" s="28">
        <v>238</v>
      </c>
      <c r="V91" s="29">
        <v>27.566666666666666</v>
      </c>
      <c r="W91" s="30">
        <v>91.888888888888886</v>
      </c>
      <c r="X91" s="30">
        <v>3.4747899159663866</v>
      </c>
      <c r="Y91" s="30">
        <v>0.30672268907563027</v>
      </c>
      <c r="Z91" s="30">
        <v>7.9333333333333336</v>
      </c>
    </row>
    <row r="92" spans="1:26" ht="15.75" x14ac:dyDescent="0.25">
      <c r="A92" s="31"/>
      <c r="D92" s="32"/>
      <c r="E92" s="10"/>
      <c r="G92">
        <v>36</v>
      </c>
    </row>
    <row r="93" spans="1:26" ht="15" customHeight="1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23</v>
      </c>
      <c r="X93" s="8" t="s">
        <v>24</v>
      </c>
      <c r="Y93" s="8" t="s">
        <v>25</v>
      </c>
      <c r="Z93" s="8" t="s">
        <v>26</v>
      </c>
    </row>
    <row r="94" spans="1:26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26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26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6" ht="15.75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30</v>
      </c>
      <c r="F97" s="10">
        <v>26</v>
      </c>
      <c r="G97" s="11">
        <v>8</v>
      </c>
      <c r="H97" s="11">
        <v>24</v>
      </c>
      <c r="I97" s="11">
        <v>82</v>
      </c>
      <c r="J97" s="11">
        <v>114</v>
      </c>
      <c r="K97" s="11">
        <v>90</v>
      </c>
      <c r="L97" s="11">
        <v>0</v>
      </c>
      <c r="M97" s="11">
        <v>12</v>
      </c>
      <c r="N97" s="11">
        <v>2</v>
      </c>
      <c r="O97" s="11">
        <v>10</v>
      </c>
      <c r="P97" s="11">
        <v>102</v>
      </c>
      <c r="Q97" s="11">
        <v>78</v>
      </c>
      <c r="R97" s="11">
        <v>2</v>
      </c>
      <c r="S97" s="11">
        <v>248</v>
      </c>
      <c r="T97" s="11">
        <v>12</v>
      </c>
      <c r="U97" s="11">
        <v>12</v>
      </c>
      <c r="V97" s="15">
        <v>8.2666666666666675</v>
      </c>
      <c r="W97" s="15">
        <v>31.794871794871799</v>
      </c>
      <c r="X97" s="15">
        <v>20.666666666666668</v>
      </c>
      <c r="Y97" s="14">
        <v>44.333333333333336</v>
      </c>
      <c r="Z97" s="15">
        <v>0.46153846153846156</v>
      </c>
    </row>
    <row r="98" spans="1:26" ht="15.75" x14ac:dyDescent="0.25">
      <c r="A98" s="247"/>
      <c r="B98" s="260"/>
      <c r="C98" s="17" t="s">
        <v>76</v>
      </c>
      <c r="D98" s="17" t="s">
        <v>48</v>
      </c>
      <c r="E98" s="10">
        <v>30</v>
      </c>
      <c r="F98" s="17">
        <v>26</v>
      </c>
      <c r="G98" s="17">
        <v>8</v>
      </c>
      <c r="H98" s="17">
        <v>24</v>
      </c>
      <c r="I98" s="17">
        <v>82</v>
      </c>
      <c r="J98" s="17">
        <v>114</v>
      </c>
      <c r="K98" s="17">
        <v>90</v>
      </c>
      <c r="L98" s="17">
        <v>0</v>
      </c>
      <c r="M98" s="17">
        <v>12</v>
      </c>
      <c r="N98" s="17">
        <v>2</v>
      </c>
      <c r="O98" s="17">
        <v>10</v>
      </c>
      <c r="P98" s="17">
        <v>102</v>
      </c>
      <c r="Q98" s="17">
        <v>78</v>
      </c>
      <c r="R98" s="17">
        <v>2</v>
      </c>
      <c r="S98" s="17">
        <v>248</v>
      </c>
      <c r="T98" s="17">
        <v>12</v>
      </c>
      <c r="U98" s="17">
        <v>12</v>
      </c>
      <c r="V98" s="20">
        <v>8.2666666666666675</v>
      </c>
      <c r="W98" s="20">
        <v>31.794871794871799</v>
      </c>
      <c r="X98" s="20">
        <v>20.666666666666668</v>
      </c>
      <c r="Y98" s="20">
        <v>44.333333333333336</v>
      </c>
      <c r="Z98" s="20">
        <v>0.46153846153846156</v>
      </c>
    </row>
    <row r="99" spans="1:26" ht="15.75" x14ac:dyDescent="0.25">
      <c r="A99" s="245">
        <v>2</v>
      </c>
      <c r="B99" s="260"/>
      <c r="C99" s="10" t="s">
        <v>77</v>
      </c>
      <c r="D99" s="10" t="s">
        <v>48</v>
      </c>
      <c r="E99" s="10">
        <v>30</v>
      </c>
      <c r="F99" s="10"/>
      <c r="G99" s="11">
        <v>3</v>
      </c>
      <c r="H99" s="11">
        <v>66</v>
      </c>
      <c r="I99" s="11">
        <v>9</v>
      </c>
      <c r="J99" s="11">
        <v>78</v>
      </c>
      <c r="K99" s="11">
        <v>66</v>
      </c>
      <c r="L99" s="11">
        <v>2</v>
      </c>
      <c r="M99" s="11">
        <v>5</v>
      </c>
      <c r="N99" s="11">
        <v>4</v>
      </c>
      <c r="O99" s="11">
        <v>1</v>
      </c>
      <c r="P99" s="11">
        <v>73</v>
      </c>
      <c r="Q99" s="11">
        <v>13</v>
      </c>
      <c r="R99" s="11">
        <v>4</v>
      </c>
      <c r="S99" s="11">
        <v>117</v>
      </c>
      <c r="T99" s="11">
        <v>5</v>
      </c>
      <c r="U99" s="11">
        <v>7</v>
      </c>
      <c r="V99" s="15">
        <v>3.9</v>
      </c>
      <c r="W99" s="15" t="e">
        <v>#DIV/0!</v>
      </c>
      <c r="X99" s="15">
        <v>16.714285714285715</v>
      </c>
      <c r="Y99" s="14">
        <v>-16.714285714285715</v>
      </c>
      <c r="Z99" s="15" t="e">
        <v>#DIV/0!</v>
      </c>
    </row>
    <row r="100" spans="1:26" ht="15.75" x14ac:dyDescent="0.25">
      <c r="A100" s="247"/>
      <c r="B100" s="260"/>
      <c r="C100" s="17" t="s">
        <v>77</v>
      </c>
      <c r="D100" s="17" t="s">
        <v>48</v>
      </c>
      <c r="E100" s="10">
        <v>30</v>
      </c>
      <c r="F100" s="17">
        <v>0</v>
      </c>
      <c r="G100" s="17">
        <v>3</v>
      </c>
      <c r="H100" s="17">
        <v>66</v>
      </c>
      <c r="I100" s="17">
        <v>9</v>
      </c>
      <c r="J100" s="17">
        <v>78</v>
      </c>
      <c r="K100" s="17">
        <v>66</v>
      </c>
      <c r="L100" s="17">
        <v>2</v>
      </c>
      <c r="M100" s="17">
        <v>5</v>
      </c>
      <c r="N100" s="17">
        <v>4</v>
      </c>
      <c r="O100" s="17">
        <v>1</v>
      </c>
      <c r="P100" s="17">
        <v>73</v>
      </c>
      <c r="Q100" s="17">
        <v>13</v>
      </c>
      <c r="R100" s="17">
        <v>4</v>
      </c>
      <c r="S100" s="17">
        <v>117</v>
      </c>
      <c r="T100" s="17">
        <v>5</v>
      </c>
      <c r="U100" s="17">
        <v>7</v>
      </c>
      <c r="V100" s="20">
        <v>3.9</v>
      </c>
      <c r="W100" s="20" t="e">
        <v>#DIV/0!</v>
      </c>
      <c r="X100" s="20">
        <v>16.714285714285715</v>
      </c>
      <c r="Y100" s="20">
        <v>-16.714285714285715</v>
      </c>
      <c r="Z100" s="20" t="e">
        <v>#DIV/0!</v>
      </c>
    </row>
    <row r="101" spans="1:26" ht="15.75" x14ac:dyDescent="0.25">
      <c r="A101" s="245">
        <v>3</v>
      </c>
      <c r="B101" s="260"/>
      <c r="C101" s="10" t="s">
        <v>78</v>
      </c>
      <c r="D101" s="10" t="s">
        <v>48</v>
      </c>
      <c r="E101" s="10">
        <v>30</v>
      </c>
      <c r="F101" s="10">
        <v>3</v>
      </c>
      <c r="G101" s="43">
        <v>3</v>
      </c>
      <c r="H101" s="43">
        <v>11</v>
      </c>
      <c r="I101" s="43">
        <v>10</v>
      </c>
      <c r="J101" s="11">
        <v>24</v>
      </c>
      <c r="K101" s="43">
        <v>17</v>
      </c>
      <c r="L101" s="43">
        <v>0</v>
      </c>
      <c r="M101" s="11">
        <v>4</v>
      </c>
      <c r="N101" s="43">
        <v>1</v>
      </c>
      <c r="O101" s="43">
        <v>3</v>
      </c>
      <c r="P101" s="11">
        <v>21</v>
      </c>
      <c r="Q101" s="43">
        <v>25</v>
      </c>
      <c r="R101" s="43">
        <v>0</v>
      </c>
      <c r="S101" s="43">
        <v>69</v>
      </c>
      <c r="T101" s="11">
        <v>3</v>
      </c>
      <c r="U101" s="11">
        <v>4</v>
      </c>
      <c r="V101" s="15">
        <v>2.2999999999999998</v>
      </c>
      <c r="W101" s="15">
        <v>76.666666666666657</v>
      </c>
      <c r="X101" s="15">
        <v>17.25</v>
      </c>
      <c r="Y101" s="14">
        <v>5.2500000000000018</v>
      </c>
      <c r="Z101" s="15">
        <v>1.3333333333333333</v>
      </c>
    </row>
    <row r="102" spans="1:26" ht="15.75" x14ac:dyDescent="0.25">
      <c r="A102" s="247"/>
      <c r="B102" s="260"/>
      <c r="C102" s="17" t="s">
        <v>78</v>
      </c>
      <c r="D102" s="17" t="s">
        <v>48</v>
      </c>
      <c r="E102" s="10">
        <v>30</v>
      </c>
      <c r="F102" s="17">
        <v>3</v>
      </c>
      <c r="G102" s="17">
        <v>3</v>
      </c>
      <c r="H102" s="17">
        <v>11</v>
      </c>
      <c r="I102" s="17">
        <v>10</v>
      </c>
      <c r="J102" s="17">
        <v>24</v>
      </c>
      <c r="K102" s="17">
        <v>17</v>
      </c>
      <c r="L102" s="17">
        <v>0</v>
      </c>
      <c r="M102" s="17">
        <v>4</v>
      </c>
      <c r="N102" s="17">
        <v>1</v>
      </c>
      <c r="O102" s="17">
        <v>3</v>
      </c>
      <c r="P102" s="17">
        <v>21</v>
      </c>
      <c r="Q102" s="17">
        <v>25</v>
      </c>
      <c r="R102" s="17">
        <v>0</v>
      </c>
      <c r="S102" s="17">
        <v>69</v>
      </c>
      <c r="T102" s="17">
        <v>3</v>
      </c>
      <c r="U102" s="17">
        <v>4</v>
      </c>
      <c r="V102" s="20">
        <v>2.2999999999999998</v>
      </c>
      <c r="W102" s="20">
        <v>76.666666666666657</v>
      </c>
      <c r="X102" s="20">
        <v>17.25</v>
      </c>
      <c r="Y102" s="20">
        <v>5.2500000000000018</v>
      </c>
      <c r="Z102" s="20">
        <v>1.3333333333333333</v>
      </c>
    </row>
    <row r="103" spans="1:26" ht="15.75" x14ac:dyDescent="0.25">
      <c r="A103" s="245">
        <v>4</v>
      </c>
      <c r="B103" s="260"/>
      <c r="C103" s="11" t="s">
        <v>79</v>
      </c>
      <c r="D103" s="11" t="s">
        <v>48</v>
      </c>
      <c r="E103" s="10">
        <v>30</v>
      </c>
      <c r="F103" s="11">
        <v>5</v>
      </c>
      <c r="G103" s="11">
        <v>4</v>
      </c>
      <c r="H103" s="11">
        <v>6</v>
      </c>
      <c r="I103" s="11">
        <v>22</v>
      </c>
      <c r="J103" s="11">
        <v>32</v>
      </c>
      <c r="K103" s="11">
        <v>20</v>
      </c>
      <c r="L103" s="11">
        <v>0</v>
      </c>
      <c r="M103" s="11">
        <v>8</v>
      </c>
      <c r="N103" s="11">
        <v>3</v>
      </c>
      <c r="O103" s="11">
        <v>5</v>
      </c>
      <c r="P103" s="11">
        <v>28</v>
      </c>
      <c r="Q103" s="11">
        <v>46</v>
      </c>
      <c r="R103" s="11">
        <v>0</v>
      </c>
      <c r="S103" s="11">
        <v>131</v>
      </c>
      <c r="T103" s="11">
        <v>4</v>
      </c>
      <c r="U103" s="11">
        <v>8</v>
      </c>
      <c r="V103" s="15">
        <v>4.3666666666666663</v>
      </c>
      <c r="W103" s="15">
        <v>87.333333333333329</v>
      </c>
      <c r="X103" s="15">
        <v>16.375</v>
      </c>
      <c r="Y103" s="14">
        <v>2.3750000000000018</v>
      </c>
      <c r="Z103" s="15">
        <v>1.6</v>
      </c>
    </row>
    <row r="104" spans="1:26" ht="15.75" x14ac:dyDescent="0.25">
      <c r="A104" s="247"/>
      <c r="B104" s="260"/>
      <c r="C104" s="17" t="s">
        <v>79</v>
      </c>
      <c r="D104" s="17" t="s">
        <v>48</v>
      </c>
      <c r="E104" s="10">
        <v>30</v>
      </c>
      <c r="F104" s="17">
        <v>5</v>
      </c>
      <c r="G104" s="17">
        <v>4</v>
      </c>
      <c r="H104" s="17">
        <v>6</v>
      </c>
      <c r="I104" s="17">
        <v>22</v>
      </c>
      <c r="J104" s="17">
        <v>32</v>
      </c>
      <c r="K104" s="17">
        <v>20</v>
      </c>
      <c r="L104" s="17">
        <v>0</v>
      </c>
      <c r="M104" s="17">
        <v>8</v>
      </c>
      <c r="N104" s="17">
        <v>3</v>
      </c>
      <c r="O104" s="17">
        <v>5</v>
      </c>
      <c r="P104" s="17">
        <v>28</v>
      </c>
      <c r="Q104" s="17">
        <v>46</v>
      </c>
      <c r="R104" s="17">
        <v>0</v>
      </c>
      <c r="S104" s="17">
        <v>131</v>
      </c>
      <c r="T104" s="17">
        <v>4</v>
      </c>
      <c r="U104" s="17">
        <v>8</v>
      </c>
      <c r="V104" s="20">
        <v>4.3666666666666663</v>
      </c>
      <c r="W104" s="20">
        <v>87.333333333333329</v>
      </c>
      <c r="X104" s="20">
        <v>16.375</v>
      </c>
      <c r="Y104" s="20">
        <v>2.3750000000000018</v>
      </c>
      <c r="Z104" s="20">
        <v>1.6</v>
      </c>
    </row>
    <row r="105" spans="1:26" ht="15.75" customHeight="1" x14ac:dyDescent="0.25">
      <c r="A105" s="245">
        <v>5</v>
      </c>
      <c r="B105" s="260"/>
      <c r="C105" s="11" t="s">
        <v>80</v>
      </c>
      <c r="D105" s="11" t="s">
        <v>48</v>
      </c>
      <c r="E105" s="10">
        <v>30</v>
      </c>
      <c r="F105" s="11"/>
      <c r="G105" s="11">
        <v>2</v>
      </c>
      <c r="H105" s="11">
        <v>29</v>
      </c>
      <c r="I105" s="11">
        <v>6</v>
      </c>
      <c r="J105" s="11">
        <v>37</v>
      </c>
      <c r="K105" s="11">
        <v>23</v>
      </c>
      <c r="L105" s="11">
        <v>0</v>
      </c>
      <c r="M105" s="11">
        <v>12</v>
      </c>
      <c r="N105" s="11">
        <v>9</v>
      </c>
      <c r="O105" s="11">
        <v>3</v>
      </c>
      <c r="P105" s="11">
        <v>35</v>
      </c>
      <c r="Q105" s="11">
        <v>22</v>
      </c>
      <c r="R105" s="11">
        <v>4</v>
      </c>
      <c r="S105" s="11">
        <v>77</v>
      </c>
      <c r="T105" s="11">
        <v>2</v>
      </c>
      <c r="U105" s="11">
        <v>12</v>
      </c>
      <c r="V105" s="15">
        <v>2.5666666666666669</v>
      </c>
      <c r="W105" s="15" t="e">
        <v>#DIV/0!</v>
      </c>
      <c r="X105" s="15">
        <v>6.416666666666667</v>
      </c>
      <c r="Y105" s="14">
        <v>-6.416666666666667</v>
      </c>
      <c r="Z105" s="15" t="e">
        <v>#DIV/0!</v>
      </c>
    </row>
    <row r="106" spans="1:26" ht="15.75" customHeight="1" x14ac:dyDescent="0.25">
      <c r="A106" s="247"/>
      <c r="B106" s="260"/>
      <c r="C106" s="17" t="s">
        <v>80</v>
      </c>
      <c r="D106" s="17" t="s">
        <v>48</v>
      </c>
      <c r="E106" s="10">
        <v>30</v>
      </c>
      <c r="F106" s="17">
        <v>0</v>
      </c>
      <c r="G106" s="17">
        <v>2</v>
      </c>
      <c r="H106" s="17">
        <v>29</v>
      </c>
      <c r="I106" s="17">
        <v>6</v>
      </c>
      <c r="J106" s="17">
        <v>37</v>
      </c>
      <c r="K106" s="17">
        <v>23</v>
      </c>
      <c r="L106" s="17">
        <v>0</v>
      </c>
      <c r="M106" s="17">
        <v>12</v>
      </c>
      <c r="N106" s="17">
        <v>9</v>
      </c>
      <c r="O106" s="17">
        <v>3</v>
      </c>
      <c r="P106" s="17">
        <v>35</v>
      </c>
      <c r="Q106" s="17">
        <v>22</v>
      </c>
      <c r="R106" s="17">
        <v>4</v>
      </c>
      <c r="S106" s="17">
        <v>77</v>
      </c>
      <c r="T106" s="17">
        <v>2</v>
      </c>
      <c r="U106" s="17">
        <v>12</v>
      </c>
      <c r="V106" s="20">
        <v>2.5666666666666669</v>
      </c>
      <c r="W106" s="20" t="e">
        <v>#DIV/0!</v>
      </c>
      <c r="X106" s="20">
        <v>6.416666666666667</v>
      </c>
      <c r="Y106" s="20">
        <v>-6.416666666666667</v>
      </c>
      <c r="Z106" s="20" t="e">
        <v>#DIV/0!</v>
      </c>
    </row>
    <row r="107" spans="1:26" ht="15.75" x14ac:dyDescent="0.25">
      <c r="A107" s="245">
        <v>6</v>
      </c>
      <c r="B107" s="260"/>
      <c r="C107" s="11" t="s">
        <v>70</v>
      </c>
      <c r="D107" s="11" t="s">
        <v>48</v>
      </c>
      <c r="E107" s="10">
        <v>30</v>
      </c>
      <c r="F107" s="11"/>
      <c r="G107" s="11">
        <v>2</v>
      </c>
      <c r="H107" s="11">
        <v>9</v>
      </c>
      <c r="I107" s="11">
        <v>4</v>
      </c>
      <c r="J107" s="11">
        <v>15</v>
      </c>
      <c r="K107" s="11">
        <v>8</v>
      </c>
      <c r="L107" s="11">
        <v>1</v>
      </c>
      <c r="M107" s="11">
        <v>4</v>
      </c>
      <c r="N107" s="11">
        <v>4</v>
      </c>
      <c r="O107" s="11">
        <v>0</v>
      </c>
      <c r="P107" s="11">
        <v>13</v>
      </c>
      <c r="Q107" s="11">
        <v>11</v>
      </c>
      <c r="R107" s="11">
        <v>1</v>
      </c>
      <c r="S107" s="11">
        <v>29</v>
      </c>
      <c r="T107" s="11">
        <v>2</v>
      </c>
      <c r="U107" s="11">
        <v>5</v>
      </c>
      <c r="V107" s="44">
        <v>0.96666666666666667</v>
      </c>
      <c r="W107" s="44" t="e">
        <v>#DIV/0!</v>
      </c>
      <c r="X107" s="44">
        <v>5.8</v>
      </c>
      <c r="Y107" s="45">
        <v>-5.8</v>
      </c>
      <c r="Z107" s="44" t="e">
        <v>#DIV/0!</v>
      </c>
    </row>
    <row r="108" spans="1:26" ht="15.75" x14ac:dyDescent="0.25">
      <c r="A108" s="247"/>
      <c r="B108" s="260"/>
      <c r="C108" s="17" t="s">
        <v>70</v>
      </c>
      <c r="D108" s="17"/>
      <c r="E108" s="10">
        <v>30</v>
      </c>
      <c r="F108" s="17">
        <v>0</v>
      </c>
      <c r="G108" s="17">
        <v>2</v>
      </c>
      <c r="H108" s="17">
        <v>9</v>
      </c>
      <c r="I108" s="17">
        <v>4</v>
      </c>
      <c r="J108" s="17">
        <v>15</v>
      </c>
      <c r="K108" s="17">
        <v>8</v>
      </c>
      <c r="L108" s="17">
        <v>1</v>
      </c>
      <c r="M108" s="17">
        <v>4</v>
      </c>
      <c r="N108" s="17">
        <v>4</v>
      </c>
      <c r="O108" s="17">
        <v>0</v>
      </c>
      <c r="P108" s="17">
        <v>13</v>
      </c>
      <c r="Q108" s="17">
        <v>11</v>
      </c>
      <c r="R108" s="17">
        <v>1</v>
      </c>
      <c r="S108" s="17">
        <v>29</v>
      </c>
      <c r="T108" s="17">
        <v>2</v>
      </c>
      <c r="U108" s="17">
        <v>5</v>
      </c>
      <c r="V108" s="46">
        <v>0.96666666666666667</v>
      </c>
      <c r="W108" s="46" t="e">
        <v>#DIV/0!</v>
      </c>
      <c r="X108" s="46">
        <v>5.8</v>
      </c>
      <c r="Y108" s="46">
        <v>-5.8</v>
      </c>
      <c r="Z108" s="46" t="e">
        <v>#DIV/0!</v>
      </c>
    </row>
    <row r="109" spans="1:26" ht="15.75" customHeight="1" x14ac:dyDescent="0.25">
      <c r="A109" s="245">
        <v>7</v>
      </c>
      <c r="B109" s="260"/>
      <c r="C109" s="11" t="s">
        <v>81</v>
      </c>
      <c r="D109" s="11" t="s">
        <v>48</v>
      </c>
      <c r="E109" s="10">
        <v>30</v>
      </c>
      <c r="F109" s="11"/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 t="e">
        <v>#DIV/0!</v>
      </c>
      <c r="X109" s="15" t="e">
        <v>#DIV/0!</v>
      </c>
      <c r="Y109" s="14" t="e">
        <v>#DIV/0!</v>
      </c>
      <c r="Z109" s="15" t="e">
        <v>#DIV/0!</v>
      </c>
    </row>
    <row r="110" spans="1:26" ht="15.75" customHeight="1" x14ac:dyDescent="0.25">
      <c r="A110" s="247"/>
      <c r="B110" s="260"/>
      <c r="C110" s="17" t="s">
        <v>81</v>
      </c>
      <c r="D110" s="17" t="s">
        <v>48</v>
      </c>
      <c r="E110" s="10">
        <v>30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 t="e">
        <v>#DIV/0!</v>
      </c>
      <c r="X110" s="20" t="e">
        <v>#DIV/0!</v>
      </c>
      <c r="Y110" s="20" t="e">
        <v>#DIV/0!</v>
      </c>
      <c r="Z110" s="20" t="e">
        <v>#DIV/0!</v>
      </c>
    </row>
    <row r="111" spans="1:26" ht="15.75" customHeight="1" x14ac:dyDescent="0.25">
      <c r="A111" s="245">
        <v>8</v>
      </c>
      <c r="B111" s="260"/>
      <c r="C111" s="11" t="s">
        <v>82</v>
      </c>
      <c r="D111" s="11" t="s">
        <v>38</v>
      </c>
      <c r="E111" s="10">
        <v>30</v>
      </c>
      <c r="F111" s="11"/>
      <c r="G111" s="11">
        <v>5</v>
      </c>
      <c r="H111" s="11">
        <v>267</v>
      </c>
      <c r="I111" s="11">
        <v>3</v>
      </c>
      <c r="J111" s="11">
        <v>275</v>
      </c>
      <c r="K111" s="11">
        <v>261</v>
      </c>
      <c r="L111" s="11">
        <v>2</v>
      </c>
      <c r="M111" s="11">
        <v>7</v>
      </c>
      <c r="N111" s="11">
        <v>7</v>
      </c>
      <c r="O111" s="11">
        <v>0</v>
      </c>
      <c r="P111" s="11">
        <v>270</v>
      </c>
      <c r="Q111" s="11">
        <v>9</v>
      </c>
      <c r="R111" s="11">
        <v>8</v>
      </c>
      <c r="S111" s="11">
        <v>96</v>
      </c>
      <c r="T111" s="11">
        <v>5</v>
      </c>
      <c r="U111" s="11">
        <v>9</v>
      </c>
      <c r="V111" s="15">
        <v>3.2</v>
      </c>
      <c r="W111" s="15" t="e">
        <v>#DIV/0!</v>
      </c>
      <c r="X111" s="15">
        <v>10.666666666666666</v>
      </c>
      <c r="Y111" s="14">
        <v>-10.666666666666666</v>
      </c>
      <c r="Z111" s="15" t="e">
        <v>#DIV/0!</v>
      </c>
    </row>
    <row r="112" spans="1:26" ht="15.75" customHeight="1" x14ac:dyDescent="0.25">
      <c r="A112" s="247"/>
      <c r="B112" s="260"/>
      <c r="C112" s="17" t="s">
        <v>82</v>
      </c>
      <c r="D112" s="17" t="s">
        <v>38</v>
      </c>
      <c r="E112" s="10">
        <v>30</v>
      </c>
      <c r="F112" s="17">
        <v>0</v>
      </c>
      <c r="G112" s="17">
        <v>5</v>
      </c>
      <c r="H112" s="17">
        <v>267</v>
      </c>
      <c r="I112" s="17">
        <v>3</v>
      </c>
      <c r="J112" s="17">
        <v>275</v>
      </c>
      <c r="K112" s="17">
        <v>261</v>
      </c>
      <c r="L112" s="17">
        <v>2</v>
      </c>
      <c r="M112" s="17">
        <v>7</v>
      </c>
      <c r="N112" s="17">
        <v>7</v>
      </c>
      <c r="O112" s="17">
        <v>0</v>
      </c>
      <c r="P112" s="17">
        <v>270</v>
      </c>
      <c r="Q112" s="17">
        <v>9</v>
      </c>
      <c r="R112" s="17">
        <v>8</v>
      </c>
      <c r="S112" s="17">
        <v>96</v>
      </c>
      <c r="T112" s="17">
        <v>5</v>
      </c>
      <c r="U112" s="17">
        <v>9</v>
      </c>
      <c r="V112" s="20">
        <v>3.2</v>
      </c>
      <c r="W112" s="20" t="e">
        <v>#DIV/0!</v>
      </c>
      <c r="X112" s="20">
        <v>10.666666666666666</v>
      </c>
      <c r="Y112" s="20">
        <v>-10.666666666666666</v>
      </c>
      <c r="Z112" s="20" t="e">
        <v>#DIV/0!</v>
      </c>
    </row>
    <row r="113" spans="1:26" ht="15.75" hidden="1" customHeight="1" x14ac:dyDescent="0.25">
      <c r="A113" s="245">
        <v>9</v>
      </c>
      <c r="B113" s="260"/>
      <c r="C113" s="11" t="s">
        <v>64</v>
      </c>
      <c r="D113" s="11" t="s">
        <v>83</v>
      </c>
      <c r="E113" s="10">
        <v>30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26" ht="15.75" hidden="1" x14ac:dyDescent="0.25">
      <c r="A114" s="247"/>
      <c r="B114" s="260"/>
      <c r="C114" s="17" t="s">
        <v>64</v>
      </c>
      <c r="D114" s="17" t="s">
        <v>83</v>
      </c>
      <c r="E114" s="10">
        <v>30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26" ht="15.75" hidden="1" x14ac:dyDescent="0.25">
      <c r="A115" s="245">
        <v>10</v>
      </c>
      <c r="B115" s="260"/>
      <c r="C115" s="10" t="s">
        <v>73</v>
      </c>
      <c r="D115" s="10" t="s">
        <v>83</v>
      </c>
      <c r="E115" s="10">
        <v>30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26" ht="15.75" hidden="1" x14ac:dyDescent="0.25">
      <c r="A116" s="247"/>
      <c r="B116" s="261"/>
      <c r="C116" s="17" t="s">
        <v>73</v>
      </c>
      <c r="D116" s="17" t="s">
        <v>83</v>
      </c>
      <c r="E116" s="10">
        <v>30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x14ac:dyDescent="0.25">
      <c r="A117" s="232" t="s">
        <v>84</v>
      </c>
      <c r="B117" s="233"/>
      <c r="C117" s="233"/>
      <c r="D117" s="234"/>
      <c r="E117" s="10">
        <v>30</v>
      </c>
      <c r="F117" s="29">
        <v>34</v>
      </c>
      <c r="G117" s="29">
        <v>27</v>
      </c>
      <c r="H117" s="29">
        <v>412</v>
      </c>
      <c r="I117" s="29">
        <v>136</v>
      </c>
      <c r="J117" s="28">
        <v>575</v>
      </c>
      <c r="K117" s="29">
        <v>485</v>
      </c>
      <c r="L117" s="29">
        <v>5</v>
      </c>
      <c r="M117" s="28">
        <v>52</v>
      </c>
      <c r="N117" s="29">
        <v>30</v>
      </c>
      <c r="O117" s="29">
        <v>22</v>
      </c>
      <c r="P117" s="28">
        <v>542</v>
      </c>
      <c r="Q117" s="29">
        <v>204</v>
      </c>
      <c r="R117" s="29">
        <v>19</v>
      </c>
      <c r="S117" s="29">
        <v>767</v>
      </c>
      <c r="T117" s="28">
        <v>33</v>
      </c>
      <c r="U117" s="28">
        <v>57</v>
      </c>
      <c r="V117" s="47">
        <v>25.566666666666666</v>
      </c>
      <c r="W117" s="30">
        <v>75.196078431372541</v>
      </c>
      <c r="X117" s="30">
        <v>13.456140350877194</v>
      </c>
      <c r="Y117" s="30">
        <v>4.4385964912280702</v>
      </c>
      <c r="Z117" s="30">
        <v>1.6764705882352942</v>
      </c>
    </row>
    <row r="118" spans="1:26" ht="15.75" x14ac:dyDescent="0.25">
      <c r="A118" s="235" t="s">
        <v>85</v>
      </c>
      <c r="B118" s="236"/>
      <c r="C118" s="236"/>
      <c r="D118" s="237"/>
      <c r="E118" s="10">
        <v>30</v>
      </c>
      <c r="F118" s="49">
        <v>390</v>
      </c>
      <c r="G118" s="49">
        <v>258</v>
      </c>
      <c r="H118" s="49">
        <v>2525</v>
      </c>
      <c r="I118" s="49">
        <v>1036</v>
      </c>
      <c r="J118" s="48">
        <v>3819</v>
      </c>
      <c r="K118" s="49">
        <v>1039</v>
      </c>
      <c r="L118" s="49">
        <v>2255</v>
      </c>
      <c r="M118" s="48">
        <v>237</v>
      </c>
      <c r="N118" s="49">
        <v>131</v>
      </c>
      <c r="O118" s="49">
        <v>106</v>
      </c>
      <c r="P118" s="48">
        <v>3531</v>
      </c>
      <c r="Q118" s="49">
        <v>8549</v>
      </c>
      <c r="R118" s="49">
        <v>49</v>
      </c>
      <c r="S118" s="49">
        <v>9141</v>
      </c>
      <c r="T118" s="49">
        <v>288</v>
      </c>
      <c r="U118" s="48">
        <v>2492</v>
      </c>
      <c r="V118" s="50">
        <v>304.7</v>
      </c>
      <c r="W118" s="51">
        <v>78.128205128205124</v>
      </c>
      <c r="X118" s="51">
        <v>3.6681380417335472</v>
      </c>
      <c r="Y118" s="51">
        <v>1.0268860353130018</v>
      </c>
      <c r="Z118" s="51">
        <v>6.3897435897435901</v>
      </c>
    </row>
    <row r="119" spans="1:26" x14ac:dyDescent="0.25">
      <c r="F119">
        <f>+F65+F78+F91+F117</f>
        <v>390</v>
      </c>
    </row>
  </sheetData>
  <sheetProtection algorithmName="SHA-512" hashValue="VBqycG8fesZiYc+rzv1a9lzLzJ99DEySPRYaNH+3Xrqq0wJ5il22qvs3IR3TFT51MnI/9RrIbsnnT+FZq24J3A==" saltValue="KyS/5JCln4NXf2lkJq/e2A==" spinCount="100000" sheet="1" objects="1" scenarios="1"/>
  <mergeCells count="150"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9:A21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A38:A42"/>
    <mergeCell ref="C38:C41"/>
    <mergeCell ref="A44:A46"/>
    <mergeCell ref="A47:A51"/>
    <mergeCell ref="C47:C50"/>
    <mergeCell ref="A53:A54"/>
    <mergeCell ref="C19:C20"/>
    <mergeCell ref="A22:A23"/>
    <mergeCell ref="A25:A26"/>
    <mergeCell ref="A27:A28"/>
    <mergeCell ref="A30:A32"/>
    <mergeCell ref="A34:A37"/>
    <mergeCell ref="I68:I70"/>
    <mergeCell ref="J68:J70"/>
    <mergeCell ref="A56:A57"/>
    <mergeCell ref="C58:C61"/>
    <mergeCell ref="A59:A62"/>
    <mergeCell ref="A63:A64"/>
    <mergeCell ref="A65:D65"/>
    <mergeCell ref="A68:A71"/>
    <mergeCell ref="B68:B71"/>
    <mergeCell ref="C68:C71"/>
    <mergeCell ref="D68:D71"/>
    <mergeCell ref="W69:W70"/>
    <mergeCell ref="X69:X70"/>
    <mergeCell ref="Y69:Y70"/>
    <mergeCell ref="Z69:Z70"/>
    <mergeCell ref="A72:A73"/>
    <mergeCell ref="B72:B77"/>
    <mergeCell ref="A74:A75"/>
    <mergeCell ref="A76:A77"/>
    <mergeCell ref="Q68:Q70"/>
    <mergeCell ref="R68:R70"/>
    <mergeCell ref="S68:S70"/>
    <mergeCell ref="T68:T70"/>
    <mergeCell ref="U68:U71"/>
    <mergeCell ref="V69:V70"/>
    <mergeCell ref="K68:K70"/>
    <mergeCell ref="L68:L70"/>
    <mergeCell ref="M68:M70"/>
    <mergeCell ref="N68:N70"/>
    <mergeCell ref="O68:O70"/>
    <mergeCell ref="P68:P70"/>
    <mergeCell ref="E68:E71"/>
    <mergeCell ref="F68:F71"/>
    <mergeCell ref="G68:G70"/>
    <mergeCell ref="H68:H70"/>
    <mergeCell ref="G80:G82"/>
    <mergeCell ref="H80:H82"/>
    <mergeCell ref="I80:I82"/>
    <mergeCell ref="J80:J82"/>
    <mergeCell ref="K80:K82"/>
    <mergeCell ref="L80:L82"/>
    <mergeCell ref="A80:A83"/>
    <mergeCell ref="B80:B83"/>
    <mergeCell ref="C80:C83"/>
    <mergeCell ref="D80:D83"/>
    <mergeCell ref="E80:E83"/>
    <mergeCell ref="F80:F83"/>
    <mergeCell ref="A93:A96"/>
    <mergeCell ref="B93:B96"/>
    <mergeCell ref="C93:C96"/>
    <mergeCell ref="D93:D96"/>
    <mergeCell ref="E93:E96"/>
    <mergeCell ref="F93:F96"/>
    <mergeCell ref="Y81:Y82"/>
    <mergeCell ref="Z81:Z82"/>
    <mergeCell ref="A84:A85"/>
    <mergeCell ref="B84:B90"/>
    <mergeCell ref="A87:A90"/>
    <mergeCell ref="C87:C89"/>
    <mergeCell ref="S80:S82"/>
    <mergeCell ref="T80:T82"/>
    <mergeCell ref="U80:U83"/>
    <mergeCell ref="V81:V82"/>
    <mergeCell ref="W81:W82"/>
    <mergeCell ref="X81:X82"/>
    <mergeCell ref="M80:M82"/>
    <mergeCell ref="N80:N82"/>
    <mergeCell ref="O80:O82"/>
    <mergeCell ref="P80:P82"/>
    <mergeCell ref="Q80:Q82"/>
    <mergeCell ref="R80:R82"/>
    <mergeCell ref="P93:P95"/>
    <mergeCell ref="Q93:Q95"/>
    <mergeCell ref="R93:R95"/>
    <mergeCell ref="G93:G95"/>
    <mergeCell ref="H93:H95"/>
    <mergeCell ref="I93:I95"/>
    <mergeCell ref="J93:J95"/>
    <mergeCell ref="K93:K95"/>
    <mergeCell ref="L93:L95"/>
    <mergeCell ref="A111:A112"/>
    <mergeCell ref="A113:A114"/>
    <mergeCell ref="A115:A116"/>
    <mergeCell ref="A117:D117"/>
    <mergeCell ref="A118:D118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7:A108"/>
    <mergeCell ref="A109:A110"/>
    <mergeCell ref="S93:S95"/>
    <mergeCell ref="T93:T95"/>
    <mergeCell ref="U93:U96"/>
    <mergeCell ref="V94:V95"/>
    <mergeCell ref="W94:W95"/>
    <mergeCell ref="X94:X95"/>
    <mergeCell ref="M93:M95"/>
    <mergeCell ref="N93:N95"/>
    <mergeCell ref="O93:O95"/>
  </mergeCells>
  <printOptions horizontalCentered="1"/>
  <pageMargins left="0.39370078740157483" right="0.39370078740157483" top="0.39370078740157483" bottom="0.39370078740157483" header="0.31496062992125984" footer="0.31496062992125984"/>
  <pageSetup paperSize="10000" scale="55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19"/>
  <sheetViews>
    <sheetView zoomScale="70" zoomScaleNormal="70" workbookViewId="0">
      <pane xSplit="3" ySplit="6" topLeftCell="D48" activePane="bottomRight" state="frozen"/>
      <selection pane="topRight" activeCell="D1" sqref="D1"/>
      <selection pane="bottomLeft" activeCell="A7" sqref="A7"/>
      <selection pane="bottomRight" activeCell="E41" sqref="E41"/>
    </sheetView>
  </sheetViews>
  <sheetFormatPr defaultRowHeight="15" x14ac:dyDescent="0.25"/>
  <cols>
    <col min="2" max="2" width="0" hidden="1" customWidth="1"/>
    <col min="3" max="3" width="20.42578125" bestFit="1" customWidth="1"/>
    <col min="4" max="4" width="16.7109375" customWidth="1"/>
    <col min="5" max="5" width="6.28515625" customWidth="1"/>
    <col min="6" max="6" width="5.85546875" customWidth="1"/>
    <col min="7" max="25" width="9.140625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113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31.5" customHeight="1" x14ac:dyDescent="0.25">
      <c r="A7" s="254">
        <v>1</v>
      </c>
      <c r="B7" s="265" t="s">
        <v>32</v>
      </c>
      <c r="C7" s="97" t="s">
        <v>33</v>
      </c>
      <c r="D7" s="21" t="s">
        <v>34</v>
      </c>
      <c r="E7" s="10">
        <v>31</v>
      </c>
      <c r="F7" s="10">
        <v>20</v>
      </c>
      <c r="G7" s="28">
        <v>19</v>
      </c>
      <c r="H7" s="11">
        <v>158</v>
      </c>
      <c r="I7" s="11">
        <v>25</v>
      </c>
      <c r="J7" s="11">
        <v>202</v>
      </c>
      <c r="K7" s="11">
        <v>16</v>
      </c>
      <c r="L7" s="11">
        <v>147</v>
      </c>
      <c r="M7" s="12">
        <v>19</v>
      </c>
      <c r="N7" s="11">
        <v>12</v>
      </c>
      <c r="O7" s="11">
        <v>7</v>
      </c>
      <c r="P7" s="12">
        <v>182</v>
      </c>
      <c r="Q7" s="11">
        <v>555</v>
      </c>
      <c r="R7" s="11">
        <v>4</v>
      </c>
      <c r="S7" s="11">
        <v>578</v>
      </c>
      <c r="T7" s="12">
        <v>20</v>
      </c>
      <c r="U7" s="12">
        <v>166</v>
      </c>
      <c r="V7" s="13">
        <v>18.64516129032258</v>
      </c>
      <c r="W7" s="13">
        <v>93.225806451612897</v>
      </c>
      <c r="X7" s="13">
        <v>3.4819277108433737</v>
      </c>
      <c r="Y7" s="14">
        <v>0.25301204819277118</v>
      </c>
      <c r="Z7" s="15">
        <v>8.3000000000000007</v>
      </c>
    </row>
    <row r="8" spans="1:26" ht="15.75" x14ac:dyDescent="0.25">
      <c r="A8" s="254"/>
      <c r="B8" s="266"/>
      <c r="C8" s="17" t="s">
        <v>35</v>
      </c>
      <c r="D8" s="16"/>
      <c r="E8" s="10">
        <v>31</v>
      </c>
      <c r="F8" s="17">
        <v>20</v>
      </c>
      <c r="G8" s="17">
        <v>19</v>
      </c>
      <c r="H8" s="17">
        <v>158</v>
      </c>
      <c r="I8" s="17">
        <v>25</v>
      </c>
      <c r="J8" s="17">
        <v>202</v>
      </c>
      <c r="K8" s="17">
        <v>16</v>
      </c>
      <c r="L8" s="17">
        <v>147</v>
      </c>
      <c r="M8" s="18">
        <v>19</v>
      </c>
      <c r="N8" s="17">
        <v>12</v>
      </c>
      <c r="O8" s="17">
        <v>7</v>
      </c>
      <c r="P8" s="18">
        <v>182</v>
      </c>
      <c r="Q8" s="17">
        <v>555</v>
      </c>
      <c r="R8" s="17">
        <v>4</v>
      </c>
      <c r="S8" s="17">
        <v>578</v>
      </c>
      <c r="T8" s="18">
        <v>20</v>
      </c>
      <c r="U8" s="18">
        <v>166</v>
      </c>
      <c r="V8" s="19">
        <v>18.64516129032258</v>
      </c>
      <c r="W8" s="19">
        <v>93.225806451612897</v>
      </c>
      <c r="X8" s="19">
        <v>3.4819277108433737</v>
      </c>
      <c r="Y8" s="20">
        <v>0.25301204819277118</v>
      </c>
      <c r="Z8" s="20">
        <v>8.3000000000000007</v>
      </c>
    </row>
    <row r="9" spans="1:26" ht="15.75" x14ac:dyDescent="0.25">
      <c r="A9" s="256">
        <v>2</v>
      </c>
      <c r="B9" s="266"/>
      <c r="C9" s="11" t="s">
        <v>36</v>
      </c>
      <c r="D9" s="21" t="s">
        <v>34</v>
      </c>
      <c r="E9" s="10">
        <v>31</v>
      </c>
      <c r="F9" s="11">
        <v>16</v>
      </c>
      <c r="G9" s="28">
        <v>17</v>
      </c>
      <c r="H9" s="11">
        <v>96</v>
      </c>
      <c r="I9" s="11">
        <v>42</v>
      </c>
      <c r="J9" s="11">
        <v>155</v>
      </c>
      <c r="K9" s="11">
        <v>13</v>
      </c>
      <c r="L9" s="11">
        <v>111</v>
      </c>
      <c r="M9" s="12">
        <v>16</v>
      </c>
      <c r="N9" s="11">
        <v>6</v>
      </c>
      <c r="O9" s="11">
        <v>10</v>
      </c>
      <c r="P9" s="12">
        <v>140</v>
      </c>
      <c r="Q9" s="11">
        <v>448</v>
      </c>
      <c r="R9" s="11">
        <v>0</v>
      </c>
      <c r="S9" s="11">
        <v>490</v>
      </c>
      <c r="T9" s="12">
        <v>15</v>
      </c>
      <c r="U9" s="12">
        <v>127</v>
      </c>
      <c r="V9" s="13">
        <v>15.806451612903226</v>
      </c>
      <c r="W9" s="13">
        <v>98.790322580645167</v>
      </c>
      <c r="X9" s="13">
        <v>3.8582677165354329</v>
      </c>
      <c r="Y9" s="14">
        <v>4.7244094488188934E-2</v>
      </c>
      <c r="Z9" s="15">
        <v>7.9375</v>
      </c>
    </row>
    <row r="10" spans="1:26" ht="15.75" x14ac:dyDescent="0.25">
      <c r="A10" s="256"/>
      <c r="B10" s="266"/>
      <c r="C10" s="17" t="s">
        <v>36</v>
      </c>
      <c r="D10" s="16"/>
      <c r="E10" s="10">
        <v>31</v>
      </c>
      <c r="F10" s="17">
        <v>16</v>
      </c>
      <c r="G10" s="17">
        <v>17</v>
      </c>
      <c r="H10" s="17">
        <v>96</v>
      </c>
      <c r="I10" s="17">
        <v>42</v>
      </c>
      <c r="J10" s="17">
        <v>155</v>
      </c>
      <c r="K10" s="17">
        <v>13</v>
      </c>
      <c r="L10" s="17">
        <v>111</v>
      </c>
      <c r="M10" s="18">
        <v>16</v>
      </c>
      <c r="N10" s="17">
        <v>6</v>
      </c>
      <c r="O10" s="17">
        <v>10</v>
      </c>
      <c r="P10" s="18">
        <v>140</v>
      </c>
      <c r="Q10" s="17">
        <v>448</v>
      </c>
      <c r="R10" s="17">
        <v>0</v>
      </c>
      <c r="S10" s="17">
        <v>490</v>
      </c>
      <c r="T10" s="18">
        <v>15</v>
      </c>
      <c r="U10" s="18">
        <v>127</v>
      </c>
      <c r="V10" s="19">
        <v>15.806451612903226</v>
      </c>
      <c r="W10" s="19">
        <v>98.790322580645167</v>
      </c>
      <c r="X10" s="19">
        <v>3.8582677165354329</v>
      </c>
      <c r="Y10" s="20">
        <v>4.7244094488188934E-2</v>
      </c>
      <c r="Z10" s="20">
        <v>7.9375</v>
      </c>
    </row>
    <row r="11" spans="1:26" ht="15.75" x14ac:dyDescent="0.25">
      <c r="A11" s="256">
        <v>3</v>
      </c>
      <c r="B11" s="266"/>
      <c r="C11" s="256" t="s">
        <v>37</v>
      </c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266"/>
      <c r="C12" s="256"/>
      <c r="D12" s="21" t="s">
        <v>34</v>
      </c>
      <c r="E12" s="10">
        <v>31</v>
      </c>
      <c r="F12" s="11">
        <v>12</v>
      </c>
      <c r="G12" s="28">
        <v>9</v>
      </c>
      <c r="H12" s="11">
        <v>75</v>
      </c>
      <c r="I12" s="11">
        <v>3</v>
      </c>
      <c r="J12" s="11">
        <v>87</v>
      </c>
      <c r="K12" s="11">
        <v>8</v>
      </c>
      <c r="L12" s="11">
        <v>57</v>
      </c>
      <c r="M12" s="12">
        <v>13</v>
      </c>
      <c r="N12" s="11">
        <v>5</v>
      </c>
      <c r="O12" s="11">
        <v>8</v>
      </c>
      <c r="P12" s="12">
        <v>78</v>
      </c>
      <c r="Q12" s="11">
        <v>311</v>
      </c>
      <c r="R12" s="11">
        <v>1</v>
      </c>
      <c r="S12" s="11">
        <v>305</v>
      </c>
      <c r="T12" s="12">
        <v>9</v>
      </c>
      <c r="U12" s="12">
        <v>70</v>
      </c>
      <c r="V12" s="13">
        <v>9.8387096774193541</v>
      </c>
      <c r="W12" s="13">
        <v>81.989247311827953</v>
      </c>
      <c r="X12" s="13">
        <v>4.3571428571428568</v>
      </c>
      <c r="Y12" s="14">
        <v>0.95714285714285752</v>
      </c>
      <c r="Z12" s="15">
        <v>5.833333333333333</v>
      </c>
    </row>
    <row r="13" spans="1:26" ht="15.75" x14ac:dyDescent="0.25">
      <c r="A13" s="256"/>
      <c r="B13" s="266"/>
      <c r="C13" s="17" t="s">
        <v>37</v>
      </c>
      <c r="D13" s="16"/>
      <c r="E13" s="10">
        <v>31</v>
      </c>
      <c r="F13" s="17">
        <v>12</v>
      </c>
      <c r="G13" s="17">
        <v>9</v>
      </c>
      <c r="H13" s="17">
        <v>75</v>
      </c>
      <c r="I13" s="17">
        <v>3</v>
      </c>
      <c r="J13" s="17">
        <v>87</v>
      </c>
      <c r="K13" s="17">
        <v>8</v>
      </c>
      <c r="L13" s="17">
        <v>57</v>
      </c>
      <c r="M13" s="18">
        <v>13</v>
      </c>
      <c r="N13" s="17">
        <v>5</v>
      </c>
      <c r="O13" s="17">
        <v>8</v>
      </c>
      <c r="P13" s="18">
        <v>78</v>
      </c>
      <c r="Q13" s="17">
        <v>311</v>
      </c>
      <c r="R13" s="17">
        <v>1</v>
      </c>
      <c r="S13" s="17">
        <v>305</v>
      </c>
      <c r="T13" s="18">
        <v>9</v>
      </c>
      <c r="U13" s="18">
        <v>70</v>
      </c>
      <c r="V13" s="19">
        <v>9.8387096774193541</v>
      </c>
      <c r="W13" s="19">
        <v>81.989247311827953</v>
      </c>
      <c r="X13" s="19">
        <v>4.3571428571428568</v>
      </c>
      <c r="Y13" s="20">
        <v>0.95714285714285752</v>
      </c>
      <c r="Z13" s="20">
        <v>5.833333333333333</v>
      </c>
    </row>
    <row r="14" spans="1:26" ht="15.75" x14ac:dyDescent="0.25">
      <c r="A14" s="256">
        <v>4</v>
      </c>
      <c r="B14" s="266"/>
      <c r="C14" s="254" t="s">
        <v>39</v>
      </c>
      <c r="D14" s="21" t="s">
        <v>38</v>
      </c>
      <c r="E14" s="10">
        <v>31</v>
      </c>
      <c r="F14" s="10">
        <v>2</v>
      </c>
      <c r="G14" s="28">
        <v>2</v>
      </c>
      <c r="H14" s="11">
        <v>5</v>
      </c>
      <c r="I14" s="11">
        <v>9</v>
      </c>
      <c r="J14" s="11">
        <v>16</v>
      </c>
      <c r="K14" s="11">
        <v>5</v>
      </c>
      <c r="L14" s="11">
        <v>10</v>
      </c>
      <c r="M14" s="12">
        <v>0</v>
      </c>
      <c r="N14" s="11">
        <v>0</v>
      </c>
      <c r="O14" s="11">
        <v>0</v>
      </c>
      <c r="P14" s="12">
        <v>15</v>
      </c>
      <c r="Q14" s="11">
        <v>55</v>
      </c>
      <c r="R14" s="11">
        <v>0</v>
      </c>
      <c r="S14" s="11">
        <v>48</v>
      </c>
      <c r="T14" s="12">
        <v>1</v>
      </c>
      <c r="U14" s="12">
        <v>10</v>
      </c>
      <c r="V14" s="13">
        <v>1.5483870967741935</v>
      </c>
      <c r="W14" s="13">
        <v>77.41935483870968</v>
      </c>
      <c r="X14" s="13">
        <v>4.8</v>
      </c>
      <c r="Y14" s="14">
        <v>1.4000000000000001</v>
      </c>
      <c r="Z14" s="15">
        <v>5</v>
      </c>
    </row>
    <row r="15" spans="1:26" ht="15.75" x14ac:dyDescent="0.25">
      <c r="A15" s="256"/>
      <c r="B15" s="266"/>
      <c r="C15" s="254"/>
      <c r="D15" s="21" t="s">
        <v>34</v>
      </c>
      <c r="E15" s="10">
        <v>31</v>
      </c>
      <c r="F15" s="10">
        <v>17</v>
      </c>
      <c r="G15" s="28">
        <v>15</v>
      </c>
      <c r="H15" s="11">
        <v>129</v>
      </c>
      <c r="I15" s="11">
        <v>18</v>
      </c>
      <c r="J15" s="11">
        <v>162</v>
      </c>
      <c r="K15" s="11">
        <v>14</v>
      </c>
      <c r="L15" s="11">
        <v>127</v>
      </c>
      <c r="M15" s="12">
        <v>4</v>
      </c>
      <c r="N15" s="11">
        <v>4</v>
      </c>
      <c r="O15" s="11">
        <v>0</v>
      </c>
      <c r="P15" s="12">
        <v>145</v>
      </c>
      <c r="Q15" s="11">
        <v>582</v>
      </c>
      <c r="R15" s="11">
        <v>0</v>
      </c>
      <c r="S15" s="11">
        <v>492</v>
      </c>
      <c r="T15" s="12">
        <v>17</v>
      </c>
      <c r="U15" s="12">
        <v>131</v>
      </c>
      <c r="V15" s="13">
        <v>15.870967741935484</v>
      </c>
      <c r="W15" s="13">
        <v>93.358633776091082</v>
      </c>
      <c r="X15" s="13">
        <v>3.7557251908396947</v>
      </c>
      <c r="Y15" s="14">
        <v>0.26717557251908397</v>
      </c>
      <c r="Z15" s="15">
        <v>7.7058823529411766</v>
      </c>
    </row>
    <row r="16" spans="1:26" ht="15.75" x14ac:dyDescent="0.25">
      <c r="A16" s="256"/>
      <c r="B16" s="266"/>
      <c r="C16" s="254"/>
      <c r="D16" s="21" t="s">
        <v>40</v>
      </c>
      <c r="E16" s="10">
        <v>31</v>
      </c>
      <c r="F16" s="10">
        <v>5</v>
      </c>
      <c r="G16" s="28">
        <v>2</v>
      </c>
      <c r="H16" s="11">
        <v>25</v>
      </c>
      <c r="I16" s="11">
        <v>9</v>
      </c>
      <c r="J16" s="11">
        <v>36</v>
      </c>
      <c r="K16" s="11">
        <v>3</v>
      </c>
      <c r="L16" s="11">
        <v>28</v>
      </c>
      <c r="M16" s="12">
        <v>1</v>
      </c>
      <c r="N16" s="11">
        <v>0</v>
      </c>
      <c r="O16" s="11">
        <v>1</v>
      </c>
      <c r="P16" s="12">
        <v>32</v>
      </c>
      <c r="Q16" s="11">
        <v>135</v>
      </c>
      <c r="R16" s="11">
        <v>0</v>
      </c>
      <c r="S16" s="11">
        <v>126</v>
      </c>
      <c r="T16" s="12">
        <v>4</v>
      </c>
      <c r="U16" s="12">
        <v>29</v>
      </c>
      <c r="V16" s="13">
        <v>4.064516129032258</v>
      </c>
      <c r="W16" s="13">
        <v>81.290322580645153</v>
      </c>
      <c r="X16" s="13">
        <v>4.3448275862068968</v>
      </c>
      <c r="Y16" s="14">
        <v>1</v>
      </c>
      <c r="Z16" s="15">
        <v>5.8</v>
      </c>
    </row>
    <row r="17" spans="1:30" ht="15.75" x14ac:dyDescent="0.25">
      <c r="A17" s="256"/>
      <c r="B17" s="266"/>
      <c r="C17" s="17" t="s">
        <v>39</v>
      </c>
      <c r="D17" s="16"/>
      <c r="E17" s="10">
        <v>31</v>
      </c>
      <c r="F17" s="17">
        <v>24</v>
      </c>
      <c r="G17" s="17">
        <v>19</v>
      </c>
      <c r="H17" s="17">
        <v>159</v>
      </c>
      <c r="I17" s="17">
        <v>36</v>
      </c>
      <c r="J17" s="17">
        <f>+G17+H17+I17</f>
        <v>214</v>
      </c>
      <c r="K17" s="17">
        <v>22</v>
      </c>
      <c r="L17" s="17">
        <v>165</v>
      </c>
      <c r="M17" s="18">
        <v>5</v>
      </c>
      <c r="N17" s="17">
        <v>4</v>
      </c>
      <c r="O17" s="17">
        <v>1</v>
      </c>
      <c r="P17" s="18">
        <f>+K17+L17+M17</f>
        <v>192</v>
      </c>
      <c r="Q17" s="17">
        <v>772</v>
      </c>
      <c r="R17" s="17">
        <v>0</v>
      </c>
      <c r="S17" s="17">
        <v>666</v>
      </c>
      <c r="T17" s="18">
        <f>J17-P17</f>
        <v>22</v>
      </c>
      <c r="U17" s="18">
        <v>170</v>
      </c>
      <c r="V17" s="19">
        <v>21.483870967741936</v>
      </c>
      <c r="W17" s="19">
        <v>89.516129032258064</v>
      </c>
      <c r="X17" s="19">
        <v>3.9176470588235293</v>
      </c>
      <c r="Y17" s="20">
        <v>0.45882352941176463</v>
      </c>
      <c r="Z17" s="20">
        <v>7.083333333333333</v>
      </c>
    </row>
    <row r="18" spans="1:30" ht="15.75" x14ac:dyDescent="0.25">
      <c r="A18" s="53"/>
      <c r="B18" s="266"/>
      <c r="C18" s="17"/>
      <c r="D18" s="16"/>
      <c r="E18" s="10"/>
      <c r="F18" s="17"/>
      <c r="G18" s="17"/>
      <c r="H18" s="17"/>
      <c r="I18" s="17"/>
      <c r="J18" s="17"/>
      <c r="K18" s="17"/>
      <c r="L18" s="17"/>
      <c r="M18" s="18"/>
      <c r="N18" s="17"/>
      <c r="O18" s="17"/>
      <c r="P18" s="18"/>
      <c r="Q18" s="17"/>
      <c r="R18" s="17"/>
      <c r="S18" s="17"/>
      <c r="T18" s="18"/>
      <c r="U18" s="18"/>
      <c r="V18" s="19"/>
      <c r="W18" s="19"/>
      <c r="X18" s="19"/>
      <c r="Y18" s="20"/>
      <c r="Z18" s="20"/>
    </row>
    <row r="19" spans="1:30" ht="15.75" x14ac:dyDescent="0.25">
      <c r="A19" s="254">
        <v>5</v>
      </c>
      <c r="B19" s="266"/>
      <c r="C19" s="254" t="s">
        <v>41</v>
      </c>
      <c r="D19" s="98" t="s">
        <v>42</v>
      </c>
      <c r="E19" s="10">
        <v>31</v>
      </c>
      <c r="F19" s="10">
        <v>19</v>
      </c>
      <c r="G19" s="28">
        <v>18</v>
      </c>
      <c r="H19" s="11">
        <v>147</v>
      </c>
      <c r="I19" s="11">
        <v>10</v>
      </c>
      <c r="J19" s="11">
        <v>175</v>
      </c>
      <c r="K19" s="11">
        <v>16</v>
      </c>
      <c r="L19" s="11">
        <v>104</v>
      </c>
      <c r="M19" s="12">
        <v>36</v>
      </c>
      <c r="N19" s="11">
        <v>22</v>
      </c>
      <c r="O19" s="11">
        <v>14</v>
      </c>
      <c r="P19" s="12">
        <v>156</v>
      </c>
      <c r="Q19" s="11">
        <v>514</v>
      </c>
      <c r="R19" s="11">
        <v>5</v>
      </c>
      <c r="S19" s="11">
        <v>574</v>
      </c>
      <c r="T19" s="12">
        <v>19</v>
      </c>
      <c r="U19" s="12">
        <v>140</v>
      </c>
      <c r="V19" s="13">
        <v>18.516129032258064</v>
      </c>
      <c r="W19" s="13">
        <v>97.453310696095073</v>
      </c>
      <c r="X19" s="13">
        <v>4.0999999999999996</v>
      </c>
      <c r="Y19" s="14">
        <v>0.10714285714285725</v>
      </c>
      <c r="Z19" s="15">
        <v>7.3684210526315788</v>
      </c>
    </row>
    <row r="20" spans="1:30" ht="15.75" x14ac:dyDescent="0.25">
      <c r="A20" s="254"/>
      <c r="B20" s="266"/>
      <c r="C20" s="254"/>
      <c r="D20" s="98" t="s">
        <v>43</v>
      </c>
      <c r="E20" s="10">
        <v>31</v>
      </c>
      <c r="F20" s="10">
        <v>12</v>
      </c>
      <c r="G20" s="28">
        <v>13</v>
      </c>
      <c r="H20" s="11">
        <v>94</v>
      </c>
      <c r="I20" s="11">
        <v>21</v>
      </c>
      <c r="J20" s="11">
        <v>128</v>
      </c>
      <c r="K20" s="11">
        <v>16</v>
      </c>
      <c r="L20" s="11">
        <v>69</v>
      </c>
      <c r="M20" s="12">
        <v>31</v>
      </c>
      <c r="N20" s="11">
        <v>18</v>
      </c>
      <c r="O20" s="11">
        <v>13</v>
      </c>
      <c r="P20" s="12">
        <v>116</v>
      </c>
      <c r="Q20" s="11">
        <v>342</v>
      </c>
      <c r="R20" s="11">
        <v>7</v>
      </c>
      <c r="S20" s="11">
        <v>369</v>
      </c>
      <c r="T20" s="12">
        <v>12</v>
      </c>
      <c r="U20" s="12">
        <v>100</v>
      </c>
      <c r="V20" s="13">
        <v>11.903225806451612</v>
      </c>
      <c r="W20" s="13">
        <v>99.193548387096769</v>
      </c>
      <c r="X20" s="13">
        <v>3.69</v>
      </c>
      <c r="Y20" s="14">
        <v>3.0000000000000249E-2</v>
      </c>
      <c r="Z20" s="15">
        <v>8.3333333333333339</v>
      </c>
    </row>
    <row r="21" spans="1:30" ht="15.75" x14ac:dyDescent="0.25">
      <c r="A21" s="254"/>
      <c r="B21" s="266"/>
      <c r="C21" s="17" t="s">
        <v>41</v>
      </c>
      <c r="D21" s="16"/>
      <c r="E21" s="10">
        <v>31</v>
      </c>
      <c r="F21" s="17">
        <v>31</v>
      </c>
      <c r="G21" s="17">
        <v>31</v>
      </c>
      <c r="H21" s="17">
        <v>241</v>
      </c>
      <c r="I21" s="17">
        <v>31</v>
      </c>
      <c r="J21" s="17">
        <v>303</v>
      </c>
      <c r="K21" s="17">
        <v>32</v>
      </c>
      <c r="L21" s="17">
        <v>173</v>
      </c>
      <c r="M21" s="18">
        <v>67</v>
      </c>
      <c r="N21" s="17">
        <v>40</v>
      </c>
      <c r="O21" s="17">
        <v>27</v>
      </c>
      <c r="P21" s="18">
        <v>272</v>
      </c>
      <c r="Q21" s="17">
        <v>856</v>
      </c>
      <c r="R21" s="17">
        <v>12</v>
      </c>
      <c r="S21" s="17">
        <v>943</v>
      </c>
      <c r="T21" s="18">
        <v>31</v>
      </c>
      <c r="U21" s="18">
        <v>240</v>
      </c>
      <c r="V21" s="19">
        <v>30.419354838709676</v>
      </c>
      <c r="W21" s="19">
        <v>98.126951092611861</v>
      </c>
      <c r="X21" s="19">
        <v>3.9291666666666667</v>
      </c>
      <c r="Y21" s="20">
        <v>7.4999999999999997E-2</v>
      </c>
      <c r="Z21" s="20">
        <v>15.701754385964913</v>
      </c>
    </row>
    <row r="22" spans="1:30" ht="15.75" x14ac:dyDescent="0.25">
      <c r="A22" s="254">
        <v>6</v>
      </c>
      <c r="B22" s="266"/>
      <c r="C22" s="10" t="s">
        <v>44</v>
      </c>
      <c r="D22" s="21" t="s">
        <v>34</v>
      </c>
      <c r="E22" s="10">
        <v>31</v>
      </c>
      <c r="F22" s="10">
        <v>18</v>
      </c>
      <c r="G22" s="28">
        <v>18</v>
      </c>
      <c r="H22" s="11">
        <v>153</v>
      </c>
      <c r="I22" s="11">
        <v>11</v>
      </c>
      <c r="J22" s="11">
        <v>182</v>
      </c>
      <c r="K22" s="11">
        <v>9</v>
      </c>
      <c r="L22" s="11">
        <v>153</v>
      </c>
      <c r="M22" s="12">
        <v>3</v>
      </c>
      <c r="N22" s="11">
        <v>2</v>
      </c>
      <c r="O22" s="11">
        <v>1</v>
      </c>
      <c r="P22" s="12">
        <v>165</v>
      </c>
      <c r="Q22" s="11">
        <v>479</v>
      </c>
      <c r="R22" s="11">
        <v>2</v>
      </c>
      <c r="S22" s="11">
        <v>528</v>
      </c>
      <c r="T22" s="12">
        <v>17</v>
      </c>
      <c r="U22" s="12">
        <v>156</v>
      </c>
      <c r="V22" s="13">
        <v>17.032258064516128</v>
      </c>
      <c r="W22" s="13">
        <v>94.623655913978482</v>
      </c>
      <c r="X22" s="13">
        <v>3.3846153846153846</v>
      </c>
      <c r="Y22" s="14">
        <v>0.19230769230769248</v>
      </c>
      <c r="Z22" s="15">
        <v>8.6666666666666661</v>
      </c>
    </row>
    <row r="23" spans="1:30" ht="15.75" x14ac:dyDescent="0.25">
      <c r="A23" s="254"/>
      <c r="B23" s="266"/>
      <c r="C23" s="17" t="s">
        <v>44</v>
      </c>
      <c r="D23" s="16"/>
      <c r="E23" s="10">
        <v>31</v>
      </c>
      <c r="F23" s="17">
        <v>18</v>
      </c>
      <c r="G23" s="17">
        <v>18</v>
      </c>
      <c r="H23" s="17">
        <v>153</v>
      </c>
      <c r="I23" s="17">
        <v>11</v>
      </c>
      <c r="J23" s="17">
        <v>182</v>
      </c>
      <c r="K23" s="17">
        <v>9</v>
      </c>
      <c r="L23" s="17">
        <v>153</v>
      </c>
      <c r="M23" s="18">
        <v>3</v>
      </c>
      <c r="N23" s="17">
        <v>2</v>
      </c>
      <c r="O23" s="17">
        <v>1</v>
      </c>
      <c r="P23" s="18">
        <v>165</v>
      </c>
      <c r="Q23" s="17">
        <v>479</v>
      </c>
      <c r="R23" s="17">
        <v>2</v>
      </c>
      <c r="S23" s="17">
        <v>528</v>
      </c>
      <c r="T23" s="18">
        <v>17</v>
      </c>
      <c r="U23" s="18">
        <v>156</v>
      </c>
      <c r="V23" s="19">
        <v>17.032258064516128</v>
      </c>
      <c r="W23" s="19">
        <v>94.623655913978482</v>
      </c>
      <c r="X23" s="19">
        <v>3.3846153846153846</v>
      </c>
      <c r="Y23" s="20">
        <v>0.19230769230769248</v>
      </c>
      <c r="Z23" s="20">
        <v>8.6666666666666661</v>
      </c>
    </row>
    <row r="24" spans="1:30" ht="15.75" x14ac:dyDescent="0.25">
      <c r="A24" s="52"/>
      <c r="B24" s="266"/>
      <c r="C24" s="17"/>
      <c r="D24" s="16"/>
      <c r="E24" s="10"/>
      <c r="F24" s="17"/>
      <c r="G24" s="17"/>
      <c r="H24" s="17"/>
      <c r="I24" s="17"/>
      <c r="J24" s="17"/>
      <c r="K24" s="17"/>
      <c r="L24" s="17"/>
      <c r="M24" s="18"/>
      <c r="N24" s="17"/>
      <c r="O24" s="17"/>
      <c r="P24" s="18"/>
      <c r="Q24" s="17"/>
      <c r="R24" s="17"/>
      <c r="S24" s="17"/>
      <c r="T24" s="18"/>
      <c r="U24" s="18"/>
      <c r="V24" s="19"/>
      <c r="W24" s="19"/>
      <c r="X24" s="19"/>
      <c r="Y24" s="20"/>
      <c r="Z24" s="20"/>
    </row>
    <row r="25" spans="1:30" ht="15.75" x14ac:dyDescent="0.25">
      <c r="A25" s="254">
        <v>7</v>
      </c>
      <c r="B25" s="266"/>
      <c r="C25" s="10" t="s">
        <v>45</v>
      </c>
      <c r="D25" s="21" t="s">
        <v>34</v>
      </c>
      <c r="E25" s="10">
        <v>31</v>
      </c>
      <c r="F25" s="10">
        <v>20</v>
      </c>
      <c r="G25" s="28">
        <v>20</v>
      </c>
      <c r="H25" s="11">
        <v>126</v>
      </c>
      <c r="I25" s="11">
        <v>23</v>
      </c>
      <c r="J25" s="11">
        <v>169</v>
      </c>
      <c r="K25" s="11">
        <v>16</v>
      </c>
      <c r="L25" s="11">
        <v>126</v>
      </c>
      <c r="M25" s="12">
        <v>8</v>
      </c>
      <c r="N25" s="11">
        <v>2</v>
      </c>
      <c r="O25" s="11">
        <v>6</v>
      </c>
      <c r="P25" s="12">
        <v>150</v>
      </c>
      <c r="Q25" s="11">
        <v>483</v>
      </c>
      <c r="R25" s="11">
        <v>1</v>
      </c>
      <c r="S25" s="11">
        <v>517</v>
      </c>
      <c r="T25" s="12">
        <v>19</v>
      </c>
      <c r="U25" s="12">
        <v>134</v>
      </c>
      <c r="V25" s="13">
        <v>16.677419354838708</v>
      </c>
      <c r="W25" s="13">
        <v>83.387096774193537</v>
      </c>
      <c r="X25" s="13">
        <v>3.8582089552238807</v>
      </c>
      <c r="Y25" s="14">
        <v>0.76865671641791078</v>
      </c>
      <c r="Z25" s="15">
        <v>6.7</v>
      </c>
    </row>
    <row r="26" spans="1:30" ht="15.75" x14ac:dyDescent="0.25">
      <c r="A26" s="254"/>
      <c r="B26" s="266"/>
      <c r="C26" s="17" t="s">
        <v>45</v>
      </c>
      <c r="D26" s="16"/>
      <c r="E26" s="10">
        <v>31</v>
      </c>
      <c r="F26" s="17">
        <v>20</v>
      </c>
      <c r="G26" s="17">
        <v>20</v>
      </c>
      <c r="H26" s="17">
        <v>126</v>
      </c>
      <c r="I26" s="17">
        <v>23</v>
      </c>
      <c r="J26" s="17">
        <v>169</v>
      </c>
      <c r="K26" s="17">
        <v>16</v>
      </c>
      <c r="L26" s="17">
        <v>126</v>
      </c>
      <c r="M26" s="18">
        <v>8</v>
      </c>
      <c r="N26" s="17">
        <v>2</v>
      </c>
      <c r="O26" s="17">
        <v>6</v>
      </c>
      <c r="P26" s="18">
        <v>150</v>
      </c>
      <c r="Q26" s="17">
        <v>483</v>
      </c>
      <c r="R26" s="17">
        <v>1</v>
      </c>
      <c r="S26" s="17">
        <v>517</v>
      </c>
      <c r="T26" s="18">
        <v>19</v>
      </c>
      <c r="U26" s="18">
        <v>134</v>
      </c>
      <c r="V26" s="19">
        <v>16.677419354838708</v>
      </c>
      <c r="W26" s="19">
        <v>83.387096774193537</v>
      </c>
      <c r="X26" s="19">
        <v>3.8582089552238807</v>
      </c>
      <c r="Y26" s="20">
        <v>0.76865671641791078</v>
      </c>
      <c r="Z26" s="20">
        <v>6.7</v>
      </c>
    </row>
    <row r="27" spans="1:30" ht="15.75" x14ac:dyDescent="0.25">
      <c r="A27" s="256">
        <v>8</v>
      </c>
      <c r="B27" s="266"/>
      <c r="C27" s="11" t="s">
        <v>46</v>
      </c>
      <c r="D27" s="21" t="s">
        <v>34</v>
      </c>
      <c r="E27" s="10">
        <v>31</v>
      </c>
      <c r="F27" s="11">
        <v>20</v>
      </c>
      <c r="G27" s="28">
        <v>12</v>
      </c>
      <c r="H27" s="11">
        <v>92</v>
      </c>
      <c r="I27" s="11">
        <v>3</v>
      </c>
      <c r="J27" s="11">
        <v>107</v>
      </c>
      <c r="K27" s="11">
        <v>4</v>
      </c>
      <c r="L27" s="11">
        <v>86</v>
      </c>
      <c r="M27" s="12">
        <v>7</v>
      </c>
      <c r="N27" s="11">
        <v>5</v>
      </c>
      <c r="O27" s="11">
        <v>2</v>
      </c>
      <c r="P27" s="12">
        <v>97</v>
      </c>
      <c r="Q27" s="11">
        <v>287</v>
      </c>
      <c r="R27" s="11">
        <v>2</v>
      </c>
      <c r="S27" s="11">
        <v>287</v>
      </c>
      <c r="T27" s="12">
        <v>10</v>
      </c>
      <c r="U27" s="12">
        <v>93</v>
      </c>
      <c r="V27" s="13">
        <v>9.258064516129032</v>
      </c>
      <c r="W27" s="13">
        <v>46.29032258064516</v>
      </c>
      <c r="X27" s="13">
        <v>3.086021505376344</v>
      </c>
      <c r="Y27" s="14">
        <v>3.5806451612903225</v>
      </c>
      <c r="Z27" s="15">
        <v>4.6500000000000004</v>
      </c>
    </row>
    <row r="28" spans="1:30" ht="15.75" x14ac:dyDescent="0.25">
      <c r="A28" s="256"/>
      <c r="B28" s="266"/>
      <c r="C28" s="17" t="s">
        <v>46</v>
      </c>
      <c r="D28" s="16"/>
      <c r="E28" s="10">
        <v>31</v>
      </c>
      <c r="F28" s="17">
        <v>20</v>
      </c>
      <c r="G28" s="17">
        <v>12</v>
      </c>
      <c r="H28" s="17">
        <v>92</v>
      </c>
      <c r="I28" s="17">
        <v>3</v>
      </c>
      <c r="J28" s="17">
        <v>107</v>
      </c>
      <c r="K28" s="17">
        <v>4</v>
      </c>
      <c r="L28" s="17">
        <v>86</v>
      </c>
      <c r="M28" s="18">
        <v>7</v>
      </c>
      <c r="N28" s="17">
        <v>5</v>
      </c>
      <c r="O28" s="17">
        <v>2</v>
      </c>
      <c r="P28" s="18">
        <v>97</v>
      </c>
      <c r="Q28" s="17">
        <v>287</v>
      </c>
      <c r="R28" s="17">
        <v>2</v>
      </c>
      <c r="S28" s="17">
        <v>287</v>
      </c>
      <c r="T28" s="18">
        <v>10</v>
      </c>
      <c r="U28" s="18">
        <v>93</v>
      </c>
      <c r="V28" s="19">
        <v>9.258064516129032</v>
      </c>
      <c r="W28" s="19">
        <v>46.29032258064516</v>
      </c>
      <c r="X28" s="19">
        <v>3.086021505376344</v>
      </c>
      <c r="Y28" s="20">
        <v>3.5806451612903225</v>
      </c>
      <c r="Z28" s="20">
        <v>4.6500000000000004</v>
      </c>
    </row>
    <row r="29" spans="1:30" ht="15.75" x14ac:dyDescent="0.25">
      <c r="A29" s="53"/>
      <c r="B29" s="266"/>
      <c r="C29" s="17"/>
      <c r="D29" s="16"/>
      <c r="E29" s="10"/>
      <c r="F29" s="17"/>
      <c r="G29" s="17"/>
      <c r="H29" s="17"/>
      <c r="I29" s="17"/>
      <c r="J29" s="17"/>
      <c r="K29" s="17"/>
      <c r="L29" s="17"/>
      <c r="M29" s="18"/>
      <c r="N29" s="17"/>
      <c r="O29" s="17"/>
      <c r="P29" s="18"/>
      <c r="Q29" s="17"/>
      <c r="R29" s="17"/>
      <c r="S29" s="17"/>
      <c r="T29" s="18"/>
      <c r="U29" s="18"/>
      <c r="V29" s="19"/>
      <c r="W29" s="19"/>
      <c r="X29" s="19"/>
      <c r="Y29" s="20"/>
      <c r="Z29" s="20"/>
      <c r="AA29" t="s">
        <v>117</v>
      </c>
      <c r="AB29" t="s">
        <v>118</v>
      </c>
      <c r="AC29" t="s">
        <v>119</v>
      </c>
      <c r="AD29" t="s">
        <v>120</v>
      </c>
    </row>
    <row r="30" spans="1:30" ht="15.75" x14ac:dyDescent="0.25">
      <c r="A30" s="256">
        <v>9</v>
      </c>
      <c r="B30" s="266"/>
      <c r="C30" s="11" t="s">
        <v>47</v>
      </c>
      <c r="D30" s="22" t="s">
        <v>48</v>
      </c>
      <c r="E30" s="10">
        <v>31</v>
      </c>
      <c r="F30" s="11">
        <v>4</v>
      </c>
      <c r="G30" s="28">
        <v>4</v>
      </c>
      <c r="H30" s="11">
        <v>39</v>
      </c>
      <c r="I30" s="11">
        <v>17</v>
      </c>
      <c r="J30" s="11">
        <v>60</v>
      </c>
      <c r="K30" s="11">
        <v>16</v>
      </c>
      <c r="L30" s="11">
        <v>39</v>
      </c>
      <c r="M30" s="12">
        <v>1</v>
      </c>
      <c r="N30" s="11">
        <v>1</v>
      </c>
      <c r="O30" s="11">
        <v>0</v>
      </c>
      <c r="P30" s="12">
        <v>56</v>
      </c>
      <c r="Q30" s="11">
        <v>100</v>
      </c>
      <c r="R30" s="11">
        <v>0</v>
      </c>
      <c r="S30" s="11">
        <v>118</v>
      </c>
      <c r="T30" s="12">
        <v>4</v>
      </c>
      <c r="U30" s="12">
        <v>40</v>
      </c>
      <c r="V30" s="13">
        <v>3.806451612903226</v>
      </c>
      <c r="W30" s="13">
        <v>95.161290322580655</v>
      </c>
      <c r="X30" s="13">
        <v>2.95</v>
      </c>
      <c r="Y30" s="14">
        <v>0.14999999999999986</v>
      </c>
      <c r="Z30" s="15">
        <v>10</v>
      </c>
      <c r="AA30">
        <f>+S31+S45+S53</f>
        <v>291</v>
      </c>
      <c r="AB30">
        <f>+S30+S34+S44+S107</f>
        <v>613</v>
      </c>
      <c r="AC30">
        <f>+S14+S35+S42+S47+S49</f>
        <v>894</v>
      </c>
    </row>
    <row r="31" spans="1:30" ht="15.75" x14ac:dyDescent="0.25">
      <c r="A31" s="256"/>
      <c r="B31" s="266"/>
      <c r="C31" s="11"/>
      <c r="D31" s="22" t="s">
        <v>112</v>
      </c>
      <c r="E31" s="10">
        <v>31</v>
      </c>
      <c r="F31" s="11">
        <v>8</v>
      </c>
      <c r="G31" s="28">
        <v>2</v>
      </c>
      <c r="H31" s="11">
        <v>31</v>
      </c>
      <c r="I31" s="11">
        <v>18</v>
      </c>
      <c r="J31" s="11">
        <v>51</v>
      </c>
      <c r="K31" s="11">
        <v>14</v>
      </c>
      <c r="L31" s="11">
        <v>29</v>
      </c>
      <c r="M31" s="12">
        <v>1</v>
      </c>
      <c r="N31" s="11">
        <v>1</v>
      </c>
      <c r="O31" s="11">
        <v>0</v>
      </c>
      <c r="P31" s="12">
        <v>44</v>
      </c>
      <c r="Q31" s="11">
        <v>96</v>
      </c>
      <c r="R31" s="11">
        <v>1</v>
      </c>
      <c r="S31" s="11">
        <v>128</v>
      </c>
      <c r="T31" s="12">
        <v>7</v>
      </c>
      <c r="U31" s="12">
        <v>30</v>
      </c>
      <c r="V31" s="13">
        <v>4.129032258064516</v>
      </c>
      <c r="W31" s="13">
        <v>51.612903225806448</v>
      </c>
      <c r="X31" s="13">
        <v>4.2666666666666666</v>
      </c>
      <c r="Y31" s="14">
        <v>4</v>
      </c>
      <c r="Z31" s="15">
        <v>3.75</v>
      </c>
    </row>
    <row r="32" spans="1:30" ht="15.75" x14ac:dyDescent="0.25">
      <c r="A32" s="256"/>
      <c r="B32" s="266"/>
      <c r="C32" s="17" t="s">
        <v>47</v>
      </c>
      <c r="D32" s="16"/>
      <c r="E32" s="10">
        <v>31</v>
      </c>
      <c r="F32" s="17">
        <v>12</v>
      </c>
      <c r="G32" s="17">
        <v>6</v>
      </c>
      <c r="H32" s="17">
        <v>70</v>
      </c>
      <c r="I32" s="17">
        <v>35</v>
      </c>
      <c r="J32" s="17">
        <v>111</v>
      </c>
      <c r="K32" s="17">
        <v>30</v>
      </c>
      <c r="L32" s="17">
        <v>68</v>
      </c>
      <c r="M32" s="18">
        <v>2</v>
      </c>
      <c r="N32" s="17">
        <v>2</v>
      </c>
      <c r="O32" s="17">
        <v>0</v>
      </c>
      <c r="P32" s="18">
        <v>100</v>
      </c>
      <c r="Q32" s="17">
        <v>196</v>
      </c>
      <c r="R32" s="17">
        <v>1</v>
      </c>
      <c r="S32" s="17">
        <v>246</v>
      </c>
      <c r="T32" s="18">
        <v>11</v>
      </c>
      <c r="U32" s="18">
        <v>70</v>
      </c>
      <c r="V32" s="19">
        <v>7.935483870967742</v>
      </c>
      <c r="W32" s="19">
        <v>66.129032258064512</v>
      </c>
      <c r="X32" s="19">
        <v>3.5142857142857142</v>
      </c>
      <c r="Y32" s="20">
        <v>1.8</v>
      </c>
      <c r="Z32" s="20">
        <v>5.833333333333333</v>
      </c>
    </row>
    <row r="33" spans="1:26" ht="15.75" x14ac:dyDescent="0.25">
      <c r="A33" s="53"/>
      <c r="B33" s="266"/>
      <c r="C33" s="17"/>
      <c r="D33" s="16"/>
      <c r="E33" s="10"/>
      <c r="F33" s="17"/>
      <c r="G33" s="17"/>
      <c r="H33" s="17"/>
      <c r="I33" s="17"/>
      <c r="J33" s="17"/>
      <c r="K33" s="17"/>
      <c r="L33" s="17"/>
      <c r="M33" s="18"/>
      <c r="N33" s="17"/>
      <c r="O33" s="17"/>
      <c r="P33" s="18"/>
      <c r="Q33" s="17"/>
      <c r="R33" s="17"/>
      <c r="S33" s="17"/>
      <c r="T33" s="18"/>
      <c r="U33" s="18"/>
      <c r="V33" s="19"/>
      <c r="W33" s="19"/>
      <c r="X33" s="19"/>
      <c r="Y33" s="20"/>
      <c r="Z33" s="20"/>
    </row>
    <row r="34" spans="1:26" ht="15.75" x14ac:dyDescent="0.25">
      <c r="A34" s="256">
        <v>10</v>
      </c>
      <c r="B34" s="266"/>
      <c r="C34" s="11" t="s">
        <v>49</v>
      </c>
      <c r="D34" s="22" t="s">
        <v>48</v>
      </c>
      <c r="E34" s="10">
        <v>31</v>
      </c>
      <c r="F34" s="11">
        <v>3</v>
      </c>
      <c r="G34" s="28">
        <v>3</v>
      </c>
      <c r="H34" s="11">
        <v>20</v>
      </c>
      <c r="I34" s="11">
        <v>4</v>
      </c>
      <c r="J34" s="11">
        <v>27</v>
      </c>
      <c r="K34" s="11">
        <v>0</v>
      </c>
      <c r="L34" s="11">
        <v>23</v>
      </c>
      <c r="M34" s="12">
        <v>1</v>
      </c>
      <c r="N34" s="11">
        <v>0</v>
      </c>
      <c r="O34" s="11">
        <v>1</v>
      </c>
      <c r="P34" s="12">
        <v>24</v>
      </c>
      <c r="Q34" s="11">
        <v>72</v>
      </c>
      <c r="R34" s="11">
        <v>0</v>
      </c>
      <c r="S34" s="11">
        <v>75</v>
      </c>
      <c r="T34" s="12">
        <v>3</v>
      </c>
      <c r="U34" s="12">
        <v>24</v>
      </c>
      <c r="V34" s="13">
        <v>2.4193548387096775</v>
      </c>
      <c r="W34" s="13">
        <v>80.645161290322591</v>
      </c>
      <c r="X34" s="13">
        <v>3.125</v>
      </c>
      <c r="Y34" s="14">
        <v>0.74999999999999989</v>
      </c>
      <c r="Z34" s="15">
        <v>8</v>
      </c>
    </row>
    <row r="35" spans="1:26" ht="15.75" x14ac:dyDescent="0.25">
      <c r="A35" s="256"/>
      <c r="B35" s="266"/>
      <c r="C35" s="11"/>
      <c r="D35" s="22" t="s">
        <v>38</v>
      </c>
      <c r="E35" s="10">
        <v>31</v>
      </c>
      <c r="F35" s="11">
        <v>4</v>
      </c>
      <c r="G35" s="28">
        <v>2</v>
      </c>
      <c r="H35" s="11">
        <v>32</v>
      </c>
      <c r="I35" s="11">
        <v>4</v>
      </c>
      <c r="J35" s="11">
        <v>38</v>
      </c>
      <c r="K35" s="11">
        <v>2</v>
      </c>
      <c r="L35" s="11">
        <v>31</v>
      </c>
      <c r="M35" s="12">
        <v>1</v>
      </c>
      <c r="N35" s="11">
        <v>0</v>
      </c>
      <c r="O35" s="11">
        <v>1</v>
      </c>
      <c r="P35" s="12">
        <v>34</v>
      </c>
      <c r="Q35" s="11">
        <v>109</v>
      </c>
      <c r="R35" s="11">
        <v>0</v>
      </c>
      <c r="S35" s="11">
        <v>112</v>
      </c>
      <c r="T35" s="12">
        <v>4</v>
      </c>
      <c r="U35" s="12">
        <v>32</v>
      </c>
      <c r="V35" s="13">
        <v>3.6129032258064515</v>
      </c>
      <c r="W35" s="13">
        <v>90.322580645161281</v>
      </c>
      <c r="X35" s="13">
        <v>3.5</v>
      </c>
      <c r="Y35" s="14">
        <v>0.37500000000000011</v>
      </c>
      <c r="Z35" s="15">
        <v>8</v>
      </c>
    </row>
    <row r="36" spans="1:26" ht="15.75" x14ac:dyDescent="0.25">
      <c r="A36" s="256"/>
      <c r="B36" s="266"/>
      <c r="C36" s="11"/>
      <c r="D36" s="22" t="s">
        <v>34</v>
      </c>
      <c r="E36" s="10">
        <v>31</v>
      </c>
      <c r="F36" s="11">
        <v>12</v>
      </c>
      <c r="G36" s="28">
        <v>8</v>
      </c>
      <c r="H36" s="11">
        <v>89</v>
      </c>
      <c r="I36" s="11">
        <v>5</v>
      </c>
      <c r="J36" s="11">
        <v>102</v>
      </c>
      <c r="K36" s="11">
        <v>2</v>
      </c>
      <c r="L36" s="11">
        <v>85</v>
      </c>
      <c r="M36" s="12">
        <v>3</v>
      </c>
      <c r="N36" s="11">
        <v>1</v>
      </c>
      <c r="O36" s="11">
        <v>2</v>
      </c>
      <c r="P36" s="12">
        <v>90</v>
      </c>
      <c r="Q36" s="11">
        <v>305</v>
      </c>
      <c r="R36" s="11">
        <v>0</v>
      </c>
      <c r="S36" s="11">
        <v>325</v>
      </c>
      <c r="T36" s="12">
        <v>12</v>
      </c>
      <c r="U36" s="12">
        <v>88</v>
      </c>
      <c r="V36" s="13">
        <v>10.483870967741936</v>
      </c>
      <c r="W36" s="13">
        <v>87.365591397849457</v>
      </c>
      <c r="X36" s="13">
        <v>3.6931818181818183</v>
      </c>
      <c r="Y36" s="14">
        <v>0.53409090909090895</v>
      </c>
      <c r="Z36" s="15">
        <v>7.333333333333333</v>
      </c>
    </row>
    <row r="37" spans="1:26" ht="15.75" x14ac:dyDescent="0.25">
      <c r="A37" s="256"/>
      <c r="B37" s="266"/>
      <c r="C37" s="17" t="s">
        <v>49</v>
      </c>
      <c r="D37" s="16"/>
      <c r="E37" s="10">
        <v>31</v>
      </c>
      <c r="F37" s="17">
        <v>19</v>
      </c>
      <c r="G37" s="17">
        <v>13</v>
      </c>
      <c r="H37" s="17">
        <v>141</v>
      </c>
      <c r="I37" s="17">
        <v>13</v>
      </c>
      <c r="J37" s="17">
        <v>167</v>
      </c>
      <c r="K37" s="17">
        <v>4</v>
      </c>
      <c r="L37" s="17">
        <v>139</v>
      </c>
      <c r="M37" s="18">
        <v>5</v>
      </c>
      <c r="N37" s="17">
        <v>1</v>
      </c>
      <c r="O37" s="17">
        <v>4</v>
      </c>
      <c r="P37" s="18">
        <v>148</v>
      </c>
      <c r="Q37" s="17">
        <v>486</v>
      </c>
      <c r="R37" s="17">
        <v>0</v>
      </c>
      <c r="S37" s="17">
        <v>512</v>
      </c>
      <c r="T37" s="18">
        <v>19</v>
      </c>
      <c r="U37" s="18">
        <v>144</v>
      </c>
      <c r="V37" s="19">
        <v>16.516129032258064</v>
      </c>
      <c r="W37" s="19">
        <v>86.926994906621388</v>
      </c>
      <c r="X37" s="19">
        <v>3.5555555555555554</v>
      </c>
      <c r="Y37" s="20">
        <v>0.53472222222222232</v>
      </c>
      <c r="Z37" s="20">
        <v>7.5789473684210522</v>
      </c>
    </row>
    <row r="38" spans="1:26" ht="15.75" x14ac:dyDescent="0.25">
      <c r="A38" s="231">
        <v>11</v>
      </c>
      <c r="B38" s="266"/>
      <c r="C38" s="254" t="s">
        <v>50</v>
      </c>
      <c r="D38" s="22" t="s">
        <v>51</v>
      </c>
      <c r="E38" s="10">
        <v>31</v>
      </c>
      <c r="F38" s="10">
        <v>7</v>
      </c>
      <c r="G38" s="28">
        <v>6</v>
      </c>
      <c r="H38" s="11">
        <v>40</v>
      </c>
      <c r="I38" s="11">
        <v>6</v>
      </c>
      <c r="J38" s="11">
        <v>52</v>
      </c>
      <c r="K38" s="11">
        <v>4</v>
      </c>
      <c r="L38" s="11">
        <v>38</v>
      </c>
      <c r="M38" s="12">
        <v>2</v>
      </c>
      <c r="N38" s="11">
        <v>1</v>
      </c>
      <c r="O38" s="11">
        <v>1</v>
      </c>
      <c r="P38" s="12">
        <v>44</v>
      </c>
      <c r="Q38" s="11">
        <v>154</v>
      </c>
      <c r="R38" s="11">
        <v>1</v>
      </c>
      <c r="S38" s="11">
        <v>229</v>
      </c>
      <c r="T38" s="12">
        <v>8</v>
      </c>
      <c r="U38" s="12">
        <v>40</v>
      </c>
      <c r="V38" s="13">
        <v>7.387096774193548</v>
      </c>
      <c r="W38" s="13">
        <v>105.52995391705069</v>
      </c>
      <c r="X38" s="13">
        <v>5.7249999999999996</v>
      </c>
      <c r="Y38" s="14">
        <v>-0.29999999999999971</v>
      </c>
      <c r="Z38" s="15">
        <v>5.7142857142857144</v>
      </c>
    </row>
    <row r="39" spans="1:26" ht="15.75" x14ac:dyDescent="0.25">
      <c r="A39" s="231"/>
      <c r="B39" s="266"/>
      <c r="C39" s="254"/>
      <c r="D39" s="22" t="s">
        <v>52</v>
      </c>
      <c r="E39" s="10">
        <v>31</v>
      </c>
      <c r="F39" s="10">
        <v>7</v>
      </c>
      <c r="G39" s="28">
        <v>5</v>
      </c>
      <c r="H39" s="11">
        <v>60</v>
      </c>
      <c r="I39" s="11">
        <v>3</v>
      </c>
      <c r="J39" s="11">
        <v>68</v>
      </c>
      <c r="K39" s="11">
        <v>3</v>
      </c>
      <c r="L39" s="11">
        <v>58</v>
      </c>
      <c r="M39" s="12">
        <v>3</v>
      </c>
      <c r="N39" s="11">
        <v>3</v>
      </c>
      <c r="O39" s="11">
        <v>0</v>
      </c>
      <c r="P39" s="12">
        <v>64</v>
      </c>
      <c r="Q39" s="11">
        <v>191</v>
      </c>
      <c r="R39" s="11">
        <v>1</v>
      </c>
      <c r="S39" s="11">
        <v>129</v>
      </c>
      <c r="T39" s="12">
        <v>4</v>
      </c>
      <c r="U39" s="12">
        <v>61</v>
      </c>
      <c r="V39" s="13">
        <v>4.161290322580645</v>
      </c>
      <c r="W39" s="13">
        <v>59.447004608294932</v>
      </c>
      <c r="X39" s="13">
        <v>2.1147540983606556</v>
      </c>
      <c r="Y39" s="14">
        <v>1.4426229508196722</v>
      </c>
      <c r="Z39" s="15">
        <v>8.7142857142857135</v>
      </c>
    </row>
    <row r="40" spans="1:26" ht="15.75" x14ac:dyDescent="0.25">
      <c r="A40" s="231"/>
      <c r="B40" s="266"/>
      <c r="C40" s="254"/>
      <c r="D40" s="22" t="s">
        <v>53</v>
      </c>
      <c r="E40" s="10">
        <v>31</v>
      </c>
      <c r="F40" s="10">
        <v>14</v>
      </c>
      <c r="G40" s="28">
        <v>4</v>
      </c>
      <c r="H40" s="11">
        <v>112</v>
      </c>
      <c r="I40" s="11">
        <v>5</v>
      </c>
      <c r="J40" s="11">
        <v>121</v>
      </c>
      <c r="K40" s="11">
        <v>21</v>
      </c>
      <c r="L40" s="11">
        <v>79</v>
      </c>
      <c r="M40" s="12">
        <v>8</v>
      </c>
      <c r="N40" s="11">
        <v>5</v>
      </c>
      <c r="O40" s="11">
        <v>3</v>
      </c>
      <c r="P40" s="12">
        <v>108</v>
      </c>
      <c r="Q40" s="11">
        <v>287</v>
      </c>
      <c r="R40" s="11">
        <v>3</v>
      </c>
      <c r="S40" s="11">
        <v>329</v>
      </c>
      <c r="T40" s="12">
        <v>13</v>
      </c>
      <c r="U40" s="12">
        <v>87</v>
      </c>
      <c r="V40" s="13">
        <v>10.612903225806452</v>
      </c>
      <c r="W40" s="13">
        <v>75.806451612903231</v>
      </c>
      <c r="X40" s="13">
        <v>3.7816091954022988</v>
      </c>
      <c r="Y40" s="23">
        <v>1.2068965517241377</v>
      </c>
      <c r="Z40" s="24">
        <v>6.2142857142857144</v>
      </c>
    </row>
    <row r="41" spans="1:26" ht="15.75" x14ac:dyDescent="0.25">
      <c r="A41" s="231"/>
      <c r="B41" s="266"/>
      <c r="C41" s="254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31</v>
      </c>
      <c r="F42" s="17">
        <v>28</v>
      </c>
      <c r="G42" s="17">
        <v>15</v>
      </c>
      <c r="H42" s="17">
        <v>212</v>
      </c>
      <c r="I42" s="17">
        <v>14</v>
      </c>
      <c r="J42" s="17">
        <v>241</v>
      </c>
      <c r="K42" s="17">
        <v>28</v>
      </c>
      <c r="L42" s="17">
        <v>175</v>
      </c>
      <c r="M42" s="18">
        <v>13</v>
      </c>
      <c r="N42" s="17">
        <v>9</v>
      </c>
      <c r="O42" s="17">
        <v>4</v>
      </c>
      <c r="P42" s="18">
        <v>216</v>
      </c>
      <c r="Q42" s="17">
        <v>632</v>
      </c>
      <c r="R42" s="17">
        <v>5</v>
      </c>
      <c r="S42" s="17">
        <v>687</v>
      </c>
      <c r="T42" s="18">
        <v>25</v>
      </c>
      <c r="U42" s="18">
        <v>188</v>
      </c>
      <c r="V42" s="19">
        <v>22.161290322580644</v>
      </c>
      <c r="W42" s="19">
        <v>79.147465437788014</v>
      </c>
      <c r="X42" s="19">
        <v>3.6542553191489362</v>
      </c>
      <c r="Y42" s="20">
        <v>0.96276595744680871</v>
      </c>
      <c r="Z42" s="20">
        <v>6.7142857142857144</v>
      </c>
    </row>
    <row r="43" spans="1:26" ht="15.75" x14ac:dyDescent="0.25">
      <c r="A43" s="59"/>
      <c r="B43" s="266"/>
      <c r="C43" s="17"/>
      <c r="D43" s="16"/>
      <c r="E43" s="10"/>
      <c r="F43" s="17"/>
      <c r="G43" s="17"/>
      <c r="H43" s="17"/>
      <c r="I43" s="17"/>
      <c r="J43" s="17"/>
      <c r="K43" s="17"/>
      <c r="L43" s="17"/>
      <c r="M43" s="18"/>
      <c r="N43" s="17"/>
      <c r="O43" s="17"/>
      <c r="P43" s="18"/>
      <c r="Q43" s="17"/>
      <c r="R43" s="17"/>
      <c r="S43" s="17"/>
      <c r="T43" s="18"/>
      <c r="U43" s="18"/>
      <c r="V43" s="19"/>
      <c r="W43" s="19"/>
      <c r="X43" s="19"/>
      <c r="Y43" s="20"/>
      <c r="Z43" s="20"/>
    </row>
    <row r="44" spans="1:26" ht="15.75" customHeight="1" x14ac:dyDescent="0.25">
      <c r="A44" s="231">
        <v>12</v>
      </c>
      <c r="B44" s="266"/>
      <c r="C44" s="10" t="s">
        <v>54</v>
      </c>
      <c r="D44" s="21" t="s">
        <v>48</v>
      </c>
      <c r="E44" s="10">
        <v>31</v>
      </c>
      <c r="F44" s="10">
        <v>15</v>
      </c>
      <c r="G44" s="28">
        <v>11</v>
      </c>
      <c r="H44" s="11">
        <v>100</v>
      </c>
      <c r="I44" s="11">
        <v>19</v>
      </c>
      <c r="J44" s="11">
        <v>130</v>
      </c>
      <c r="K44" s="11">
        <v>18</v>
      </c>
      <c r="L44" s="11">
        <v>93</v>
      </c>
      <c r="M44" s="12">
        <v>6</v>
      </c>
      <c r="N44" s="11">
        <v>4</v>
      </c>
      <c r="O44" s="11">
        <v>2</v>
      </c>
      <c r="P44" s="12">
        <v>117</v>
      </c>
      <c r="Q44" s="11">
        <v>362</v>
      </c>
      <c r="R44" s="11">
        <v>2</v>
      </c>
      <c r="S44" s="11">
        <v>375</v>
      </c>
      <c r="T44" s="12">
        <v>13</v>
      </c>
      <c r="U44" s="12">
        <v>99</v>
      </c>
      <c r="V44" s="13">
        <v>12.096774193548388</v>
      </c>
      <c r="W44" s="13">
        <v>80.645161290322591</v>
      </c>
      <c r="X44" s="13">
        <v>3.7878787878787881</v>
      </c>
      <c r="Y44" s="14">
        <v>0.90909090909090884</v>
      </c>
      <c r="Z44" s="15">
        <v>6.6</v>
      </c>
    </row>
    <row r="45" spans="1:26" ht="15.75" x14ac:dyDescent="0.25">
      <c r="A45" s="231"/>
      <c r="B45" s="266"/>
      <c r="C45" s="10"/>
      <c r="D45" s="21" t="s">
        <v>55</v>
      </c>
      <c r="E45" s="10">
        <v>31</v>
      </c>
      <c r="F45" s="10">
        <v>2</v>
      </c>
      <c r="G45" s="28">
        <v>1</v>
      </c>
      <c r="H45" s="11">
        <v>1</v>
      </c>
      <c r="I45" s="11">
        <v>1</v>
      </c>
      <c r="J45" s="11">
        <v>3</v>
      </c>
      <c r="K45" s="11">
        <v>0</v>
      </c>
      <c r="L45" s="11">
        <v>3</v>
      </c>
      <c r="M45" s="12">
        <v>0</v>
      </c>
      <c r="N45" s="11">
        <v>0</v>
      </c>
      <c r="O45" s="11">
        <v>0</v>
      </c>
      <c r="P45" s="12">
        <v>3</v>
      </c>
      <c r="Q45" s="11">
        <v>17</v>
      </c>
      <c r="R45" s="11">
        <v>0</v>
      </c>
      <c r="S45" s="11">
        <v>17</v>
      </c>
      <c r="T45" s="12">
        <v>0</v>
      </c>
      <c r="U45" s="12">
        <v>3</v>
      </c>
      <c r="V45" s="13">
        <v>0.54838709677419351</v>
      </c>
      <c r="W45" s="13">
        <v>27.419354838709676</v>
      </c>
      <c r="X45" s="13">
        <v>5.666666666666667</v>
      </c>
      <c r="Y45" s="14">
        <v>15</v>
      </c>
      <c r="Z45" s="15">
        <v>1.5</v>
      </c>
    </row>
    <row r="46" spans="1:26" ht="15.75" x14ac:dyDescent="0.25">
      <c r="A46" s="231"/>
      <c r="B46" s="266"/>
      <c r="C46" s="17" t="s">
        <v>54</v>
      </c>
      <c r="D46" s="16"/>
      <c r="E46" s="10">
        <v>31</v>
      </c>
      <c r="F46" s="17">
        <v>17</v>
      </c>
      <c r="G46" s="17">
        <v>12</v>
      </c>
      <c r="H46" s="17">
        <v>101</v>
      </c>
      <c r="I46" s="17">
        <v>20</v>
      </c>
      <c r="J46" s="17">
        <v>133</v>
      </c>
      <c r="K46" s="17">
        <v>18</v>
      </c>
      <c r="L46" s="17">
        <v>96</v>
      </c>
      <c r="M46" s="18">
        <v>6</v>
      </c>
      <c r="N46" s="17">
        <v>4</v>
      </c>
      <c r="O46" s="17">
        <v>2</v>
      </c>
      <c r="P46" s="18">
        <v>120</v>
      </c>
      <c r="Q46" s="17">
        <v>379</v>
      </c>
      <c r="R46" s="17">
        <v>2</v>
      </c>
      <c r="S46" s="17">
        <v>392</v>
      </c>
      <c r="T46" s="18">
        <v>13</v>
      </c>
      <c r="U46" s="18">
        <v>102</v>
      </c>
      <c r="V46" s="25">
        <v>12.64516129032258</v>
      </c>
      <c r="W46" s="19">
        <v>74.383301707779879</v>
      </c>
      <c r="X46" s="19">
        <v>3.8431372549019609</v>
      </c>
      <c r="Y46" s="20">
        <v>1.3235294117647061</v>
      </c>
      <c r="Z46" s="20">
        <v>6</v>
      </c>
    </row>
    <row r="47" spans="1:26" ht="15.75" customHeight="1" x14ac:dyDescent="0.25">
      <c r="A47" s="245">
        <v>13</v>
      </c>
      <c r="B47" s="266"/>
      <c r="C47" s="257" t="s">
        <v>56</v>
      </c>
      <c r="D47" s="22" t="s">
        <v>57</v>
      </c>
      <c r="E47" s="10">
        <v>31</v>
      </c>
      <c r="F47" s="11">
        <v>2</v>
      </c>
      <c r="G47" s="28">
        <v>0</v>
      </c>
      <c r="H47" s="11">
        <v>5</v>
      </c>
      <c r="I47" s="11">
        <v>0</v>
      </c>
      <c r="J47" s="11">
        <v>5</v>
      </c>
      <c r="K47" s="11">
        <v>3</v>
      </c>
      <c r="L47" s="11">
        <v>2</v>
      </c>
      <c r="M47" s="12">
        <v>0</v>
      </c>
      <c r="N47" s="11">
        <v>0</v>
      </c>
      <c r="O47" s="11">
        <v>0</v>
      </c>
      <c r="P47" s="12">
        <v>5</v>
      </c>
      <c r="Q47" s="11">
        <v>8</v>
      </c>
      <c r="R47" s="11">
        <v>0</v>
      </c>
      <c r="S47" s="11">
        <v>13</v>
      </c>
      <c r="T47" s="12">
        <v>0</v>
      </c>
      <c r="U47" s="12">
        <v>2</v>
      </c>
      <c r="V47" s="13">
        <v>0.41935483870967744</v>
      </c>
      <c r="W47" s="13">
        <v>20.967741935483872</v>
      </c>
      <c r="X47" s="13">
        <v>6.5</v>
      </c>
      <c r="Y47" s="14">
        <v>24.5</v>
      </c>
      <c r="Z47" s="15">
        <v>1</v>
      </c>
    </row>
    <row r="48" spans="1:26" ht="15.75" x14ac:dyDescent="0.25">
      <c r="A48" s="246"/>
      <c r="B48" s="266"/>
      <c r="C48" s="257"/>
      <c r="D48" s="99" t="s">
        <v>58</v>
      </c>
      <c r="E48" s="10">
        <v>31</v>
      </c>
      <c r="F48" s="26">
        <v>3</v>
      </c>
      <c r="G48" s="56">
        <v>1</v>
      </c>
      <c r="H48" s="26">
        <v>13</v>
      </c>
      <c r="I48" s="26">
        <v>1</v>
      </c>
      <c r="J48" s="11">
        <v>15</v>
      </c>
      <c r="K48" s="26">
        <v>1</v>
      </c>
      <c r="L48" s="26">
        <v>12</v>
      </c>
      <c r="M48" s="12">
        <v>2</v>
      </c>
      <c r="N48" s="26">
        <v>2</v>
      </c>
      <c r="O48" s="26">
        <v>0</v>
      </c>
      <c r="P48" s="12">
        <v>15</v>
      </c>
      <c r="Q48" s="26">
        <v>55</v>
      </c>
      <c r="R48" s="26">
        <v>0</v>
      </c>
      <c r="S48" s="26">
        <v>49</v>
      </c>
      <c r="T48" s="12">
        <v>0</v>
      </c>
      <c r="U48" s="12">
        <v>14</v>
      </c>
      <c r="V48" s="13">
        <v>1.5806451612903225</v>
      </c>
      <c r="W48" s="13">
        <v>52.688172043010752</v>
      </c>
      <c r="X48" s="13">
        <v>3.5</v>
      </c>
      <c r="Y48" s="14">
        <v>3.1428571428571428</v>
      </c>
      <c r="Z48" s="15">
        <v>4.666666666666667</v>
      </c>
    </row>
    <row r="49" spans="1:26" ht="15.75" x14ac:dyDescent="0.25">
      <c r="A49" s="246"/>
      <c r="B49" s="266"/>
      <c r="C49" s="257"/>
      <c r="D49" s="99" t="s">
        <v>59</v>
      </c>
      <c r="E49" s="10">
        <v>31</v>
      </c>
      <c r="F49" s="26">
        <v>2</v>
      </c>
      <c r="G49" s="56">
        <v>0</v>
      </c>
      <c r="H49" s="26">
        <v>7</v>
      </c>
      <c r="I49" s="26">
        <v>0</v>
      </c>
      <c r="J49" s="11">
        <v>7</v>
      </c>
      <c r="K49" s="26">
        <v>1</v>
      </c>
      <c r="L49" s="26">
        <v>4</v>
      </c>
      <c r="M49" s="12">
        <v>1</v>
      </c>
      <c r="N49" s="26">
        <v>0</v>
      </c>
      <c r="O49" s="26">
        <v>1</v>
      </c>
      <c r="P49" s="12">
        <v>6</v>
      </c>
      <c r="Q49" s="26">
        <v>27</v>
      </c>
      <c r="R49" s="26">
        <v>0</v>
      </c>
      <c r="S49" s="26">
        <v>34</v>
      </c>
      <c r="T49" s="12">
        <v>1</v>
      </c>
      <c r="U49" s="12">
        <v>5</v>
      </c>
      <c r="V49" s="13">
        <v>1.096774193548387</v>
      </c>
      <c r="W49" s="13">
        <v>54.838709677419352</v>
      </c>
      <c r="X49" s="13">
        <v>6.8</v>
      </c>
      <c r="Y49" s="14">
        <v>5.6000000000000005</v>
      </c>
      <c r="Z49" s="15">
        <v>2.5</v>
      </c>
    </row>
    <row r="50" spans="1:26" ht="15.75" x14ac:dyDescent="0.25">
      <c r="A50" s="246"/>
      <c r="B50" s="266"/>
      <c r="C50" s="257"/>
      <c r="D50" s="99" t="s">
        <v>60</v>
      </c>
      <c r="E50" s="10">
        <v>31</v>
      </c>
      <c r="F50" s="26">
        <v>10</v>
      </c>
      <c r="G50" s="56">
        <v>4</v>
      </c>
      <c r="H50" s="26">
        <v>56</v>
      </c>
      <c r="I50" s="26">
        <v>8</v>
      </c>
      <c r="J50" s="11">
        <v>68</v>
      </c>
      <c r="K50" s="26">
        <v>2</v>
      </c>
      <c r="L50" s="26">
        <v>40</v>
      </c>
      <c r="M50" s="12">
        <v>21</v>
      </c>
      <c r="N50" s="26">
        <v>9</v>
      </c>
      <c r="O50" s="26">
        <v>12</v>
      </c>
      <c r="P50" s="12">
        <v>63</v>
      </c>
      <c r="Q50" s="26">
        <v>275</v>
      </c>
      <c r="R50" s="26">
        <v>2</v>
      </c>
      <c r="S50" s="26">
        <v>238</v>
      </c>
      <c r="T50" s="12">
        <v>5</v>
      </c>
      <c r="U50" s="12">
        <v>61</v>
      </c>
      <c r="V50" s="13">
        <v>7.67741935483871</v>
      </c>
      <c r="W50" s="13">
        <v>76.774193548387103</v>
      </c>
      <c r="X50" s="13">
        <v>3.901639344262295</v>
      </c>
      <c r="Y50" s="14">
        <v>1.1803278688524588</v>
      </c>
      <c r="Z50" s="15">
        <v>6.1</v>
      </c>
    </row>
    <row r="51" spans="1:26" ht="15.75" x14ac:dyDescent="0.25">
      <c r="A51" s="247"/>
      <c r="B51" s="266"/>
      <c r="C51" s="17" t="s">
        <v>61</v>
      </c>
      <c r="D51" s="16"/>
      <c r="E51" s="10">
        <v>31</v>
      </c>
      <c r="F51" s="17">
        <v>17</v>
      </c>
      <c r="G51" s="17">
        <v>5</v>
      </c>
      <c r="H51" s="17">
        <v>81</v>
      </c>
      <c r="I51" s="17">
        <v>9</v>
      </c>
      <c r="J51" s="17">
        <v>95</v>
      </c>
      <c r="K51" s="17">
        <v>7</v>
      </c>
      <c r="L51" s="17">
        <v>58</v>
      </c>
      <c r="M51" s="18">
        <v>24</v>
      </c>
      <c r="N51" s="17">
        <v>11</v>
      </c>
      <c r="O51" s="17">
        <v>13</v>
      </c>
      <c r="P51" s="18">
        <v>89</v>
      </c>
      <c r="Q51" s="17">
        <v>365</v>
      </c>
      <c r="R51" s="17">
        <v>2</v>
      </c>
      <c r="S51" s="17">
        <v>334</v>
      </c>
      <c r="T51" s="18">
        <v>6</v>
      </c>
      <c r="U51" s="18">
        <v>82</v>
      </c>
      <c r="V51" s="19">
        <v>10.774193548387096</v>
      </c>
      <c r="W51" s="19">
        <v>63.37760910815939</v>
      </c>
      <c r="X51" s="19">
        <v>4.0731707317073171</v>
      </c>
      <c r="Y51" s="20">
        <v>2.3536585365853662</v>
      </c>
      <c r="Z51" s="20">
        <v>4.8235294117647056</v>
      </c>
    </row>
    <row r="52" spans="1:26" ht="15.75" x14ac:dyDescent="0.25">
      <c r="A52" s="145"/>
      <c r="B52" s="266"/>
      <c r="C52" s="17"/>
      <c r="D52" s="16"/>
      <c r="E52" s="10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31</v>
      </c>
      <c r="F53" s="11">
        <v>8</v>
      </c>
      <c r="G53" s="28">
        <v>1</v>
      </c>
      <c r="H53" s="11">
        <v>43</v>
      </c>
      <c r="I53" s="11">
        <v>6</v>
      </c>
      <c r="J53" s="11">
        <v>50</v>
      </c>
      <c r="K53" s="11">
        <v>5</v>
      </c>
      <c r="L53" s="11">
        <v>38</v>
      </c>
      <c r="M53" s="12">
        <v>5</v>
      </c>
      <c r="N53" s="11">
        <v>3</v>
      </c>
      <c r="O53" s="11">
        <v>2</v>
      </c>
      <c r="P53" s="12">
        <v>48</v>
      </c>
      <c r="Q53" s="11">
        <v>134</v>
      </c>
      <c r="R53" s="11">
        <v>0</v>
      </c>
      <c r="S53" s="11">
        <v>146</v>
      </c>
      <c r="T53" s="12">
        <v>2</v>
      </c>
      <c r="U53" s="12">
        <v>43</v>
      </c>
      <c r="V53" s="13">
        <v>4.709677419354839</v>
      </c>
      <c r="W53" s="24">
        <v>58.870967741935488</v>
      </c>
      <c r="X53" s="24">
        <v>3.3953488372093021</v>
      </c>
      <c r="Y53" s="23">
        <v>2.3720930232558137</v>
      </c>
      <c r="Z53" s="24">
        <v>5.375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">
        <v>31</v>
      </c>
      <c r="F54" s="17">
        <v>8</v>
      </c>
      <c r="G54" s="17">
        <v>1</v>
      </c>
      <c r="H54" s="17">
        <v>43</v>
      </c>
      <c r="I54" s="17">
        <v>6</v>
      </c>
      <c r="J54" s="17">
        <v>50</v>
      </c>
      <c r="K54" s="17">
        <v>5</v>
      </c>
      <c r="L54" s="17">
        <v>38</v>
      </c>
      <c r="M54" s="18">
        <v>5</v>
      </c>
      <c r="N54" s="17">
        <v>3</v>
      </c>
      <c r="O54" s="17">
        <v>2</v>
      </c>
      <c r="P54" s="18">
        <v>48</v>
      </c>
      <c r="Q54" s="17">
        <v>134</v>
      </c>
      <c r="R54" s="17">
        <v>0</v>
      </c>
      <c r="S54" s="17">
        <v>146</v>
      </c>
      <c r="T54" s="18">
        <v>2</v>
      </c>
      <c r="U54" s="18">
        <v>43</v>
      </c>
      <c r="V54" s="19">
        <v>4.709677419354839</v>
      </c>
      <c r="W54" s="27">
        <v>58.870967741935488</v>
      </c>
      <c r="X54" s="27">
        <v>3.3953488372093021</v>
      </c>
      <c r="Y54" s="27">
        <v>2.3720930232558137</v>
      </c>
      <c r="Z54" s="27">
        <v>5.375</v>
      </c>
    </row>
    <row r="55" spans="1:26" ht="15.75" x14ac:dyDescent="0.25">
      <c r="A55" s="59"/>
      <c r="B55" s="266"/>
      <c r="C55" s="17"/>
      <c r="D55" s="16"/>
      <c r="E55" s="10"/>
      <c r="F55" s="17"/>
      <c r="G55" s="17"/>
      <c r="H55" s="17"/>
      <c r="I55" s="17"/>
      <c r="J55" s="17"/>
      <c r="K55" s="17"/>
      <c r="L55" s="17"/>
      <c r="M55" s="18"/>
      <c r="N55" s="17"/>
      <c r="O55" s="17"/>
      <c r="P55" s="18"/>
      <c r="Q55" s="17"/>
      <c r="R55" s="17"/>
      <c r="S55" s="17"/>
      <c r="T55" s="18"/>
      <c r="U55" s="18"/>
      <c r="V55" s="19"/>
      <c r="W55" s="27"/>
      <c r="X55" s="27"/>
      <c r="Y55" s="27"/>
      <c r="Z55" s="27"/>
    </row>
    <row r="56" spans="1:26" ht="15.75" x14ac:dyDescent="0.25">
      <c r="A56" s="231">
        <v>15</v>
      </c>
      <c r="B56" s="266"/>
      <c r="C56" s="11" t="s">
        <v>63</v>
      </c>
      <c r="D56" s="22" t="s">
        <v>34</v>
      </c>
      <c r="E56" s="10">
        <v>31</v>
      </c>
      <c r="F56" s="11">
        <v>16</v>
      </c>
      <c r="G56" s="28">
        <v>16</v>
      </c>
      <c r="H56" s="11">
        <v>128</v>
      </c>
      <c r="I56" s="11">
        <v>16</v>
      </c>
      <c r="J56" s="11">
        <v>160</v>
      </c>
      <c r="K56" s="11">
        <v>8</v>
      </c>
      <c r="L56" s="11">
        <v>122</v>
      </c>
      <c r="M56" s="11">
        <v>13</v>
      </c>
      <c r="N56" s="11">
        <v>5</v>
      </c>
      <c r="O56" s="11">
        <v>8</v>
      </c>
      <c r="P56" s="11">
        <v>143</v>
      </c>
      <c r="Q56" s="11">
        <v>460</v>
      </c>
      <c r="R56" s="11">
        <v>2</v>
      </c>
      <c r="S56" s="11">
        <v>481</v>
      </c>
      <c r="T56" s="11">
        <v>17</v>
      </c>
      <c r="U56" s="11">
        <v>135</v>
      </c>
      <c r="V56" s="15">
        <v>15.516129032258064</v>
      </c>
      <c r="W56" s="15">
        <v>96.975806451612897</v>
      </c>
      <c r="X56" s="15">
        <v>3.5629629629629629</v>
      </c>
      <c r="Y56" s="14">
        <v>0.11111111111111122</v>
      </c>
      <c r="Z56" s="15">
        <v>8.4375</v>
      </c>
    </row>
    <row r="57" spans="1:26" ht="15.75" x14ac:dyDescent="0.25">
      <c r="A57" s="231"/>
      <c r="B57" s="266"/>
      <c r="C57" s="17" t="s">
        <v>63</v>
      </c>
      <c r="D57" s="16"/>
      <c r="E57" s="10">
        <v>31</v>
      </c>
      <c r="F57" s="17">
        <v>16</v>
      </c>
      <c r="G57" s="17">
        <v>16</v>
      </c>
      <c r="H57" s="17">
        <v>128</v>
      </c>
      <c r="I57" s="17">
        <v>16</v>
      </c>
      <c r="J57" s="17">
        <v>160</v>
      </c>
      <c r="K57" s="17">
        <v>8</v>
      </c>
      <c r="L57" s="17">
        <v>122</v>
      </c>
      <c r="M57" s="17">
        <v>13</v>
      </c>
      <c r="N57" s="17">
        <v>5</v>
      </c>
      <c r="O57" s="17">
        <v>8</v>
      </c>
      <c r="P57" s="17">
        <v>143</v>
      </c>
      <c r="Q57" s="17">
        <v>460</v>
      </c>
      <c r="R57" s="17">
        <v>2</v>
      </c>
      <c r="S57" s="17">
        <v>481</v>
      </c>
      <c r="T57" s="17">
        <v>17</v>
      </c>
      <c r="U57" s="17">
        <v>135</v>
      </c>
      <c r="V57" s="20">
        <v>15.516129032258064</v>
      </c>
      <c r="W57" s="20">
        <v>96.975806451612897</v>
      </c>
      <c r="X57" s="20">
        <v>3.5629629629629629</v>
      </c>
      <c r="Y57" s="20">
        <v>0.11111111111111122</v>
      </c>
      <c r="Z57" s="20">
        <v>8.4375</v>
      </c>
    </row>
    <row r="58" spans="1:26" ht="15.75" x14ac:dyDescent="0.25">
      <c r="A58" s="59"/>
      <c r="B58" s="266"/>
      <c r="C58" s="248" t="s">
        <v>64</v>
      </c>
      <c r="D58" s="22" t="s">
        <v>55</v>
      </c>
      <c r="E58" s="10">
        <v>31</v>
      </c>
      <c r="F58" s="11">
        <v>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5"/>
      <c r="X58" s="15"/>
      <c r="Y58" s="15"/>
      <c r="Z58" s="15"/>
    </row>
    <row r="59" spans="1:26" ht="15.75" x14ac:dyDescent="0.25">
      <c r="A59" s="253">
        <v>16</v>
      </c>
      <c r="B59" s="266"/>
      <c r="C59" s="249"/>
      <c r="D59" s="21" t="s">
        <v>48</v>
      </c>
      <c r="E59" s="10">
        <v>31</v>
      </c>
      <c r="F59" s="10">
        <v>4</v>
      </c>
      <c r="G59" s="28">
        <v>0</v>
      </c>
      <c r="H59" s="10">
        <v>5</v>
      </c>
      <c r="I59" s="10">
        <v>4</v>
      </c>
      <c r="J59" s="11">
        <v>9</v>
      </c>
      <c r="K59" s="10">
        <v>3</v>
      </c>
      <c r="L59" s="10">
        <v>6</v>
      </c>
      <c r="M59" s="11">
        <v>0</v>
      </c>
      <c r="N59" s="10">
        <v>0</v>
      </c>
      <c r="O59" s="10">
        <v>0</v>
      </c>
      <c r="P59" s="11">
        <v>9</v>
      </c>
      <c r="Q59" s="10">
        <v>37</v>
      </c>
      <c r="R59" s="10">
        <v>0</v>
      </c>
      <c r="S59" s="10">
        <v>12</v>
      </c>
      <c r="T59" s="12">
        <v>0</v>
      </c>
      <c r="U59" s="12">
        <v>6</v>
      </c>
      <c r="V59" s="13">
        <v>0.38709677419354838</v>
      </c>
      <c r="W59" s="24">
        <v>9.67741935483871</v>
      </c>
      <c r="X59" s="24">
        <v>2</v>
      </c>
      <c r="Y59" s="23">
        <v>18.666666666666668</v>
      </c>
      <c r="Z59" s="24">
        <v>1.5</v>
      </c>
    </row>
    <row r="60" spans="1:26" ht="15.75" x14ac:dyDescent="0.25">
      <c r="A60" s="253"/>
      <c r="B60" s="266"/>
      <c r="C60" s="249"/>
      <c r="D60" s="21" t="s">
        <v>38</v>
      </c>
      <c r="E60" s="10">
        <v>31</v>
      </c>
      <c r="F60" s="10">
        <v>12</v>
      </c>
      <c r="G60" s="28">
        <v>4</v>
      </c>
      <c r="H60" s="10">
        <v>22</v>
      </c>
      <c r="I60" s="10">
        <v>102</v>
      </c>
      <c r="J60" s="11">
        <v>128</v>
      </c>
      <c r="K60" s="10">
        <v>100</v>
      </c>
      <c r="L60" s="10">
        <v>24</v>
      </c>
      <c r="M60" s="11">
        <v>0</v>
      </c>
      <c r="N60" s="10">
        <v>0</v>
      </c>
      <c r="O60" s="10">
        <v>0</v>
      </c>
      <c r="P60" s="11">
        <v>124</v>
      </c>
      <c r="Q60" s="10">
        <v>57</v>
      </c>
      <c r="R60" s="10">
        <v>0</v>
      </c>
      <c r="S60" s="10">
        <v>144</v>
      </c>
      <c r="T60" s="12">
        <v>4</v>
      </c>
      <c r="U60" s="12">
        <v>24</v>
      </c>
      <c r="V60" s="13">
        <v>4.645161290322581</v>
      </c>
      <c r="W60" s="24">
        <v>38.70967741935484</v>
      </c>
      <c r="X60" s="24">
        <v>6</v>
      </c>
      <c r="Y60" s="23">
        <v>9.5</v>
      </c>
      <c r="Z60" s="24">
        <v>2</v>
      </c>
    </row>
    <row r="61" spans="1:26" ht="15.75" x14ac:dyDescent="0.25">
      <c r="A61" s="253"/>
      <c r="B61" s="266"/>
      <c r="C61" s="250"/>
      <c r="D61" s="21" t="s">
        <v>34</v>
      </c>
      <c r="E61" s="10">
        <v>31</v>
      </c>
      <c r="F61" s="10">
        <v>31</v>
      </c>
      <c r="G61" s="28">
        <v>15</v>
      </c>
      <c r="H61" s="10">
        <v>84</v>
      </c>
      <c r="I61" s="10">
        <v>196</v>
      </c>
      <c r="J61" s="11">
        <v>295</v>
      </c>
      <c r="K61" s="10">
        <v>44</v>
      </c>
      <c r="L61" s="10">
        <v>235</v>
      </c>
      <c r="M61" s="11">
        <v>0</v>
      </c>
      <c r="N61" s="10">
        <v>0</v>
      </c>
      <c r="O61" s="10">
        <v>0</v>
      </c>
      <c r="P61" s="11">
        <v>279</v>
      </c>
      <c r="Q61" s="10">
        <v>538</v>
      </c>
      <c r="R61" s="10">
        <v>0</v>
      </c>
      <c r="S61" s="10">
        <v>358</v>
      </c>
      <c r="T61" s="12">
        <v>16</v>
      </c>
      <c r="U61" s="12">
        <v>235</v>
      </c>
      <c r="V61" s="13">
        <v>11.548387096774194</v>
      </c>
      <c r="W61" s="24">
        <v>37.252861602497397</v>
      </c>
      <c r="X61" s="24">
        <v>1.5234042553191489</v>
      </c>
      <c r="Y61" s="23">
        <v>2.5659574468085107</v>
      </c>
      <c r="Z61" s="24">
        <v>7.580645161290323</v>
      </c>
    </row>
    <row r="62" spans="1:26" ht="15.75" x14ac:dyDescent="0.25">
      <c r="A62" s="253"/>
      <c r="B62" s="266"/>
      <c r="C62" s="17" t="s">
        <v>64</v>
      </c>
      <c r="D62" s="16"/>
      <c r="E62" s="10">
        <v>31</v>
      </c>
      <c r="F62" s="17">
        <v>48</v>
      </c>
      <c r="G62" s="17">
        <v>19</v>
      </c>
      <c r="H62" s="17">
        <v>111</v>
      </c>
      <c r="I62" s="17">
        <v>302</v>
      </c>
      <c r="J62" s="17">
        <v>432</v>
      </c>
      <c r="K62" s="17">
        <v>147</v>
      </c>
      <c r="L62" s="17">
        <v>265</v>
      </c>
      <c r="M62" s="17">
        <v>0</v>
      </c>
      <c r="N62" s="17">
        <v>0</v>
      </c>
      <c r="O62" s="17">
        <v>0</v>
      </c>
      <c r="P62" s="17">
        <v>412</v>
      </c>
      <c r="Q62" s="17">
        <v>632</v>
      </c>
      <c r="R62" s="17">
        <v>0</v>
      </c>
      <c r="S62" s="17">
        <v>514</v>
      </c>
      <c r="T62" s="17">
        <v>20</v>
      </c>
      <c r="U62" s="17">
        <v>265</v>
      </c>
      <c r="V62" s="20">
        <v>16.580645161290324</v>
      </c>
      <c r="W62" s="20">
        <v>34.543010752688176</v>
      </c>
      <c r="X62" s="20">
        <v>1.939622641509434</v>
      </c>
      <c r="Y62" s="20">
        <v>3.6754716981132076</v>
      </c>
      <c r="Z62" s="20">
        <v>5.520833333333333</v>
      </c>
    </row>
    <row r="63" spans="1:26" ht="15.75" x14ac:dyDescent="0.25">
      <c r="A63" s="253">
        <v>17</v>
      </c>
      <c r="B63" s="266"/>
      <c r="C63" s="11" t="s">
        <v>81</v>
      </c>
      <c r="D63" s="21" t="s">
        <v>38</v>
      </c>
      <c r="E63" s="10">
        <v>31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" customHeight="1" x14ac:dyDescent="0.25">
      <c r="A64" s="253"/>
      <c r="B64" s="323"/>
      <c r="C64" s="17" t="s">
        <v>81</v>
      </c>
      <c r="D64" s="16" t="s">
        <v>38</v>
      </c>
      <c r="E64" s="10">
        <v>31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 t="e">
        <v>#DIV/0!</v>
      </c>
      <c r="X64" s="20" t="e">
        <v>#DIV/0!</v>
      </c>
      <c r="Y64" s="20" t="e">
        <v>#DIV/0!</v>
      </c>
      <c r="Z64" s="20" t="e">
        <v>#DIV/0!</v>
      </c>
    </row>
    <row r="65" spans="1:26" ht="15" customHeight="1" x14ac:dyDescent="0.25">
      <c r="A65" s="255" t="s">
        <v>65</v>
      </c>
      <c r="B65" s="255"/>
      <c r="C65" s="255"/>
      <c r="D65" s="255"/>
      <c r="E65" s="10">
        <v>31</v>
      </c>
      <c r="F65" s="29">
        <v>326</v>
      </c>
      <c r="G65" s="29">
        <v>232</v>
      </c>
      <c r="H65" s="29">
        <v>1987</v>
      </c>
      <c r="I65" s="29">
        <v>589</v>
      </c>
      <c r="J65" s="28">
        <v>2808</v>
      </c>
      <c r="K65" s="29">
        <v>367</v>
      </c>
      <c r="L65" s="29">
        <v>1979</v>
      </c>
      <c r="M65" s="28">
        <v>206</v>
      </c>
      <c r="N65" s="29">
        <v>111</v>
      </c>
      <c r="O65" s="29">
        <v>95</v>
      </c>
      <c r="P65" s="28">
        <v>2552</v>
      </c>
      <c r="Q65" s="29">
        <v>7475</v>
      </c>
      <c r="R65" s="29">
        <v>34</v>
      </c>
      <c r="S65" s="29">
        <v>7626</v>
      </c>
      <c r="T65" s="28">
        <v>256</v>
      </c>
      <c r="U65" s="28">
        <v>2185</v>
      </c>
      <c r="V65" s="30">
        <v>246</v>
      </c>
      <c r="W65" s="30">
        <v>75.460122699386503</v>
      </c>
      <c r="X65" s="30">
        <v>3.4901601830663616</v>
      </c>
      <c r="Y65" s="30">
        <v>1.1350114416475972</v>
      </c>
      <c r="Z65" s="30">
        <v>6.7024539877300615</v>
      </c>
    </row>
    <row r="66" spans="1:26" ht="15.75" x14ac:dyDescent="0.25">
      <c r="A66" s="31"/>
      <c r="B66" s="108"/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hidden="1" customHeight="1" x14ac:dyDescent="0.25">
      <c r="A67" s="33" t="s">
        <v>66</v>
      </c>
      <c r="B67" s="34"/>
      <c r="C67" s="32"/>
      <c r="D67" s="32"/>
      <c r="E67" s="1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hidden="1" customHeight="1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23</v>
      </c>
      <c r="X68" s="8" t="s">
        <v>24</v>
      </c>
      <c r="Y68" s="8" t="s">
        <v>25</v>
      </c>
      <c r="Z68" s="8" t="s">
        <v>26</v>
      </c>
    </row>
    <row r="69" spans="1:26" ht="15" hidden="1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ht="15" hidden="1" customHeight="1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ht="15" hidden="1" customHeight="1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.75" hidden="1" customHeight="1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31</v>
      </c>
      <c r="F72" s="11"/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 t="e">
        <v>#DIV/0!</v>
      </c>
      <c r="X72" s="35" t="e">
        <v>#DIV/0!</v>
      </c>
      <c r="Y72" s="36" t="e">
        <v>#DIV/0!</v>
      </c>
      <c r="Z72" s="35" t="e">
        <v>#DIV/0!</v>
      </c>
    </row>
    <row r="73" spans="1:26" ht="15.75" hidden="1" customHeight="1" x14ac:dyDescent="0.25">
      <c r="A73" s="247"/>
      <c r="B73" s="246"/>
      <c r="C73" s="17" t="s">
        <v>69</v>
      </c>
      <c r="D73" s="17"/>
      <c r="E73" s="10">
        <v>31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 t="e">
        <v>#DIV/0!</v>
      </c>
    </row>
    <row r="74" spans="1:26" ht="15.75" hidden="1" customHeight="1" x14ac:dyDescent="0.25">
      <c r="A74" s="245">
        <v>2</v>
      </c>
      <c r="B74" s="246"/>
      <c r="C74" s="11" t="s">
        <v>70</v>
      </c>
      <c r="D74" s="11" t="s">
        <v>48</v>
      </c>
      <c r="E74" s="10">
        <v>31</v>
      </c>
      <c r="F74" s="11"/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 t="e">
        <v>#DIV/0!</v>
      </c>
      <c r="X74" s="15" t="e">
        <v>#DIV/0!</v>
      </c>
      <c r="Y74" s="14" t="e">
        <v>#DIV/0!</v>
      </c>
      <c r="Z74" s="15" t="e">
        <v>#DIV/0!</v>
      </c>
    </row>
    <row r="75" spans="1:26" ht="15.75" hidden="1" customHeight="1" x14ac:dyDescent="0.25">
      <c r="A75" s="247"/>
      <c r="B75" s="246"/>
      <c r="C75" s="17" t="s">
        <v>70</v>
      </c>
      <c r="D75" s="17"/>
      <c r="E75" s="10">
        <v>31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 t="e">
        <v>#DIV/0!</v>
      </c>
      <c r="X75" s="20" t="e">
        <v>#DIV/0!</v>
      </c>
      <c r="Y75" s="20" t="e">
        <v>#DIV/0!</v>
      </c>
      <c r="Z75" s="20" t="e">
        <v>#DIV/0!</v>
      </c>
    </row>
    <row r="76" spans="1:26" ht="15" hidden="1" customHeight="1" x14ac:dyDescent="0.25">
      <c r="A76" s="245">
        <v>3</v>
      </c>
      <c r="B76" s="246"/>
      <c r="C76" s="11" t="s">
        <v>63</v>
      </c>
      <c r="D76" s="11"/>
      <c r="E76" s="10">
        <v>31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" hidden="1" customHeight="1" x14ac:dyDescent="0.25">
      <c r="A77" s="247"/>
      <c r="B77" s="247"/>
      <c r="C77" s="17" t="s">
        <v>63</v>
      </c>
      <c r="D77" s="17"/>
      <c r="E77" s="10">
        <v>31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hidden="1" customHeight="1" x14ac:dyDescent="0.25">
      <c r="A78" s="105" t="s">
        <v>71</v>
      </c>
      <c r="B78" s="105"/>
      <c r="C78" s="105"/>
      <c r="D78" s="105"/>
      <c r="E78" s="10">
        <v>31</v>
      </c>
      <c r="F78" s="29">
        <v>0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 t="e">
        <v>#DIV/0!</v>
      </c>
      <c r="X78" s="30" t="e">
        <v>#DIV/0!</v>
      </c>
      <c r="Y78" s="30" t="e">
        <v>#DIV/0!</v>
      </c>
      <c r="Z78" s="30" t="e">
        <v>#DIV/0!</v>
      </c>
    </row>
    <row r="79" spans="1:26" ht="18.75" x14ac:dyDescent="0.25">
      <c r="A79" s="106"/>
      <c r="B79" s="106"/>
      <c r="C79" s="106"/>
      <c r="D79" s="106"/>
      <c r="E79" s="1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23</v>
      </c>
      <c r="X80" s="8" t="s">
        <v>24</v>
      </c>
      <c r="Y80" s="8" t="s">
        <v>25</v>
      </c>
      <c r="Z80" s="8" t="s">
        <v>26</v>
      </c>
    </row>
    <row r="81" spans="1:26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26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26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.75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31</v>
      </c>
      <c r="F84" s="10">
        <v>30</v>
      </c>
      <c r="G84" s="10">
        <v>18</v>
      </c>
      <c r="H84" s="10">
        <v>106</v>
      </c>
      <c r="I84" s="10">
        <v>17</v>
      </c>
      <c r="J84" s="11">
        <v>141</v>
      </c>
      <c r="K84" s="10">
        <v>50</v>
      </c>
      <c r="L84" s="10">
        <v>75</v>
      </c>
      <c r="M84" s="11">
        <v>5</v>
      </c>
      <c r="N84" s="10">
        <v>4</v>
      </c>
      <c r="O84" s="10">
        <v>1</v>
      </c>
      <c r="P84" s="11">
        <v>130</v>
      </c>
      <c r="Q84" s="10">
        <v>444</v>
      </c>
      <c r="R84" s="10">
        <v>1</v>
      </c>
      <c r="S84" s="10">
        <v>441</v>
      </c>
      <c r="T84" s="11">
        <v>11</v>
      </c>
      <c r="U84" s="11">
        <v>80</v>
      </c>
      <c r="V84" s="15">
        <v>14.225806451612904</v>
      </c>
      <c r="W84" s="15">
        <v>47.41935483870968</v>
      </c>
      <c r="X84" s="15">
        <v>5.5125000000000002</v>
      </c>
      <c r="Y84" s="14">
        <v>6.1124999999999998</v>
      </c>
      <c r="Z84" s="15">
        <v>2.6666666666666665</v>
      </c>
    </row>
    <row r="85" spans="1:26" ht="15.75" x14ac:dyDescent="0.25">
      <c r="A85" s="247"/>
      <c r="B85" s="246"/>
      <c r="C85" s="17" t="s">
        <v>69</v>
      </c>
      <c r="D85" s="17"/>
      <c r="E85" s="10">
        <v>31</v>
      </c>
      <c r="F85" s="41">
        <v>30</v>
      </c>
      <c r="G85" s="17">
        <v>18</v>
      </c>
      <c r="H85" s="17">
        <v>106</v>
      </c>
      <c r="I85" s="17">
        <v>17</v>
      </c>
      <c r="J85" s="17">
        <v>141</v>
      </c>
      <c r="K85" s="17">
        <v>50</v>
      </c>
      <c r="L85" s="17">
        <v>75</v>
      </c>
      <c r="M85" s="17">
        <v>5</v>
      </c>
      <c r="N85" s="17">
        <v>4</v>
      </c>
      <c r="O85" s="17">
        <v>1</v>
      </c>
      <c r="P85" s="17">
        <v>130</v>
      </c>
      <c r="Q85" s="17">
        <v>444</v>
      </c>
      <c r="R85" s="17">
        <v>1</v>
      </c>
      <c r="S85" s="17">
        <v>441</v>
      </c>
      <c r="T85" s="17">
        <v>11</v>
      </c>
      <c r="U85" s="17">
        <v>80</v>
      </c>
      <c r="V85" s="20">
        <v>14.225806451612904</v>
      </c>
      <c r="W85" s="20">
        <v>47.41935483870968</v>
      </c>
      <c r="X85" s="20">
        <v>5.5125000000000002</v>
      </c>
      <c r="Y85" s="20">
        <v>6.1124999999999998</v>
      </c>
      <c r="Z85" s="20">
        <v>2.6666666666666665</v>
      </c>
    </row>
    <row r="86" spans="1:26" ht="15.75" x14ac:dyDescent="0.25">
      <c r="A86" s="141"/>
      <c r="B86" s="246"/>
      <c r="C86" s="144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5"/>
      <c r="X86" s="15"/>
      <c r="Y86" s="15"/>
      <c r="Z86" s="15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31</v>
      </c>
      <c r="F87" s="10"/>
      <c r="G87" s="11">
        <v>0</v>
      </c>
      <c r="H87" s="11">
        <v>0</v>
      </c>
      <c r="I87" s="11">
        <v>1</v>
      </c>
      <c r="J87" s="11">
        <v>1</v>
      </c>
      <c r="K87" s="11">
        <v>0</v>
      </c>
      <c r="L87" s="11">
        <v>1</v>
      </c>
      <c r="M87" s="11">
        <v>0</v>
      </c>
      <c r="N87" s="11">
        <v>0</v>
      </c>
      <c r="O87" s="11">
        <v>0</v>
      </c>
      <c r="P87" s="11">
        <v>1</v>
      </c>
      <c r="Q87" s="11">
        <v>1</v>
      </c>
      <c r="R87" s="11">
        <v>0</v>
      </c>
      <c r="S87" s="11">
        <v>1</v>
      </c>
      <c r="T87" s="11">
        <v>0</v>
      </c>
      <c r="U87" s="11">
        <v>1</v>
      </c>
      <c r="V87" s="15">
        <v>3.2258064516129031E-2</v>
      </c>
      <c r="W87" s="15" t="e">
        <v>#DIV/0!</v>
      </c>
      <c r="X87" s="15">
        <v>1</v>
      </c>
      <c r="Y87" s="14">
        <v>-1</v>
      </c>
      <c r="Z87" s="15" t="e">
        <v>#DIV/0!</v>
      </c>
    </row>
    <row r="88" spans="1:26" ht="15.75" x14ac:dyDescent="0.25">
      <c r="A88" s="246"/>
      <c r="B88" s="246"/>
      <c r="C88" s="249"/>
      <c r="D88" s="10" t="s">
        <v>38</v>
      </c>
      <c r="E88" s="10">
        <v>31</v>
      </c>
      <c r="F88" s="10"/>
      <c r="G88" s="11">
        <v>0</v>
      </c>
      <c r="H88" s="11">
        <v>0</v>
      </c>
      <c r="I88" s="11">
        <v>37</v>
      </c>
      <c r="J88" s="11">
        <v>37</v>
      </c>
      <c r="K88" s="11">
        <v>29</v>
      </c>
      <c r="L88" s="11">
        <v>7</v>
      </c>
      <c r="M88" s="11">
        <v>0</v>
      </c>
      <c r="N88" s="11">
        <v>0</v>
      </c>
      <c r="O88" s="11">
        <v>0</v>
      </c>
      <c r="P88" s="11">
        <v>36</v>
      </c>
      <c r="Q88" s="11">
        <v>9</v>
      </c>
      <c r="R88" s="11">
        <v>0</v>
      </c>
      <c r="S88" s="11">
        <v>39</v>
      </c>
      <c r="T88" s="11">
        <v>1</v>
      </c>
      <c r="U88" s="11">
        <v>7</v>
      </c>
      <c r="V88" s="15">
        <v>1.2580645161290323</v>
      </c>
      <c r="W88" s="15" t="e">
        <v>#DIV/0!</v>
      </c>
      <c r="X88" s="15">
        <v>5.5714285714285712</v>
      </c>
      <c r="Y88" s="14">
        <v>-5.5714285714285712</v>
      </c>
      <c r="Z88" s="15" t="e">
        <v>#DIV/0!</v>
      </c>
    </row>
    <row r="89" spans="1:26" ht="15" customHeight="1" x14ac:dyDescent="0.25">
      <c r="A89" s="246"/>
      <c r="B89" s="246"/>
      <c r="C89" s="250"/>
      <c r="D89" s="10" t="s">
        <v>34</v>
      </c>
      <c r="E89" s="10">
        <v>31</v>
      </c>
      <c r="F89" s="10"/>
      <c r="G89" s="11">
        <v>5</v>
      </c>
      <c r="H89" s="11">
        <v>6</v>
      </c>
      <c r="I89" s="11">
        <v>93</v>
      </c>
      <c r="J89" s="11">
        <v>104</v>
      </c>
      <c r="K89" s="11">
        <v>2</v>
      </c>
      <c r="L89" s="11">
        <v>99</v>
      </c>
      <c r="M89" s="11">
        <v>0</v>
      </c>
      <c r="N89" s="11">
        <v>0</v>
      </c>
      <c r="O89" s="11">
        <v>0</v>
      </c>
      <c r="P89" s="11">
        <v>101</v>
      </c>
      <c r="Q89" s="11">
        <v>151</v>
      </c>
      <c r="R89" s="11">
        <v>0</v>
      </c>
      <c r="S89" s="11">
        <v>105</v>
      </c>
      <c r="T89" s="11">
        <v>3</v>
      </c>
      <c r="U89" s="11">
        <v>99</v>
      </c>
      <c r="V89" s="15">
        <v>3.3870967741935485</v>
      </c>
      <c r="W89" s="15" t="e">
        <v>#DIV/0!</v>
      </c>
      <c r="X89" s="15">
        <v>1.0606060606060606</v>
      </c>
      <c r="Y89" s="14">
        <v>-1.0606060606060606</v>
      </c>
      <c r="Z89" s="15" t="e">
        <v>#DIV/0!</v>
      </c>
    </row>
    <row r="90" spans="1:26" ht="15" customHeight="1" x14ac:dyDescent="0.25">
      <c r="A90" s="247"/>
      <c r="B90" s="247"/>
      <c r="C90" s="17" t="s">
        <v>73</v>
      </c>
      <c r="D90" s="17"/>
      <c r="E90" s="10">
        <v>31</v>
      </c>
      <c r="F90" s="17">
        <v>0</v>
      </c>
      <c r="G90" s="17">
        <v>5</v>
      </c>
      <c r="H90" s="17">
        <v>6</v>
      </c>
      <c r="I90" s="17">
        <v>131</v>
      </c>
      <c r="J90" s="17">
        <v>142</v>
      </c>
      <c r="K90" s="17">
        <v>31</v>
      </c>
      <c r="L90" s="17">
        <v>107</v>
      </c>
      <c r="M90" s="17">
        <v>0</v>
      </c>
      <c r="N90" s="17">
        <v>0</v>
      </c>
      <c r="O90" s="17">
        <v>0</v>
      </c>
      <c r="P90" s="17">
        <v>138</v>
      </c>
      <c r="Q90" s="17">
        <v>161</v>
      </c>
      <c r="R90" s="17">
        <v>0</v>
      </c>
      <c r="S90" s="17">
        <v>145</v>
      </c>
      <c r="T90" s="17">
        <v>4</v>
      </c>
      <c r="U90" s="17">
        <v>107</v>
      </c>
      <c r="V90" s="20">
        <v>4.67741935483871</v>
      </c>
      <c r="W90" s="20" t="e">
        <v>#DIV/0!</v>
      </c>
      <c r="X90" s="20">
        <v>1.3551401869158879</v>
      </c>
      <c r="Y90" s="20">
        <v>-1.3551401869158879</v>
      </c>
      <c r="Z90" s="20" t="e">
        <v>#DIV/0!</v>
      </c>
    </row>
    <row r="91" spans="1:26" ht="15.75" x14ac:dyDescent="0.25">
      <c r="A91" s="105" t="s">
        <v>74</v>
      </c>
      <c r="B91" s="105"/>
      <c r="C91" s="105"/>
      <c r="D91" s="105"/>
      <c r="E91" s="10">
        <v>31</v>
      </c>
      <c r="F91" s="29">
        <v>30</v>
      </c>
      <c r="G91" s="29">
        <v>23</v>
      </c>
      <c r="H91" s="29">
        <v>112</v>
      </c>
      <c r="I91" s="29">
        <v>148</v>
      </c>
      <c r="J91" s="28">
        <v>283</v>
      </c>
      <c r="K91" s="29">
        <v>81</v>
      </c>
      <c r="L91" s="29">
        <v>182</v>
      </c>
      <c r="M91" s="28">
        <v>5</v>
      </c>
      <c r="N91" s="29">
        <v>4</v>
      </c>
      <c r="O91" s="29">
        <v>1</v>
      </c>
      <c r="P91" s="28">
        <v>268</v>
      </c>
      <c r="Q91" s="29">
        <v>605</v>
      </c>
      <c r="R91" s="29">
        <v>1</v>
      </c>
      <c r="S91" s="29">
        <v>586</v>
      </c>
      <c r="T91" s="28">
        <v>15</v>
      </c>
      <c r="U91" s="28">
        <v>187</v>
      </c>
      <c r="V91" s="29">
        <v>18.903225806451612</v>
      </c>
      <c r="W91" s="30">
        <v>63.010752688172047</v>
      </c>
      <c r="X91" s="30">
        <v>3.1336898395721926</v>
      </c>
      <c r="Y91" s="30">
        <v>1.839572192513369</v>
      </c>
      <c r="Z91" s="30">
        <v>6.2333333333333334</v>
      </c>
    </row>
    <row r="92" spans="1:26" ht="15.75" x14ac:dyDescent="0.25">
      <c r="A92" s="31"/>
      <c r="D92" s="32"/>
      <c r="E92" s="10"/>
      <c r="G92">
        <v>47</v>
      </c>
    </row>
    <row r="93" spans="1:26" ht="15" customHeight="1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23</v>
      </c>
      <c r="X93" s="8" t="s">
        <v>24</v>
      </c>
      <c r="Y93" s="8" t="s">
        <v>25</v>
      </c>
      <c r="Z93" s="8" t="s">
        <v>26</v>
      </c>
    </row>
    <row r="94" spans="1:26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26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26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7" ht="15.75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31</v>
      </c>
      <c r="F97" s="10">
        <v>26</v>
      </c>
      <c r="G97" s="11">
        <v>12</v>
      </c>
      <c r="H97" s="11">
        <v>21</v>
      </c>
      <c r="I97" s="11">
        <v>67</v>
      </c>
      <c r="J97" s="11">
        <v>100</v>
      </c>
      <c r="K97" s="11">
        <v>80</v>
      </c>
      <c r="L97" s="11">
        <v>1</v>
      </c>
      <c r="M97" s="11">
        <v>13</v>
      </c>
      <c r="N97" s="11">
        <v>3</v>
      </c>
      <c r="O97" s="11">
        <v>10</v>
      </c>
      <c r="P97" s="11">
        <v>94</v>
      </c>
      <c r="Q97" s="11">
        <v>107</v>
      </c>
      <c r="R97" s="11">
        <v>0</v>
      </c>
      <c r="S97" s="11">
        <v>260</v>
      </c>
      <c r="T97" s="11">
        <v>6</v>
      </c>
      <c r="U97" s="11">
        <v>14</v>
      </c>
      <c r="V97" s="15">
        <v>8.387096774193548</v>
      </c>
      <c r="W97" s="15">
        <v>32.258064516129032</v>
      </c>
      <c r="X97" s="15">
        <v>18.571428571428573</v>
      </c>
      <c r="Y97" s="14">
        <v>39</v>
      </c>
      <c r="Z97" s="15">
        <v>0.53846153846153844</v>
      </c>
    </row>
    <row r="98" spans="1:27" ht="15.75" x14ac:dyDescent="0.25">
      <c r="A98" s="247"/>
      <c r="B98" s="260"/>
      <c r="C98" s="17" t="s">
        <v>76</v>
      </c>
      <c r="D98" s="17" t="s">
        <v>48</v>
      </c>
      <c r="E98" s="10">
        <v>31</v>
      </c>
      <c r="F98" s="17">
        <v>26</v>
      </c>
      <c r="G98" s="17">
        <v>12</v>
      </c>
      <c r="H98" s="17">
        <v>21</v>
      </c>
      <c r="I98" s="17">
        <v>67</v>
      </c>
      <c r="J98" s="17">
        <v>100</v>
      </c>
      <c r="K98" s="17">
        <v>80</v>
      </c>
      <c r="L98" s="17">
        <v>1</v>
      </c>
      <c r="M98" s="17">
        <v>13</v>
      </c>
      <c r="N98" s="17">
        <v>3</v>
      </c>
      <c r="O98" s="17">
        <v>10</v>
      </c>
      <c r="P98" s="17">
        <v>94</v>
      </c>
      <c r="Q98" s="17">
        <v>107</v>
      </c>
      <c r="R98" s="17">
        <v>0</v>
      </c>
      <c r="S98" s="17">
        <v>260</v>
      </c>
      <c r="T98" s="17">
        <v>6</v>
      </c>
      <c r="U98" s="17">
        <v>14</v>
      </c>
      <c r="V98" s="20">
        <v>8.387096774193548</v>
      </c>
      <c r="W98" s="20">
        <v>32.258064516129032</v>
      </c>
      <c r="X98" s="20">
        <v>18.571428571428573</v>
      </c>
      <c r="Y98" s="20">
        <v>39</v>
      </c>
      <c r="Z98" s="20">
        <v>0.53846153846153844</v>
      </c>
      <c r="AA98">
        <v>10</v>
      </c>
    </row>
    <row r="99" spans="1:27" ht="15.75" x14ac:dyDescent="0.25">
      <c r="A99" s="245">
        <v>2</v>
      </c>
      <c r="B99" s="260"/>
      <c r="C99" s="10" t="s">
        <v>77</v>
      </c>
      <c r="D99" s="10" t="s">
        <v>48</v>
      </c>
      <c r="E99" s="10">
        <v>31</v>
      </c>
      <c r="F99" s="10"/>
      <c r="G99" s="11">
        <v>5</v>
      </c>
      <c r="H99" s="11">
        <v>61</v>
      </c>
      <c r="I99" s="11">
        <v>6</v>
      </c>
      <c r="J99" s="11">
        <v>72</v>
      </c>
      <c r="K99" s="11">
        <v>62</v>
      </c>
      <c r="L99" s="11">
        <v>0</v>
      </c>
      <c r="M99" s="11">
        <v>8</v>
      </c>
      <c r="N99" s="11">
        <v>7</v>
      </c>
      <c r="O99" s="11">
        <v>1</v>
      </c>
      <c r="P99" s="11">
        <v>70</v>
      </c>
      <c r="Q99" s="11">
        <v>10</v>
      </c>
      <c r="R99" s="11">
        <v>2</v>
      </c>
      <c r="S99" s="11">
        <v>93</v>
      </c>
      <c r="T99" s="11">
        <v>2</v>
      </c>
      <c r="U99" s="11">
        <v>8</v>
      </c>
      <c r="V99" s="15">
        <v>3</v>
      </c>
      <c r="W99" s="15" t="e">
        <v>#DIV/0!</v>
      </c>
      <c r="X99" s="15">
        <v>11.625</v>
      </c>
      <c r="Y99" s="14">
        <v>-11.625</v>
      </c>
      <c r="Z99" s="15" t="e">
        <v>#DIV/0!</v>
      </c>
    </row>
    <row r="100" spans="1:27" ht="15.75" x14ac:dyDescent="0.25">
      <c r="A100" s="247"/>
      <c r="B100" s="260"/>
      <c r="C100" s="17" t="s">
        <v>77</v>
      </c>
      <c r="D100" s="17" t="s">
        <v>48</v>
      </c>
      <c r="E100" s="10">
        <v>31</v>
      </c>
      <c r="F100" s="17">
        <v>0</v>
      </c>
      <c r="G100" s="17">
        <v>5</v>
      </c>
      <c r="H100" s="17">
        <v>61</v>
      </c>
      <c r="I100" s="17">
        <v>6</v>
      </c>
      <c r="J100" s="17">
        <v>72</v>
      </c>
      <c r="K100" s="17">
        <v>62</v>
      </c>
      <c r="L100" s="17">
        <v>0</v>
      </c>
      <c r="M100" s="17">
        <v>8</v>
      </c>
      <c r="N100" s="17">
        <v>7</v>
      </c>
      <c r="O100" s="17">
        <v>1</v>
      </c>
      <c r="P100" s="17">
        <v>70</v>
      </c>
      <c r="Q100" s="17">
        <v>10</v>
      </c>
      <c r="R100" s="17">
        <v>2</v>
      </c>
      <c r="S100" s="17">
        <v>93</v>
      </c>
      <c r="T100" s="17">
        <v>2</v>
      </c>
      <c r="U100" s="17">
        <v>8</v>
      </c>
      <c r="V100" s="20">
        <v>3</v>
      </c>
      <c r="W100" s="20" t="e">
        <v>#DIV/0!</v>
      </c>
      <c r="X100" s="20">
        <v>11.625</v>
      </c>
      <c r="Y100" s="20">
        <v>-11.625</v>
      </c>
      <c r="Z100" s="20" t="e">
        <v>#DIV/0!</v>
      </c>
    </row>
    <row r="101" spans="1:27" ht="15.75" x14ac:dyDescent="0.25">
      <c r="A101" s="245">
        <v>3</v>
      </c>
      <c r="B101" s="260"/>
      <c r="C101" s="10" t="s">
        <v>78</v>
      </c>
      <c r="D101" s="10" t="s">
        <v>48</v>
      </c>
      <c r="E101" s="10">
        <v>31</v>
      </c>
      <c r="F101" s="10">
        <v>3</v>
      </c>
      <c r="G101" s="43">
        <v>3</v>
      </c>
      <c r="H101" s="43">
        <v>11</v>
      </c>
      <c r="I101" s="43">
        <v>7</v>
      </c>
      <c r="J101" s="11">
        <v>21</v>
      </c>
      <c r="K101" s="43">
        <v>16</v>
      </c>
      <c r="L101" s="43">
        <v>0</v>
      </c>
      <c r="M101" s="11">
        <v>2</v>
      </c>
      <c r="N101" s="43">
        <v>0</v>
      </c>
      <c r="O101" s="43">
        <v>2</v>
      </c>
      <c r="P101" s="11">
        <v>18</v>
      </c>
      <c r="Q101" s="43">
        <v>11</v>
      </c>
      <c r="R101" s="43">
        <v>0</v>
      </c>
      <c r="S101" s="43">
        <v>67</v>
      </c>
      <c r="T101" s="11">
        <v>3</v>
      </c>
      <c r="U101" s="11">
        <v>2</v>
      </c>
      <c r="V101" s="15">
        <v>2.161290322580645</v>
      </c>
      <c r="W101" s="15">
        <v>72.043010752688161</v>
      </c>
      <c r="X101" s="15">
        <v>33.5</v>
      </c>
      <c r="Y101" s="14">
        <v>13.000000000000002</v>
      </c>
      <c r="Z101" s="15">
        <v>0.66666666666666663</v>
      </c>
    </row>
    <row r="102" spans="1:27" ht="15.75" x14ac:dyDescent="0.25">
      <c r="A102" s="247"/>
      <c r="B102" s="260"/>
      <c r="C102" s="17" t="s">
        <v>78</v>
      </c>
      <c r="D102" s="17" t="s">
        <v>48</v>
      </c>
      <c r="E102" s="10">
        <v>31</v>
      </c>
      <c r="F102" s="17">
        <v>3</v>
      </c>
      <c r="G102" s="17">
        <v>3</v>
      </c>
      <c r="H102" s="17">
        <v>11</v>
      </c>
      <c r="I102" s="17">
        <v>7</v>
      </c>
      <c r="J102" s="17">
        <v>21</v>
      </c>
      <c r="K102" s="17">
        <v>16</v>
      </c>
      <c r="L102" s="17">
        <v>0</v>
      </c>
      <c r="M102" s="17">
        <v>2</v>
      </c>
      <c r="N102" s="17">
        <v>0</v>
      </c>
      <c r="O102" s="17">
        <v>2</v>
      </c>
      <c r="P102" s="17">
        <v>18</v>
      </c>
      <c r="Q102" s="17">
        <v>11</v>
      </c>
      <c r="R102" s="17">
        <v>0</v>
      </c>
      <c r="S102" s="17">
        <v>67</v>
      </c>
      <c r="T102" s="17">
        <v>3</v>
      </c>
      <c r="U102" s="17">
        <v>2</v>
      </c>
      <c r="V102" s="20">
        <v>2.161290322580645</v>
      </c>
      <c r="W102" s="20">
        <v>72.043010752688161</v>
      </c>
      <c r="X102" s="20">
        <v>33.5</v>
      </c>
      <c r="Y102" s="20">
        <v>13.000000000000002</v>
      </c>
      <c r="Z102" s="20">
        <v>0.66666666666666663</v>
      </c>
    </row>
    <row r="103" spans="1:27" ht="15.75" x14ac:dyDescent="0.25">
      <c r="A103" s="245">
        <v>4</v>
      </c>
      <c r="B103" s="260"/>
      <c r="C103" s="11" t="s">
        <v>79</v>
      </c>
      <c r="D103" s="11" t="s">
        <v>48</v>
      </c>
      <c r="E103" s="10">
        <v>31</v>
      </c>
      <c r="F103" s="11">
        <v>5</v>
      </c>
      <c r="G103" s="11">
        <v>4</v>
      </c>
      <c r="H103" s="11">
        <v>7</v>
      </c>
      <c r="I103" s="11">
        <v>16</v>
      </c>
      <c r="J103" s="11">
        <v>27</v>
      </c>
      <c r="K103" s="11">
        <v>18</v>
      </c>
      <c r="L103" s="11">
        <v>1</v>
      </c>
      <c r="M103" s="11">
        <v>4</v>
      </c>
      <c r="N103" s="11">
        <v>3</v>
      </c>
      <c r="O103" s="11">
        <v>1</v>
      </c>
      <c r="P103" s="11">
        <v>23</v>
      </c>
      <c r="Q103" s="11">
        <v>17</v>
      </c>
      <c r="R103" s="11">
        <v>0</v>
      </c>
      <c r="S103" s="11">
        <v>110</v>
      </c>
      <c r="T103" s="11">
        <v>4</v>
      </c>
      <c r="U103" s="11">
        <v>5</v>
      </c>
      <c r="V103" s="15">
        <v>3.5483870967741935</v>
      </c>
      <c r="W103" s="15">
        <v>70.967741935483872</v>
      </c>
      <c r="X103" s="15">
        <v>22</v>
      </c>
      <c r="Y103" s="14">
        <v>9</v>
      </c>
      <c r="Z103" s="15">
        <v>1</v>
      </c>
    </row>
    <row r="104" spans="1:27" ht="15.75" x14ac:dyDescent="0.25">
      <c r="A104" s="247"/>
      <c r="B104" s="260"/>
      <c r="C104" s="17" t="s">
        <v>79</v>
      </c>
      <c r="D104" s="17" t="s">
        <v>48</v>
      </c>
      <c r="E104" s="10">
        <v>31</v>
      </c>
      <c r="F104" s="17">
        <v>5</v>
      </c>
      <c r="G104" s="17">
        <v>4</v>
      </c>
      <c r="H104" s="17">
        <v>7</v>
      </c>
      <c r="I104" s="17">
        <v>16</v>
      </c>
      <c r="J104" s="17">
        <v>27</v>
      </c>
      <c r="K104" s="17">
        <v>18</v>
      </c>
      <c r="L104" s="17">
        <v>1</v>
      </c>
      <c r="M104" s="17">
        <v>4</v>
      </c>
      <c r="N104" s="17">
        <v>3</v>
      </c>
      <c r="O104" s="17">
        <v>1</v>
      </c>
      <c r="P104" s="17">
        <v>23</v>
      </c>
      <c r="Q104" s="17">
        <v>17</v>
      </c>
      <c r="R104" s="17">
        <v>0</v>
      </c>
      <c r="S104" s="17">
        <v>110</v>
      </c>
      <c r="T104" s="17">
        <v>4</v>
      </c>
      <c r="U104" s="17">
        <v>5</v>
      </c>
      <c r="V104" s="20">
        <v>3.5483870967741935</v>
      </c>
      <c r="W104" s="20">
        <v>70.967741935483872</v>
      </c>
      <c r="X104" s="20">
        <v>22</v>
      </c>
      <c r="Y104" s="20">
        <v>9</v>
      </c>
      <c r="Z104" s="20">
        <v>1</v>
      </c>
    </row>
    <row r="105" spans="1:27" ht="15.75" x14ac:dyDescent="0.25">
      <c r="A105" s="245">
        <v>5</v>
      </c>
      <c r="B105" s="260"/>
      <c r="C105" s="11" t="s">
        <v>80</v>
      </c>
      <c r="D105" s="11" t="s">
        <v>48</v>
      </c>
      <c r="E105" s="10">
        <v>31</v>
      </c>
      <c r="F105" s="11"/>
      <c r="G105" s="11">
        <v>2</v>
      </c>
      <c r="H105" s="11">
        <v>19</v>
      </c>
      <c r="I105" s="11">
        <v>11</v>
      </c>
      <c r="J105" s="11">
        <v>32</v>
      </c>
      <c r="K105" s="11">
        <v>21</v>
      </c>
      <c r="L105" s="11">
        <v>0</v>
      </c>
      <c r="M105" s="11">
        <v>9</v>
      </c>
      <c r="N105" s="11">
        <v>7</v>
      </c>
      <c r="O105" s="11">
        <v>2</v>
      </c>
      <c r="P105" s="11">
        <v>30</v>
      </c>
      <c r="Q105" s="11">
        <v>21</v>
      </c>
      <c r="R105" s="11">
        <v>2</v>
      </c>
      <c r="S105" s="11">
        <v>95</v>
      </c>
      <c r="T105" s="11">
        <v>2</v>
      </c>
      <c r="U105" s="11">
        <v>9</v>
      </c>
      <c r="V105" s="15">
        <v>3.064516129032258</v>
      </c>
      <c r="W105" s="15" t="e">
        <v>#DIV/0!</v>
      </c>
      <c r="X105" s="15">
        <v>10.555555555555555</v>
      </c>
      <c r="Y105" s="14">
        <v>-10.555555555555555</v>
      </c>
      <c r="Z105" s="15" t="e">
        <v>#DIV/0!</v>
      </c>
    </row>
    <row r="106" spans="1:27" ht="15.75" x14ac:dyDescent="0.25">
      <c r="A106" s="247"/>
      <c r="B106" s="260"/>
      <c r="C106" s="17" t="s">
        <v>80</v>
      </c>
      <c r="D106" s="17" t="s">
        <v>48</v>
      </c>
      <c r="E106" s="10">
        <v>31</v>
      </c>
      <c r="F106" s="17">
        <v>0</v>
      </c>
      <c r="G106" s="17">
        <v>2</v>
      </c>
      <c r="H106" s="17">
        <v>19</v>
      </c>
      <c r="I106" s="17">
        <v>11</v>
      </c>
      <c r="J106" s="17">
        <v>32</v>
      </c>
      <c r="K106" s="17">
        <v>21</v>
      </c>
      <c r="L106" s="17">
        <v>0</v>
      </c>
      <c r="M106" s="17">
        <v>9</v>
      </c>
      <c r="N106" s="17">
        <v>7</v>
      </c>
      <c r="O106" s="17">
        <v>2</v>
      </c>
      <c r="P106" s="17">
        <v>30</v>
      </c>
      <c r="Q106" s="17">
        <v>21</v>
      </c>
      <c r="R106" s="17">
        <v>2</v>
      </c>
      <c r="S106" s="17">
        <v>95</v>
      </c>
      <c r="T106" s="17">
        <v>2</v>
      </c>
      <c r="U106" s="17">
        <v>9</v>
      </c>
      <c r="V106" s="20">
        <v>3.064516129032258</v>
      </c>
      <c r="W106" s="20" t="e">
        <v>#DIV/0!</v>
      </c>
      <c r="X106" s="20">
        <v>10.555555555555555</v>
      </c>
      <c r="Y106" s="20">
        <v>-10.555555555555555</v>
      </c>
      <c r="Z106" s="20" t="e">
        <v>#DIV/0!</v>
      </c>
    </row>
    <row r="107" spans="1:27" ht="15.75" x14ac:dyDescent="0.25">
      <c r="A107" s="245">
        <v>6</v>
      </c>
      <c r="B107" s="260"/>
      <c r="C107" s="11" t="s">
        <v>70</v>
      </c>
      <c r="D107" s="11" t="s">
        <v>48</v>
      </c>
      <c r="E107" s="10">
        <v>31</v>
      </c>
      <c r="F107" s="11"/>
      <c r="G107" s="11">
        <v>2</v>
      </c>
      <c r="H107" s="11">
        <v>10</v>
      </c>
      <c r="I107" s="11">
        <v>4</v>
      </c>
      <c r="J107" s="11">
        <v>16</v>
      </c>
      <c r="K107" s="11">
        <v>5</v>
      </c>
      <c r="L107" s="11">
        <v>0</v>
      </c>
      <c r="M107" s="11">
        <v>9</v>
      </c>
      <c r="N107" s="11">
        <v>7</v>
      </c>
      <c r="O107" s="11">
        <v>2</v>
      </c>
      <c r="P107" s="11">
        <v>14</v>
      </c>
      <c r="Q107" s="11">
        <v>22</v>
      </c>
      <c r="R107" s="11">
        <v>4</v>
      </c>
      <c r="S107" s="11">
        <v>45</v>
      </c>
      <c r="T107" s="11">
        <v>2</v>
      </c>
      <c r="U107" s="11">
        <v>9</v>
      </c>
      <c r="V107" s="44">
        <v>1.4516129032258065</v>
      </c>
      <c r="W107" s="44" t="e">
        <v>#DIV/0!</v>
      </c>
      <c r="X107" s="44">
        <v>5</v>
      </c>
      <c r="Y107" s="45">
        <v>-5</v>
      </c>
      <c r="Z107" s="44" t="e">
        <v>#DIV/0!</v>
      </c>
    </row>
    <row r="108" spans="1:27" ht="15.75" x14ac:dyDescent="0.25">
      <c r="A108" s="247"/>
      <c r="B108" s="260"/>
      <c r="C108" s="17" t="s">
        <v>70</v>
      </c>
      <c r="D108" s="17"/>
      <c r="E108" s="10">
        <v>31</v>
      </c>
      <c r="F108" s="17">
        <v>0</v>
      </c>
      <c r="G108" s="17">
        <v>2</v>
      </c>
      <c r="H108" s="17">
        <v>10</v>
      </c>
      <c r="I108" s="17">
        <v>4</v>
      </c>
      <c r="J108" s="17">
        <v>16</v>
      </c>
      <c r="K108" s="17">
        <v>5</v>
      </c>
      <c r="L108" s="17">
        <v>0</v>
      </c>
      <c r="M108" s="17">
        <v>9</v>
      </c>
      <c r="N108" s="17">
        <v>7</v>
      </c>
      <c r="O108" s="17">
        <v>2</v>
      </c>
      <c r="P108" s="17">
        <v>14</v>
      </c>
      <c r="Q108" s="17">
        <v>22</v>
      </c>
      <c r="R108" s="17">
        <v>4</v>
      </c>
      <c r="S108" s="17">
        <v>45</v>
      </c>
      <c r="T108" s="17">
        <v>2</v>
      </c>
      <c r="U108" s="17">
        <v>9</v>
      </c>
      <c r="V108" s="46">
        <v>1.4516129032258065</v>
      </c>
      <c r="W108" s="46" t="e">
        <v>#DIV/0!</v>
      </c>
      <c r="X108" s="46">
        <v>5</v>
      </c>
      <c r="Y108" s="46">
        <v>-5</v>
      </c>
      <c r="Z108" s="46" t="e">
        <v>#DIV/0!</v>
      </c>
    </row>
    <row r="109" spans="1:27" ht="15.75" x14ac:dyDescent="0.25">
      <c r="A109" s="245">
        <v>7</v>
      </c>
      <c r="B109" s="260"/>
      <c r="C109" s="11" t="s">
        <v>81</v>
      </c>
      <c r="D109" s="11" t="s">
        <v>48</v>
      </c>
      <c r="E109" s="10">
        <v>31</v>
      </c>
      <c r="F109" s="11"/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 t="e">
        <v>#DIV/0!</v>
      </c>
      <c r="X109" s="15" t="e">
        <v>#DIV/0!</v>
      </c>
      <c r="Y109" s="14" t="e">
        <v>#DIV/0!</v>
      </c>
      <c r="Z109" s="15" t="e">
        <v>#DIV/0!</v>
      </c>
    </row>
    <row r="110" spans="1:27" ht="15.75" x14ac:dyDescent="0.25">
      <c r="A110" s="247"/>
      <c r="B110" s="260"/>
      <c r="C110" s="17" t="s">
        <v>81</v>
      </c>
      <c r="D110" s="17" t="s">
        <v>48</v>
      </c>
      <c r="E110" s="10">
        <v>31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 t="e">
        <v>#DIV/0!</v>
      </c>
      <c r="X110" s="20" t="e">
        <v>#DIV/0!</v>
      </c>
      <c r="Y110" s="20" t="e">
        <v>#DIV/0!</v>
      </c>
      <c r="Z110" s="20" t="e">
        <v>#DIV/0!</v>
      </c>
    </row>
    <row r="111" spans="1:27" ht="15.75" x14ac:dyDescent="0.25">
      <c r="A111" s="245">
        <v>8</v>
      </c>
      <c r="B111" s="260"/>
      <c r="C111" s="11" t="s">
        <v>82</v>
      </c>
      <c r="D111" s="11" t="s">
        <v>38</v>
      </c>
      <c r="E111" s="10">
        <v>31</v>
      </c>
      <c r="F111" s="11"/>
      <c r="G111" s="11">
        <v>5</v>
      </c>
      <c r="H111" s="11">
        <v>211</v>
      </c>
      <c r="I111" s="11">
        <v>1</v>
      </c>
      <c r="J111" s="11">
        <v>217</v>
      </c>
      <c r="K111" s="11">
        <v>209</v>
      </c>
      <c r="L111" s="11">
        <v>0</v>
      </c>
      <c r="M111" s="11">
        <v>4</v>
      </c>
      <c r="N111" s="11">
        <v>4</v>
      </c>
      <c r="O111" s="11">
        <v>0</v>
      </c>
      <c r="P111" s="11">
        <v>213</v>
      </c>
      <c r="Q111" s="11">
        <v>4</v>
      </c>
      <c r="R111" s="11">
        <v>4</v>
      </c>
      <c r="S111" s="11">
        <v>78</v>
      </c>
      <c r="T111" s="11">
        <v>4</v>
      </c>
      <c r="U111" s="11">
        <v>4</v>
      </c>
      <c r="V111" s="15">
        <v>2.5161290322580645</v>
      </c>
      <c r="W111" s="15" t="e">
        <v>#DIV/0!</v>
      </c>
      <c r="X111" s="15">
        <v>19.5</v>
      </c>
      <c r="Y111" s="14">
        <v>-19.5</v>
      </c>
      <c r="Z111" s="15" t="e">
        <v>#DIV/0!</v>
      </c>
    </row>
    <row r="112" spans="1:27" ht="15.75" x14ac:dyDescent="0.25">
      <c r="A112" s="247"/>
      <c r="B112" s="260"/>
      <c r="C112" s="17" t="s">
        <v>82</v>
      </c>
      <c r="D112" s="17" t="s">
        <v>38</v>
      </c>
      <c r="E112" s="10">
        <v>31</v>
      </c>
      <c r="F112" s="17">
        <v>0</v>
      </c>
      <c r="G112" s="17">
        <v>5</v>
      </c>
      <c r="H112" s="17">
        <v>211</v>
      </c>
      <c r="I112" s="17">
        <v>1</v>
      </c>
      <c r="J112" s="17">
        <v>217</v>
      </c>
      <c r="K112" s="17">
        <v>209</v>
      </c>
      <c r="L112" s="17">
        <v>0</v>
      </c>
      <c r="M112" s="17">
        <v>4</v>
      </c>
      <c r="N112" s="17">
        <v>4</v>
      </c>
      <c r="O112" s="17">
        <v>0</v>
      </c>
      <c r="P112" s="17">
        <v>213</v>
      </c>
      <c r="Q112" s="17">
        <v>4</v>
      </c>
      <c r="R112" s="17">
        <v>4</v>
      </c>
      <c r="S112" s="17">
        <v>78</v>
      </c>
      <c r="T112" s="17">
        <v>4</v>
      </c>
      <c r="U112" s="17">
        <v>4</v>
      </c>
      <c r="V112" s="20">
        <v>2.5161290322580645</v>
      </c>
      <c r="W112" s="20" t="e">
        <v>#DIV/0!</v>
      </c>
      <c r="X112" s="20">
        <v>19.5</v>
      </c>
      <c r="Y112" s="20">
        <v>-19.5</v>
      </c>
      <c r="Z112" s="20" t="e">
        <v>#DIV/0!</v>
      </c>
    </row>
    <row r="113" spans="1:26" ht="15.75" customHeight="1" x14ac:dyDescent="0.25">
      <c r="A113" s="245">
        <v>9</v>
      </c>
      <c r="B113" s="260"/>
      <c r="C113" s="11" t="s">
        <v>64</v>
      </c>
      <c r="D113" s="11" t="s">
        <v>83</v>
      </c>
      <c r="E113" s="10">
        <v>31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26" ht="15.75" customHeight="1" x14ac:dyDescent="0.25">
      <c r="A114" s="247"/>
      <c r="B114" s="260"/>
      <c r="C114" s="17" t="s">
        <v>64</v>
      </c>
      <c r="D114" s="17" t="s">
        <v>83</v>
      </c>
      <c r="E114" s="10">
        <v>31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26" ht="15.75" customHeight="1" x14ac:dyDescent="0.25">
      <c r="A115" s="245">
        <v>10</v>
      </c>
      <c r="B115" s="260"/>
      <c r="C115" s="10" t="s">
        <v>73</v>
      </c>
      <c r="D115" s="10" t="s">
        <v>83</v>
      </c>
      <c r="E115" s="10">
        <v>31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26" ht="15.75" customHeight="1" x14ac:dyDescent="0.25">
      <c r="A116" s="247"/>
      <c r="B116" s="261"/>
      <c r="C116" s="17" t="s">
        <v>73</v>
      </c>
      <c r="D116" s="17" t="s">
        <v>83</v>
      </c>
      <c r="E116" s="10">
        <v>31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x14ac:dyDescent="0.25">
      <c r="A117" s="232" t="s">
        <v>84</v>
      </c>
      <c r="B117" s="233"/>
      <c r="C117" s="233"/>
      <c r="D117" s="234"/>
      <c r="E117" s="10">
        <v>31</v>
      </c>
      <c r="F117" s="29">
        <v>34</v>
      </c>
      <c r="G117" s="29">
        <v>33</v>
      </c>
      <c r="H117" s="29">
        <v>340</v>
      </c>
      <c r="I117" s="29">
        <v>112</v>
      </c>
      <c r="J117" s="28">
        <v>485</v>
      </c>
      <c r="K117" s="29">
        <v>411</v>
      </c>
      <c r="L117" s="29">
        <v>2</v>
      </c>
      <c r="M117" s="28">
        <v>49</v>
      </c>
      <c r="N117" s="29">
        <v>31</v>
      </c>
      <c r="O117" s="29">
        <v>18</v>
      </c>
      <c r="P117" s="28">
        <v>462</v>
      </c>
      <c r="Q117" s="29">
        <v>192</v>
      </c>
      <c r="R117" s="29">
        <v>12</v>
      </c>
      <c r="S117" s="29">
        <v>748</v>
      </c>
      <c r="T117" s="28">
        <v>23</v>
      </c>
      <c r="U117" s="28">
        <v>51</v>
      </c>
      <c r="V117" s="47">
        <v>24.129032258064516</v>
      </c>
      <c r="W117" s="30">
        <v>70.967741935483872</v>
      </c>
      <c r="X117" s="30">
        <v>14.666666666666666</v>
      </c>
      <c r="Y117" s="30">
        <v>6</v>
      </c>
      <c r="Z117" s="30">
        <v>1.5</v>
      </c>
    </row>
    <row r="118" spans="1:26" ht="15.75" x14ac:dyDescent="0.25">
      <c r="A118" s="235" t="s">
        <v>85</v>
      </c>
      <c r="B118" s="236"/>
      <c r="C118" s="236"/>
      <c r="D118" s="237"/>
      <c r="E118" s="10">
        <v>31</v>
      </c>
      <c r="F118" s="49">
        <v>390</v>
      </c>
      <c r="G118" s="49">
        <v>288</v>
      </c>
      <c r="H118" s="49">
        <v>2439</v>
      </c>
      <c r="I118" s="49">
        <v>849</v>
      </c>
      <c r="J118" s="48">
        <v>3576</v>
      </c>
      <c r="K118" s="49">
        <v>859</v>
      </c>
      <c r="L118" s="49">
        <v>2163</v>
      </c>
      <c r="M118" s="48">
        <v>260</v>
      </c>
      <c r="N118" s="49">
        <v>146</v>
      </c>
      <c r="O118" s="49">
        <v>114</v>
      </c>
      <c r="P118" s="48">
        <v>3282</v>
      </c>
      <c r="Q118" s="49">
        <v>8272</v>
      </c>
      <c r="R118" s="49">
        <v>47</v>
      </c>
      <c r="S118" s="49">
        <v>8960</v>
      </c>
      <c r="T118" s="49">
        <v>294</v>
      </c>
      <c r="U118" s="48">
        <v>2423</v>
      </c>
      <c r="V118" s="50">
        <v>289.03225806451616</v>
      </c>
      <c r="W118" s="51">
        <v>74.110835401157999</v>
      </c>
      <c r="X118" s="51">
        <v>3.6978951712752788</v>
      </c>
      <c r="Y118" s="51">
        <v>1.2917870408584395</v>
      </c>
      <c r="Z118" s="51">
        <v>6.212820512820513</v>
      </c>
    </row>
    <row r="119" spans="1:26" x14ac:dyDescent="0.25">
      <c r="H119">
        <f>21+61+19</f>
        <v>101</v>
      </c>
      <c r="I119">
        <f>67+6+11</f>
        <v>84</v>
      </c>
      <c r="K119">
        <f>80+62+21</f>
        <v>163</v>
      </c>
      <c r="N119">
        <f>+N98+N100+N106</f>
        <v>17</v>
      </c>
      <c r="O119">
        <f>+O98+O100+O106</f>
        <v>13</v>
      </c>
      <c r="S119">
        <f>260+93+95</f>
        <v>448</v>
      </c>
    </row>
  </sheetData>
  <sheetProtection algorithmName="SHA-512" hashValue="31VhJCGRh0HR4A45rk6DvPAOVc+xR1QlvCvKHEIWpJzxqNXKrN467TC+5r6LPwE9/UhQDPzVrKb1bbp/6fmJ+A==" saltValue="DkXS/TXSKKWMuZBt9UDDbg==" spinCount="100000" sheet="1" objects="1" scenarios="1"/>
  <mergeCells count="150">
    <mergeCell ref="A111:A112"/>
    <mergeCell ref="A113:A114"/>
    <mergeCell ref="A115:A116"/>
    <mergeCell ref="A117:D117"/>
    <mergeCell ref="A118:D118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7:A108"/>
    <mergeCell ref="A109:A110"/>
    <mergeCell ref="S93:S95"/>
    <mergeCell ref="T93:T95"/>
    <mergeCell ref="U93:U96"/>
    <mergeCell ref="V94:V95"/>
    <mergeCell ref="W94:W95"/>
    <mergeCell ref="X94:X95"/>
    <mergeCell ref="M93:M95"/>
    <mergeCell ref="N93:N95"/>
    <mergeCell ref="O93:O95"/>
    <mergeCell ref="P93:P95"/>
    <mergeCell ref="Q93:Q95"/>
    <mergeCell ref="R93:R95"/>
    <mergeCell ref="G93:G95"/>
    <mergeCell ref="H93:H95"/>
    <mergeCell ref="I93:I95"/>
    <mergeCell ref="J93:J95"/>
    <mergeCell ref="K93:K95"/>
    <mergeCell ref="L93:L95"/>
    <mergeCell ref="A93:A96"/>
    <mergeCell ref="B93:B96"/>
    <mergeCell ref="C93:C96"/>
    <mergeCell ref="D93:D96"/>
    <mergeCell ref="E93:E96"/>
    <mergeCell ref="F93:F96"/>
    <mergeCell ref="Y81:Y82"/>
    <mergeCell ref="Z81:Z82"/>
    <mergeCell ref="A84:A85"/>
    <mergeCell ref="B84:B90"/>
    <mergeCell ref="A87:A90"/>
    <mergeCell ref="C87:C89"/>
    <mergeCell ref="S80:S82"/>
    <mergeCell ref="T80:T82"/>
    <mergeCell ref="U80:U83"/>
    <mergeCell ref="V81:V82"/>
    <mergeCell ref="W81:W82"/>
    <mergeCell ref="X81:X82"/>
    <mergeCell ref="M80:M82"/>
    <mergeCell ref="N80:N82"/>
    <mergeCell ref="O80:O82"/>
    <mergeCell ref="P80:P82"/>
    <mergeCell ref="Q80:Q82"/>
    <mergeCell ref="R80:R82"/>
    <mergeCell ref="G80:G82"/>
    <mergeCell ref="H80:H82"/>
    <mergeCell ref="I80:I82"/>
    <mergeCell ref="J80:J82"/>
    <mergeCell ref="K80:K82"/>
    <mergeCell ref="L80:L82"/>
    <mergeCell ref="A80:A83"/>
    <mergeCell ref="B80:B83"/>
    <mergeCell ref="C80:C83"/>
    <mergeCell ref="D80:D83"/>
    <mergeCell ref="E80:E83"/>
    <mergeCell ref="F80:F83"/>
    <mergeCell ref="W69:W70"/>
    <mergeCell ref="X69:X70"/>
    <mergeCell ref="Y69:Y70"/>
    <mergeCell ref="Z69:Z70"/>
    <mergeCell ref="A72:A73"/>
    <mergeCell ref="B72:B77"/>
    <mergeCell ref="A74:A75"/>
    <mergeCell ref="A76:A77"/>
    <mergeCell ref="Q68:Q70"/>
    <mergeCell ref="R68:R70"/>
    <mergeCell ref="S68:S70"/>
    <mergeCell ref="T68:T70"/>
    <mergeCell ref="U68:U71"/>
    <mergeCell ref="V69:V70"/>
    <mergeCell ref="K68:K70"/>
    <mergeCell ref="L68:L70"/>
    <mergeCell ref="M68:M70"/>
    <mergeCell ref="N68:N70"/>
    <mergeCell ref="O68:O70"/>
    <mergeCell ref="P68:P70"/>
    <mergeCell ref="E68:E71"/>
    <mergeCell ref="F68:F71"/>
    <mergeCell ref="G68:G70"/>
    <mergeCell ref="H68:H70"/>
    <mergeCell ref="I68:I70"/>
    <mergeCell ref="J68:J70"/>
    <mergeCell ref="A56:A57"/>
    <mergeCell ref="C58:C61"/>
    <mergeCell ref="A59:A62"/>
    <mergeCell ref="A63:A64"/>
    <mergeCell ref="A65:D65"/>
    <mergeCell ref="A68:A71"/>
    <mergeCell ref="B68:B71"/>
    <mergeCell ref="C68:C71"/>
    <mergeCell ref="D68:D71"/>
    <mergeCell ref="A38:A42"/>
    <mergeCell ref="C38:C41"/>
    <mergeCell ref="A44:A46"/>
    <mergeCell ref="A47:A51"/>
    <mergeCell ref="C47:C50"/>
    <mergeCell ref="A53:A54"/>
    <mergeCell ref="C19:C20"/>
    <mergeCell ref="A22:A23"/>
    <mergeCell ref="A25:A26"/>
    <mergeCell ref="A27:A28"/>
    <mergeCell ref="A30:A32"/>
    <mergeCell ref="A34:A37"/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9:A21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</mergeCells>
  <printOptions horizontalCentered="1"/>
  <pageMargins left="0.39370078740157483" right="0.39370078740157483" top="0.39370078740157483" bottom="0.39370078740157483" header="0.31496062992125984" footer="0.31496062992125984"/>
  <pageSetup paperSize="10000" scale="55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18"/>
  <sheetViews>
    <sheetView zoomScale="70" zoomScaleNormal="70" workbookViewId="0">
      <pane xSplit="1" ySplit="6" topLeftCell="C49" activePane="bottomRight" state="frozen"/>
      <selection pane="topRight" activeCell="D1" sqref="D1"/>
      <selection pane="bottomLeft" activeCell="A7" sqref="A7"/>
      <selection pane="bottomRight" activeCell="E41" sqref="E41"/>
    </sheetView>
  </sheetViews>
  <sheetFormatPr defaultRowHeight="15" x14ac:dyDescent="0.25"/>
  <cols>
    <col min="2" max="2" width="0" hidden="1" customWidth="1"/>
    <col min="3" max="3" width="20.42578125" bestFit="1" customWidth="1"/>
    <col min="4" max="4" width="16.7109375" customWidth="1"/>
    <col min="5" max="5" width="6.28515625" customWidth="1"/>
    <col min="6" max="6" width="9.85546875" customWidth="1"/>
    <col min="7" max="18" width="9.140625" customWidth="1"/>
    <col min="27" max="27" width="10" bestFit="1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114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15.75" customHeight="1" x14ac:dyDescent="0.25">
      <c r="A7" s="254">
        <v>1</v>
      </c>
      <c r="B7" s="265" t="s">
        <v>32</v>
      </c>
      <c r="C7" s="97" t="s">
        <v>33</v>
      </c>
      <c r="D7" s="21" t="s">
        <v>34</v>
      </c>
      <c r="E7" s="10">
        <v>30</v>
      </c>
      <c r="F7" s="10">
        <v>20</v>
      </c>
      <c r="G7" s="28">
        <v>20</v>
      </c>
      <c r="H7" s="11">
        <v>145</v>
      </c>
      <c r="I7" s="11">
        <v>7</v>
      </c>
      <c r="J7" s="11">
        <v>172</v>
      </c>
      <c r="K7" s="11">
        <v>3</v>
      </c>
      <c r="L7" s="11">
        <v>128</v>
      </c>
      <c r="M7" s="12">
        <v>18</v>
      </c>
      <c r="N7" s="11">
        <v>7</v>
      </c>
      <c r="O7" s="11">
        <v>11</v>
      </c>
      <c r="P7" s="12">
        <v>149</v>
      </c>
      <c r="Q7" s="11">
        <v>584</v>
      </c>
      <c r="R7" s="11">
        <v>2</v>
      </c>
      <c r="S7" s="11">
        <v>621</v>
      </c>
      <c r="T7" s="12">
        <v>23</v>
      </c>
      <c r="U7" s="12">
        <v>146</v>
      </c>
      <c r="V7" s="13">
        <v>20.7</v>
      </c>
      <c r="W7" s="13">
        <v>103.49999999999999</v>
      </c>
      <c r="X7" s="13">
        <v>4.2534246575342465</v>
      </c>
      <c r="Y7" s="14">
        <v>-0.14383561643835602</v>
      </c>
      <c r="Z7" s="15">
        <v>7.3</v>
      </c>
    </row>
    <row r="8" spans="1:26" ht="15.75" x14ac:dyDescent="0.25">
      <c r="A8" s="254"/>
      <c r="B8" s="266"/>
      <c r="C8" s="17" t="s">
        <v>35</v>
      </c>
      <c r="D8" s="16"/>
      <c r="E8" s="10">
        <v>30</v>
      </c>
      <c r="F8" s="17">
        <v>20</v>
      </c>
      <c r="G8" s="17">
        <v>20</v>
      </c>
      <c r="H8" s="17">
        <v>145</v>
      </c>
      <c r="I8" s="17">
        <v>7</v>
      </c>
      <c r="J8" s="17">
        <v>172</v>
      </c>
      <c r="K8" s="17">
        <v>3</v>
      </c>
      <c r="L8" s="17">
        <v>128</v>
      </c>
      <c r="M8" s="18">
        <v>18</v>
      </c>
      <c r="N8" s="17">
        <v>7</v>
      </c>
      <c r="O8" s="17">
        <v>11</v>
      </c>
      <c r="P8" s="18">
        <v>149</v>
      </c>
      <c r="Q8" s="17">
        <v>584</v>
      </c>
      <c r="R8" s="17">
        <v>2</v>
      </c>
      <c r="S8" s="17">
        <v>621</v>
      </c>
      <c r="T8" s="18">
        <v>23</v>
      </c>
      <c r="U8" s="18">
        <v>146</v>
      </c>
      <c r="V8" s="19">
        <v>20.7</v>
      </c>
      <c r="W8" s="19">
        <v>103.49999999999999</v>
      </c>
      <c r="X8" s="19">
        <v>4.2534246575342465</v>
      </c>
      <c r="Y8" s="20">
        <v>-0.14383561643835602</v>
      </c>
      <c r="Z8" s="20">
        <v>7.3</v>
      </c>
    </row>
    <row r="9" spans="1:26" ht="15.75" x14ac:dyDescent="0.25">
      <c r="A9" s="256">
        <v>2</v>
      </c>
      <c r="B9" s="266"/>
      <c r="C9" s="11" t="s">
        <v>36</v>
      </c>
      <c r="D9" s="21" t="s">
        <v>34</v>
      </c>
      <c r="E9" s="10">
        <v>30</v>
      </c>
      <c r="F9" s="11">
        <v>16</v>
      </c>
      <c r="G9" s="28">
        <v>15</v>
      </c>
      <c r="H9" s="11">
        <v>101</v>
      </c>
      <c r="I9" s="11">
        <v>41</v>
      </c>
      <c r="J9" s="11">
        <v>157</v>
      </c>
      <c r="K9" s="11">
        <v>9</v>
      </c>
      <c r="L9" s="11">
        <v>122</v>
      </c>
      <c r="M9" s="12">
        <v>10</v>
      </c>
      <c r="N9" s="11">
        <v>5</v>
      </c>
      <c r="O9" s="11">
        <v>5</v>
      </c>
      <c r="P9" s="12">
        <v>141</v>
      </c>
      <c r="Q9" s="11">
        <v>455</v>
      </c>
      <c r="R9" s="11">
        <v>1</v>
      </c>
      <c r="S9" s="11">
        <v>468</v>
      </c>
      <c r="T9" s="12">
        <v>16</v>
      </c>
      <c r="U9" s="12">
        <v>132</v>
      </c>
      <c r="V9" s="13">
        <v>15.6</v>
      </c>
      <c r="W9" s="13">
        <v>97.5</v>
      </c>
      <c r="X9" s="13">
        <v>3.5454545454545454</v>
      </c>
      <c r="Y9" s="14">
        <v>9.0909090909090995E-2</v>
      </c>
      <c r="Z9" s="15">
        <v>8.25</v>
      </c>
    </row>
    <row r="10" spans="1:26" ht="15.75" x14ac:dyDescent="0.25">
      <c r="A10" s="256"/>
      <c r="B10" s="266"/>
      <c r="C10" s="17" t="s">
        <v>36</v>
      </c>
      <c r="D10" s="16"/>
      <c r="E10" s="10">
        <v>30</v>
      </c>
      <c r="F10" s="17">
        <v>16</v>
      </c>
      <c r="G10" s="17">
        <v>15</v>
      </c>
      <c r="H10" s="17">
        <v>101</v>
      </c>
      <c r="I10" s="17">
        <v>41</v>
      </c>
      <c r="J10" s="17">
        <v>157</v>
      </c>
      <c r="K10" s="17">
        <v>9</v>
      </c>
      <c r="L10" s="17">
        <v>122</v>
      </c>
      <c r="M10" s="18">
        <v>10</v>
      </c>
      <c r="N10" s="17">
        <v>5</v>
      </c>
      <c r="O10" s="17">
        <v>5</v>
      </c>
      <c r="P10" s="18">
        <v>141</v>
      </c>
      <c r="Q10" s="17">
        <v>455</v>
      </c>
      <c r="R10" s="17">
        <v>1</v>
      </c>
      <c r="S10" s="17">
        <v>468</v>
      </c>
      <c r="T10" s="18">
        <v>16</v>
      </c>
      <c r="U10" s="18">
        <v>132</v>
      </c>
      <c r="V10" s="19">
        <v>15.6</v>
      </c>
      <c r="W10" s="19">
        <v>97.5</v>
      </c>
      <c r="X10" s="19">
        <v>3.5454545454545454</v>
      </c>
      <c r="Y10" s="20">
        <v>9.0909090909090995E-2</v>
      </c>
      <c r="Z10" s="20">
        <v>8.25</v>
      </c>
    </row>
    <row r="11" spans="1:26" ht="15.75" x14ac:dyDescent="0.25">
      <c r="A11" s="256">
        <v>3</v>
      </c>
      <c r="B11" s="266"/>
      <c r="C11" s="256" t="s">
        <v>37</v>
      </c>
      <c r="D11" s="21" t="s">
        <v>38</v>
      </c>
      <c r="E11" s="10">
        <v>30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266"/>
      <c r="C12" s="256"/>
      <c r="D12" s="21" t="s">
        <v>34</v>
      </c>
      <c r="E12" s="10">
        <v>30</v>
      </c>
      <c r="F12" s="11">
        <v>12</v>
      </c>
      <c r="G12" s="28">
        <v>9</v>
      </c>
      <c r="H12" s="11">
        <v>80</v>
      </c>
      <c r="I12" s="11">
        <v>4</v>
      </c>
      <c r="J12" s="11">
        <v>93</v>
      </c>
      <c r="K12" s="11">
        <v>3</v>
      </c>
      <c r="L12" s="11">
        <v>73</v>
      </c>
      <c r="M12" s="12">
        <v>8</v>
      </c>
      <c r="N12" s="11">
        <v>4</v>
      </c>
      <c r="O12" s="11">
        <v>4</v>
      </c>
      <c r="P12" s="12">
        <v>84</v>
      </c>
      <c r="Q12" s="11">
        <v>295</v>
      </c>
      <c r="R12" s="11">
        <v>2</v>
      </c>
      <c r="S12" s="11">
        <v>303</v>
      </c>
      <c r="T12" s="12">
        <v>9</v>
      </c>
      <c r="U12" s="12">
        <v>81</v>
      </c>
      <c r="V12" s="13">
        <v>10.1</v>
      </c>
      <c r="W12" s="13">
        <v>84.166666666666671</v>
      </c>
      <c r="X12" s="13">
        <v>3.7407407407407409</v>
      </c>
      <c r="Y12" s="14">
        <v>0.70370370370370383</v>
      </c>
      <c r="Z12" s="15">
        <v>6.75</v>
      </c>
    </row>
    <row r="13" spans="1:26" ht="15.75" x14ac:dyDescent="0.25">
      <c r="A13" s="256"/>
      <c r="B13" s="266"/>
      <c r="C13" s="17" t="s">
        <v>37</v>
      </c>
      <c r="D13" s="16"/>
      <c r="E13" s="10">
        <v>30</v>
      </c>
      <c r="F13" s="17">
        <v>12</v>
      </c>
      <c r="G13" s="17">
        <v>9</v>
      </c>
      <c r="H13" s="17">
        <v>80</v>
      </c>
      <c r="I13" s="17">
        <v>4</v>
      </c>
      <c r="J13" s="17">
        <v>93</v>
      </c>
      <c r="K13" s="17">
        <v>3</v>
      </c>
      <c r="L13" s="17">
        <v>73</v>
      </c>
      <c r="M13" s="18">
        <v>8</v>
      </c>
      <c r="N13" s="17">
        <v>4</v>
      </c>
      <c r="O13" s="17">
        <v>4</v>
      </c>
      <c r="P13" s="18">
        <v>84</v>
      </c>
      <c r="Q13" s="17">
        <v>295</v>
      </c>
      <c r="R13" s="17">
        <v>2</v>
      </c>
      <c r="S13" s="17">
        <v>303</v>
      </c>
      <c r="T13" s="18">
        <v>9</v>
      </c>
      <c r="U13" s="18">
        <v>81</v>
      </c>
      <c r="V13" s="19">
        <v>10.1</v>
      </c>
      <c r="W13" s="19">
        <v>84.166666666666671</v>
      </c>
      <c r="X13" s="19">
        <v>3.7407407407407409</v>
      </c>
      <c r="Y13" s="20">
        <v>0.70370370370370383</v>
      </c>
      <c r="Z13" s="20">
        <v>6.75</v>
      </c>
    </row>
    <row r="14" spans="1:26" ht="15.75" x14ac:dyDescent="0.25">
      <c r="A14" s="256">
        <v>4</v>
      </c>
      <c r="B14" s="266"/>
      <c r="C14" s="254" t="s">
        <v>39</v>
      </c>
      <c r="D14" s="21" t="s">
        <v>38</v>
      </c>
      <c r="E14" s="10">
        <v>30</v>
      </c>
      <c r="F14" s="10">
        <v>2</v>
      </c>
      <c r="G14" s="28">
        <v>1</v>
      </c>
      <c r="H14" s="11">
        <v>14</v>
      </c>
      <c r="I14" s="11">
        <v>5</v>
      </c>
      <c r="J14" s="11">
        <v>20</v>
      </c>
      <c r="K14" s="11">
        <v>4</v>
      </c>
      <c r="L14" s="11">
        <v>15</v>
      </c>
      <c r="M14" s="12">
        <v>0</v>
      </c>
      <c r="N14" s="11">
        <v>0</v>
      </c>
      <c r="O14" s="11">
        <v>0</v>
      </c>
      <c r="P14" s="12">
        <v>19</v>
      </c>
      <c r="Q14" s="11">
        <v>54</v>
      </c>
      <c r="R14" s="11">
        <v>0</v>
      </c>
      <c r="S14" s="11">
        <v>49</v>
      </c>
      <c r="T14" s="12">
        <v>1</v>
      </c>
      <c r="U14" s="12">
        <v>15</v>
      </c>
      <c r="V14" s="13">
        <v>1.6333333333333333</v>
      </c>
      <c r="W14" s="13">
        <v>81.666666666666671</v>
      </c>
      <c r="X14" s="13">
        <v>3.2666666666666666</v>
      </c>
      <c r="Y14" s="14">
        <v>0.73333333333333328</v>
      </c>
      <c r="Z14" s="15">
        <v>7.5</v>
      </c>
    </row>
    <row r="15" spans="1:26" ht="15.75" x14ac:dyDescent="0.25">
      <c r="A15" s="256"/>
      <c r="B15" s="266"/>
      <c r="C15" s="254"/>
      <c r="D15" s="21" t="s">
        <v>34</v>
      </c>
      <c r="E15" s="10">
        <v>30</v>
      </c>
      <c r="F15" s="10">
        <v>17</v>
      </c>
      <c r="G15" s="28">
        <v>17</v>
      </c>
      <c r="H15" s="11">
        <v>111</v>
      </c>
      <c r="I15" s="11">
        <v>17</v>
      </c>
      <c r="J15" s="11">
        <v>145</v>
      </c>
      <c r="K15" s="11">
        <v>8</v>
      </c>
      <c r="L15" s="11">
        <v>112</v>
      </c>
      <c r="M15" s="12">
        <v>10</v>
      </c>
      <c r="N15" s="11">
        <v>6</v>
      </c>
      <c r="O15" s="11">
        <v>4</v>
      </c>
      <c r="P15" s="12">
        <v>130</v>
      </c>
      <c r="Q15" s="11">
        <v>527</v>
      </c>
      <c r="R15" s="11">
        <v>1</v>
      </c>
      <c r="S15" s="11">
        <v>470</v>
      </c>
      <c r="T15" s="12">
        <v>15</v>
      </c>
      <c r="U15" s="12">
        <v>122</v>
      </c>
      <c r="V15" s="13">
        <v>15.666666666666666</v>
      </c>
      <c r="W15" s="13">
        <v>92.156862745098039</v>
      </c>
      <c r="X15" s="13">
        <v>3.8524590163934427</v>
      </c>
      <c r="Y15" s="14">
        <v>0.32786885245901654</v>
      </c>
      <c r="Z15" s="15">
        <v>7.1764705882352944</v>
      </c>
    </row>
    <row r="16" spans="1:26" ht="15.75" x14ac:dyDescent="0.25">
      <c r="A16" s="256"/>
      <c r="B16" s="266"/>
      <c r="C16" s="254"/>
      <c r="D16" s="21" t="s">
        <v>40</v>
      </c>
      <c r="E16" s="10">
        <v>30</v>
      </c>
      <c r="F16" s="10">
        <v>5</v>
      </c>
      <c r="G16" s="28">
        <v>4</v>
      </c>
      <c r="H16" s="11">
        <v>26</v>
      </c>
      <c r="I16" s="11">
        <v>4</v>
      </c>
      <c r="J16" s="11">
        <v>34</v>
      </c>
      <c r="K16" s="11">
        <v>5</v>
      </c>
      <c r="L16" s="11">
        <v>27</v>
      </c>
      <c r="M16" s="12">
        <v>0</v>
      </c>
      <c r="N16" s="11">
        <v>0</v>
      </c>
      <c r="O16" s="11">
        <v>0</v>
      </c>
      <c r="P16" s="12">
        <v>32</v>
      </c>
      <c r="Q16" s="11">
        <v>130</v>
      </c>
      <c r="R16" s="11">
        <v>0</v>
      </c>
      <c r="S16" s="11">
        <v>117</v>
      </c>
      <c r="T16" s="12">
        <v>2</v>
      </c>
      <c r="U16" s="12">
        <v>27</v>
      </c>
      <c r="V16" s="13">
        <v>3.9</v>
      </c>
      <c r="W16" s="13">
        <v>78</v>
      </c>
      <c r="X16" s="13">
        <v>4.333333333333333</v>
      </c>
      <c r="Y16" s="14">
        <v>1.2222222222222223</v>
      </c>
      <c r="Z16" s="15">
        <v>5.4</v>
      </c>
    </row>
    <row r="17" spans="1:30" ht="15.75" x14ac:dyDescent="0.25">
      <c r="A17" s="256"/>
      <c r="B17" s="266"/>
      <c r="C17" s="17" t="s">
        <v>39</v>
      </c>
      <c r="D17" s="16"/>
      <c r="E17" s="10">
        <v>30</v>
      </c>
      <c r="F17" s="17">
        <v>24</v>
      </c>
      <c r="G17" s="17">
        <v>22</v>
      </c>
      <c r="H17" s="17">
        <v>151</v>
      </c>
      <c r="I17" s="17">
        <v>26</v>
      </c>
      <c r="J17" s="17">
        <v>199</v>
      </c>
      <c r="K17" s="17">
        <v>17</v>
      </c>
      <c r="L17" s="17">
        <v>154</v>
      </c>
      <c r="M17" s="18">
        <v>10</v>
      </c>
      <c r="N17" s="17">
        <v>6</v>
      </c>
      <c r="O17" s="17">
        <v>4</v>
      </c>
      <c r="P17" s="18">
        <v>181</v>
      </c>
      <c r="Q17" s="17">
        <v>711</v>
      </c>
      <c r="R17" s="17">
        <v>1</v>
      </c>
      <c r="S17" s="17">
        <v>636</v>
      </c>
      <c r="T17" s="18">
        <v>18</v>
      </c>
      <c r="U17" s="18">
        <v>164</v>
      </c>
      <c r="V17" s="19">
        <v>21.2</v>
      </c>
      <c r="W17" s="19">
        <v>88.333333333333329</v>
      </c>
      <c r="X17" s="19">
        <v>3.8780487804878048</v>
      </c>
      <c r="Y17" s="20">
        <v>0.51219512195121963</v>
      </c>
      <c r="Z17" s="20">
        <v>6.833333333333333</v>
      </c>
    </row>
    <row r="18" spans="1:30" ht="15.75" x14ac:dyDescent="0.25">
      <c r="A18" s="248">
        <v>5</v>
      </c>
      <c r="B18" s="266"/>
      <c r="C18" s="248" t="s">
        <v>41</v>
      </c>
      <c r="D18" s="22" t="s">
        <v>115</v>
      </c>
      <c r="E18" s="11">
        <v>30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4" t="e">
        <v>#DIV/0!</v>
      </c>
      <c r="Z18" s="15">
        <v>0</v>
      </c>
    </row>
    <row r="19" spans="1:30" ht="15.75" x14ac:dyDescent="0.25">
      <c r="A19" s="249"/>
      <c r="B19" s="266"/>
      <c r="C19" s="249"/>
      <c r="D19" s="98" t="s">
        <v>42</v>
      </c>
      <c r="E19" s="10">
        <v>30</v>
      </c>
      <c r="F19" s="10">
        <v>15</v>
      </c>
      <c r="G19" s="28">
        <v>19</v>
      </c>
      <c r="H19" s="11">
        <v>149</v>
      </c>
      <c r="I19" s="11">
        <v>7</v>
      </c>
      <c r="J19" s="11">
        <v>175</v>
      </c>
      <c r="K19" s="11">
        <v>11</v>
      </c>
      <c r="L19" s="11">
        <v>111</v>
      </c>
      <c r="M19" s="12">
        <v>32</v>
      </c>
      <c r="N19" s="11">
        <v>20</v>
      </c>
      <c r="O19" s="11">
        <v>12</v>
      </c>
      <c r="P19" s="12">
        <v>154</v>
      </c>
      <c r="Q19" s="11">
        <v>547</v>
      </c>
      <c r="R19" s="11">
        <v>6</v>
      </c>
      <c r="S19" s="11">
        <v>565</v>
      </c>
      <c r="T19" s="12">
        <v>21</v>
      </c>
      <c r="U19" s="12">
        <v>143</v>
      </c>
      <c r="V19" s="13">
        <v>18.833333333333332</v>
      </c>
      <c r="W19" s="13">
        <v>125.55555555555556</v>
      </c>
      <c r="X19" s="13">
        <v>3.9510489510489513</v>
      </c>
      <c r="Y19" s="14">
        <v>-0.80419580419580394</v>
      </c>
      <c r="Z19" s="15">
        <v>9.5333333333333332</v>
      </c>
    </row>
    <row r="20" spans="1:30" ht="15.75" x14ac:dyDescent="0.25">
      <c r="A20" s="249"/>
      <c r="B20" s="266"/>
      <c r="C20" s="250"/>
      <c r="D20" s="98" t="s">
        <v>43</v>
      </c>
      <c r="E20" s="10">
        <v>30</v>
      </c>
      <c r="F20" s="10">
        <v>12</v>
      </c>
      <c r="G20" s="28">
        <v>12</v>
      </c>
      <c r="H20" s="11">
        <v>86</v>
      </c>
      <c r="I20" s="11">
        <v>30</v>
      </c>
      <c r="J20" s="11">
        <v>128</v>
      </c>
      <c r="K20" s="11">
        <v>15</v>
      </c>
      <c r="L20" s="11">
        <v>82</v>
      </c>
      <c r="M20" s="12">
        <v>16</v>
      </c>
      <c r="N20" s="11">
        <v>10</v>
      </c>
      <c r="O20" s="11">
        <v>6</v>
      </c>
      <c r="P20" s="12">
        <v>113</v>
      </c>
      <c r="Q20" s="11">
        <v>335</v>
      </c>
      <c r="R20" s="11">
        <v>3</v>
      </c>
      <c r="S20" s="11">
        <v>378</v>
      </c>
      <c r="T20" s="12">
        <v>15</v>
      </c>
      <c r="U20" s="12">
        <v>98</v>
      </c>
      <c r="V20" s="13">
        <v>12.6</v>
      </c>
      <c r="W20" s="13">
        <v>105</v>
      </c>
      <c r="X20" s="13">
        <v>3.8571428571428572</v>
      </c>
      <c r="Y20" s="14">
        <v>-0.183673469387755</v>
      </c>
      <c r="Z20" s="15">
        <v>8.1666666666666661</v>
      </c>
    </row>
    <row r="21" spans="1:30" ht="15.75" x14ac:dyDescent="0.25">
      <c r="A21" s="250"/>
      <c r="B21" s="266"/>
      <c r="C21" s="17" t="s">
        <v>41</v>
      </c>
      <c r="D21" s="16"/>
      <c r="E21" s="10">
        <v>30</v>
      </c>
      <c r="F21" s="17">
        <v>31</v>
      </c>
      <c r="G21" s="17">
        <v>31</v>
      </c>
      <c r="H21" s="17">
        <v>235</v>
      </c>
      <c r="I21" s="17">
        <v>37</v>
      </c>
      <c r="J21" s="17">
        <v>303</v>
      </c>
      <c r="K21" s="17">
        <v>26</v>
      </c>
      <c r="L21" s="17">
        <v>193</v>
      </c>
      <c r="M21" s="18">
        <v>48</v>
      </c>
      <c r="N21" s="17">
        <v>30</v>
      </c>
      <c r="O21" s="17">
        <v>18</v>
      </c>
      <c r="P21" s="18">
        <v>267</v>
      </c>
      <c r="Q21" s="17">
        <v>882</v>
      </c>
      <c r="R21" s="17">
        <v>9</v>
      </c>
      <c r="S21" s="17">
        <v>943</v>
      </c>
      <c r="T21" s="18">
        <v>36</v>
      </c>
      <c r="U21" s="18">
        <v>241</v>
      </c>
      <c r="V21" s="19">
        <v>31.433333333333334</v>
      </c>
      <c r="W21" s="19">
        <v>116.41975308641976</v>
      </c>
      <c r="X21" s="19">
        <v>3.912863070539419</v>
      </c>
      <c r="Y21" s="20">
        <v>-0.55186721991701249</v>
      </c>
      <c r="Z21" s="20">
        <v>17.7</v>
      </c>
    </row>
    <row r="22" spans="1:30" ht="15.75" x14ac:dyDescent="0.25">
      <c r="A22" s="254">
        <v>6</v>
      </c>
      <c r="B22" s="266"/>
      <c r="C22" s="10" t="s">
        <v>44</v>
      </c>
      <c r="D22" s="21" t="s">
        <v>34</v>
      </c>
      <c r="E22" s="10">
        <v>30</v>
      </c>
      <c r="F22" s="10">
        <v>18</v>
      </c>
      <c r="G22" s="28">
        <v>17</v>
      </c>
      <c r="H22" s="11">
        <v>161</v>
      </c>
      <c r="I22" s="11">
        <v>8</v>
      </c>
      <c r="J22" s="11">
        <v>186</v>
      </c>
      <c r="K22" s="11">
        <v>9</v>
      </c>
      <c r="L22" s="11">
        <v>150</v>
      </c>
      <c r="M22" s="12">
        <v>8</v>
      </c>
      <c r="N22" s="11">
        <v>2</v>
      </c>
      <c r="O22" s="11">
        <v>6</v>
      </c>
      <c r="P22" s="12">
        <v>167</v>
      </c>
      <c r="Q22" s="11">
        <v>505</v>
      </c>
      <c r="R22" s="11">
        <v>3</v>
      </c>
      <c r="S22" s="11">
        <v>540</v>
      </c>
      <c r="T22" s="12">
        <v>19</v>
      </c>
      <c r="U22" s="12">
        <v>158</v>
      </c>
      <c r="V22" s="13">
        <v>18</v>
      </c>
      <c r="W22" s="13">
        <v>100</v>
      </c>
      <c r="X22" s="13">
        <v>3.4177215189873418</v>
      </c>
      <c r="Y22" s="14">
        <v>0</v>
      </c>
      <c r="Z22" s="15">
        <v>8.7777777777777786</v>
      </c>
    </row>
    <row r="23" spans="1:30" ht="15.75" x14ac:dyDescent="0.25">
      <c r="A23" s="254"/>
      <c r="B23" s="266"/>
      <c r="C23" s="17" t="s">
        <v>44</v>
      </c>
      <c r="D23" s="16"/>
      <c r="E23" s="10">
        <v>30</v>
      </c>
      <c r="F23" s="17">
        <v>18</v>
      </c>
      <c r="G23" s="17">
        <v>17</v>
      </c>
      <c r="H23" s="17">
        <v>161</v>
      </c>
      <c r="I23" s="17">
        <v>8</v>
      </c>
      <c r="J23" s="17">
        <v>186</v>
      </c>
      <c r="K23" s="17">
        <v>9</v>
      </c>
      <c r="L23" s="17">
        <v>150</v>
      </c>
      <c r="M23" s="18">
        <v>8</v>
      </c>
      <c r="N23" s="17">
        <v>2</v>
      </c>
      <c r="O23" s="17">
        <v>6</v>
      </c>
      <c r="P23" s="18">
        <v>167</v>
      </c>
      <c r="Q23" s="17">
        <v>505</v>
      </c>
      <c r="R23" s="17">
        <v>3</v>
      </c>
      <c r="S23" s="17">
        <v>540</v>
      </c>
      <c r="T23" s="18">
        <v>19</v>
      </c>
      <c r="U23" s="18">
        <v>158</v>
      </c>
      <c r="V23" s="19">
        <v>18</v>
      </c>
      <c r="W23" s="19">
        <v>100</v>
      </c>
      <c r="X23" s="19">
        <v>3.4177215189873418</v>
      </c>
      <c r="Y23" s="20">
        <v>0</v>
      </c>
      <c r="Z23" s="20">
        <v>8.7777777777777786</v>
      </c>
    </row>
    <row r="24" spans="1:30" ht="15.75" x14ac:dyDescent="0.25">
      <c r="A24" s="248">
        <v>7</v>
      </c>
      <c r="B24" s="266"/>
      <c r="C24" s="248" t="s">
        <v>45</v>
      </c>
      <c r="D24" s="22" t="s">
        <v>40</v>
      </c>
      <c r="E24" s="11">
        <v>30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4" t="e">
        <v>#DIV/0!</v>
      </c>
      <c r="Z24" s="15">
        <v>0</v>
      </c>
    </row>
    <row r="25" spans="1:30" ht="15.75" x14ac:dyDescent="0.25">
      <c r="A25" s="249"/>
      <c r="B25" s="266"/>
      <c r="C25" s="250"/>
      <c r="D25" s="21" t="s">
        <v>34</v>
      </c>
      <c r="E25" s="10">
        <v>30</v>
      </c>
      <c r="F25" s="10">
        <v>16</v>
      </c>
      <c r="G25" s="28">
        <v>19</v>
      </c>
      <c r="H25" s="11">
        <v>131</v>
      </c>
      <c r="I25" s="11">
        <v>14</v>
      </c>
      <c r="J25" s="11">
        <v>164</v>
      </c>
      <c r="K25" s="11">
        <v>12</v>
      </c>
      <c r="L25" s="11">
        <v>130</v>
      </c>
      <c r="M25" s="12">
        <v>4</v>
      </c>
      <c r="N25" s="11">
        <v>1</v>
      </c>
      <c r="O25" s="11">
        <v>3</v>
      </c>
      <c r="P25" s="12">
        <v>146</v>
      </c>
      <c r="Q25" s="11">
        <v>556</v>
      </c>
      <c r="R25" s="11">
        <v>0</v>
      </c>
      <c r="S25" s="11">
        <v>526</v>
      </c>
      <c r="T25" s="12">
        <v>18</v>
      </c>
      <c r="U25" s="12">
        <v>134</v>
      </c>
      <c r="V25" s="13">
        <v>17.533333333333335</v>
      </c>
      <c r="W25" s="13">
        <v>109.58333333333334</v>
      </c>
      <c r="X25" s="13">
        <v>3.9253731343283582</v>
      </c>
      <c r="Y25" s="14">
        <v>-0.34328358208955262</v>
      </c>
      <c r="Z25" s="15">
        <v>8.375</v>
      </c>
      <c r="AA25" t="s">
        <v>55</v>
      </c>
      <c r="AB25" t="s">
        <v>48</v>
      </c>
      <c r="AC25" t="s">
        <v>38</v>
      </c>
      <c r="AD25" t="s">
        <v>34</v>
      </c>
    </row>
    <row r="26" spans="1:30" ht="15.75" x14ac:dyDescent="0.25">
      <c r="A26" s="250"/>
      <c r="B26" s="266"/>
      <c r="C26" s="17" t="s">
        <v>45</v>
      </c>
      <c r="D26" s="16"/>
      <c r="E26" s="10">
        <v>30</v>
      </c>
      <c r="F26" s="17">
        <v>20</v>
      </c>
      <c r="G26" s="17">
        <v>19</v>
      </c>
      <c r="H26" s="17">
        <v>131</v>
      </c>
      <c r="I26" s="17">
        <v>14</v>
      </c>
      <c r="J26" s="17">
        <v>164</v>
      </c>
      <c r="K26" s="17">
        <v>12</v>
      </c>
      <c r="L26" s="17">
        <v>130</v>
      </c>
      <c r="M26" s="18">
        <v>4</v>
      </c>
      <c r="N26" s="17">
        <v>1</v>
      </c>
      <c r="O26" s="17">
        <v>3</v>
      </c>
      <c r="P26" s="18">
        <v>146</v>
      </c>
      <c r="Q26" s="17">
        <v>556</v>
      </c>
      <c r="R26" s="17">
        <v>0</v>
      </c>
      <c r="S26" s="17">
        <v>526</v>
      </c>
      <c r="T26" s="18">
        <v>18</v>
      </c>
      <c r="U26" s="18">
        <v>134</v>
      </c>
      <c r="V26" s="19">
        <v>17.533333333333335</v>
      </c>
      <c r="W26" s="19">
        <v>87.666666666666671</v>
      </c>
      <c r="X26" s="19">
        <v>3.9253731343283582</v>
      </c>
      <c r="Y26" s="20">
        <v>0.55223880597014885</v>
      </c>
      <c r="Z26" s="20">
        <v>6.7</v>
      </c>
      <c r="AA26">
        <f>+S31+S45+S53</f>
        <v>228</v>
      </c>
      <c r="AB26">
        <f>+S30+S34+S40+S44+S108</f>
        <v>850</v>
      </c>
      <c r="AC26">
        <f>+S38+S39+S47+S49+S14+S35</f>
        <v>511</v>
      </c>
    </row>
    <row r="27" spans="1:30" ht="15.75" x14ac:dyDescent="0.25">
      <c r="A27" s="256">
        <v>8</v>
      </c>
      <c r="B27" s="266"/>
      <c r="C27" s="11" t="s">
        <v>46</v>
      </c>
      <c r="D27" s="21" t="s">
        <v>34</v>
      </c>
      <c r="E27" s="10">
        <v>30</v>
      </c>
      <c r="F27" s="11">
        <v>20</v>
      </c>
      <c r="G27" s="28">
        <v>10</v>
      </c>
      <c r="H27" s="11">
        <v>133</v>
      </c>
      <c r="I27" s="11">
        <v>6</v>
      </c>
      <c r="J27" s="11">
        <v>149</v>
      </c>
      <c r="K27" s="11">
        <v>8</v>
      </c>
      <c r="L27" s="11">
        <v>114</v>
      </c>
      <c r="M27" s="12">
        <v>7</v>
      </c>
      <c r="N27" s="11">
        <v>3</v>
      </c>
      <c r="O27" s="11">
        <v>4</v>
      </c>
      <c r="P27" s="12">
        <v>129</v>
      </c>
      <c r="Q27" s="11">
        <v>368</v>
      </c>
      <c r="R27" s="11">
        <v>2</v>
      </c>
      <c r="S27" s="11">
        <v>415</v>
      </c>
      <c r="T27" s="12">
        <v>20</v>
      </c>
      <c r="U27" s="12">
        <v>121</v>
      </c>
      <c r="V27" s="13">
        <v>13.833333333333334</v>
      </c>
      <c r="W27" s="13">
        <v>69.166666666666671</v>
      </c>
      <c r="X27" s="13">
        <v>3.4297520661157024</v>
      </c>
      <c r="Y27" s="14">
        <v>1.5289256198347105</v>
      </c>
      <c r="Z27" s="15">
        <v>6.05</v>
      </c>
    </row>
    <row r="28" spans="1:30" ht="15.75" x14ac:dyDescent="0.25">
      <c r="A28" s="256"/>
      <c r="B28" s="266"/>
      <c r="C28" s="17" t="s">
        <v>46</v>
      </c>
      <c r="D28" s="16"/>
      <c r="E28" s="10">
        <v>30</v>
      </c>
      <c r="F28" s="17">
        <v>20</v>
      </c>
      <c r="G28" s="17">
        <v>10</v>
      </c>
      <c r="H28" s="17">
        <v>133</v>
      </c>
      <c r="I28" s="17">
        <v>6</v>
      </c>
      <c r="J28" s="17">
        <v>149</v>
      </c>
      <c r="K28" s="17">
        <v>8</v>
      </c>
      <c r="L28" s="17">
        <v>114</v>
      </c>
      <c r="M28" s="18">
        <v>7</v>
      </c>
      <c r="N28" s="17">
        <v>3</v>
      </c>
      <c r="O28" s="17">
        <v>4</v>
      </c>
      <c r="P28" s="18">
        <v>129</v>
      </c>
      <c r="Q28" s="17">
        <v>368</v>
      </c>
      <c r="R28" s="17">
        <v>2</v>
      </c>
      <c r="S28" s="17">
        <v>415</v>
      </c>
      <c r="T28" s="18">
        <v>20</v>
      </c>
      <c r="U28" s="18">
        <v>121</v>
      </c>
      <c r="V28" s="19">
        <v>13.833333333333334</v>
      </c>
      <c r="W28" s="19">
        <v>69.166666666666671</v>
      </c>
      <c r="X28" s="19">
        <v>3.4297520661157024</v>
      </c>
      <c r="Y28" s="20">
        <v>1.5289256198347105</v>
      </c>
      <c r="Z28" s="20">
        <v>6.05</v>
      </c>
    </row>
    <row r="29" spans="1:30" ht="15.75" x14ac:dyDescent="0.25">
      <c r="A29" s="53"/>
      <c r="B29" s="266"/>
      <c r="C29" s="11"/>
      <c r="D29" s="22" t="s">
        <v>40</v>
      </c>
      <c r="E29" s="11">
        <v>30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/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1">
        <v>0</v>
      </c>
      <c r="T29" s="12">
        <v>0</v>
      </c>
      <c r="U29" s="12">
        <v>0</v>
      </c>
      <c r="V29" s="13">
        <v>0</v>
      </c>
      <c r="W29" s="13">
        <v>0</v>
      </c>
      <c r="X29" s="13" t="e">
        <v>#DIV/0!</v>
      </c>
      <c r="Y29" s="14" t="e">
        <v>#DIV/0!</v>
      </c>
      <c r="Z29" s="15">
        <v>0</v>
      </c>
    </row>
    <row r="30" spans="1:30" ht="15.75" x14ac:dyDescent="0.25">
      <c r="A30" s="256">
        <v>9</v>
      </c>
      <c r="B30" s="266"/>
      <c r="C30" s="11" t="s">
        <v>47</v>
      </c>
      <c r="D30" s="22" t="s">
        <v>48</v>
      </c>
      <c r="E30" s="10">
        <v>30</v>
      </c>
      <c r="F30" s="11">
        <v>3</v>
      </c>
      <c r="G30" s="28">
        <v>4</v>
      </c>
      <c r="H30" s="11">
        <v>37</v>
      </c>
      <c r="I30" s="11">
        <v>12</v>
      </c>
      <c r="J30" s="11">
        <v>53</v>
      </c>
      <c r="K30" s="11">
        <v>10</v>
      </c>
      <c r="L30" s="11">
        <v>38</v>
      </c>
      <c r="M30" s="12">
        <v>1</v>
      </c>
      <c r="N30" s="11">
        <v>1</v>
      </c>
      <c r="O30" s="11">
        <v>0</v>
      </c>
      <c r="P30" s="12">
        <v>49</v>
      </c>
      <c r="Q30" s="11">
        <v>101</v>
      </c>
      <c r="R30" s="11">
        <v>2</v>
      </c>
      <c r="S30" s="11">
        <v>112</v>
      </c>
      <c r="T30" s="12">
        <v>4</v>
      </c>
      <c r="U30" s="12">
        <v>39</v>
      </c>
      <c r="V30" s="13">
        <v>3.7333333333333334</v>
      </c>
      <c r="W30" s="13">
        <v>124.44444444444444</v>
      </c>
      <c r="X30" s="13">
        <v>2.8717948717948718</v>
      </c>
      <c r="Y30" s="14">
        <v>-0.5641025641025641</v>
      </c>
      <c r="Z30" s="15">
        <v>13</v>
      </c>
    </row>
    <row r="31" spans="1:30" ht="15.75" x14ac:dyDescent="0.25">
      <c r="A31" s="256"/>
      <c r="B31" s="266"/>
      <c r="C31" s="11"/>
      <c r="D31" s="22" t="s">
        <v>112</v>
      </c>
      <c r="E31" s="10">
        <v>30</v>
      </c>
      <c r="F31" s="11">
        <v>8</v>
      </c>
      <c r="G31" s="28">
        <v>7</v>
      </c>
      <c r="H31" s="11">
        <v>24</v>
      </c>
      <c r="I31" s="11">
        <v>11</v>
      </c>
      <c r="J31" s="11">
        <v>42</v>
      </c>
      <c r="K31" s="11">
        <v>10</v>
      </c>
      <c r="L31" s="11">
        <v>23</v>
      </c>
      <c r="M31" s="12">
        <v>4</v>
      </c>
      <c r="N31" s="11">
        <v>1</v>
      </c>
      <c r="O31" s="11">
        <v>3</v>
      </c>
      <c r="P31" s="12">
        <v>37</v>
      </c>
      <c r="Q31" s="11">
        <v>116</v>
      </c>
      <c r="R31" s="11">
        <v>0</v>
      </c>
      <c r="S31" s="11">
        <v>128</v>
      </c>
      <c r="T31" s="12">
        <v>5</v>
      </c>
      <c r="U31" s="12">
        <v>27</v>
      </c>
      <c r="V31" s="13">
        <v>4.2666666666666666</v>
      </c>
      <c r="W31" s="13">
        <v>53.333333333333336</v>
      </c>
      <c r="X31" s="13">
        <v>4.7407407407407405</v>
      </c>
      <c r="Y31" s="14">
        <v>4.1481481481481479</v>
      </c>
      <c r="Z31" s="15">
        <v>3.375</v>
      </c>
    </row>
    <row r="32" spans="1:30" ht="15.75" x14ac:dyDescent="0.25">
      <c r="A32" s="256"/>
      <c r="B32" s="266"/>
      <c r="C32" s="17" t="s">
        <v>47</v>
      </c>
      <c r="D32" s="16"/>
      <c r="E32" s="10">
        <v>30</v>
      </c>
      <c r="F32" s="17">
        <v>12</v>
      </c>
      <c r="G32" s="17">
        <v>11</v>
      </c>
      <c r="H32" s="17">
        <v>61</v>
      </c>
      <c r="I32" s="17">
        <v>23</v>
      </c>
      <c r="J32" s="17">
        <v>95</v>
      </c>
      <c r="K32" s="17">
        <v>20</v>
      </c>
      <c r="L32" s="17">
        <v>61</v>
      </c>
      <c r="M32" s="18">
        <v>5</v>
      </c>
      <c r="N32" s="17">
        <v>2</v>
      </c>
      <c r="O32" s="17">
        <v>3</v>
      </c>
      <c r="P32" s="18">
        <v>86</v>
      </c>
      <c r="Q32" s="17">
        <v>217</v>
      </c>
      <c r="R32" s="17">
        <v>2</v>
      </c>
      <c r="S32" s="17">
        <v>240</v>
      </c>
      <c r="T32" s="18">
        <v>9</v>
      </c>
      <c r="U32" s="18">
        <v>66</v>
      </c>
      <c r="V32" s="19">
        <v>8</v>
      </c>
      <c r="W32" s="19">
        <v>66.666666666666657</v>
      </c>
      <c r="X32" s="19">
        <v>3.6363636363636362</v>
      </c>
      <c r="Y32" s="20">
        <v>1.8181818181818181</v>
      </c>
      <c r="Z32" s="20">
        <v>5.5</v>
      </c>
    </row>
    <row r="33" spans="1:26" ht="15.75" x14ac:dyDescent="0.25">
      <c r="A33" s="262">
        <v>10</v>
      </c>
      <c r="B33" s="266"/>
      <c r="C33" s="11"/>
      <c r="D33" s="22" t="s">
        <v>40</v>
      </c>
      <c r="E33" s="11">
        <v>30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/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1">
        <v>0</v>
      </c>
      <c r="T33" s="12">
        <v>0</v>
      </c>
      <c r="U33" s="12">
        <v>0</v>
      </c>
      <c r="V33" s="13">
        <v>0</v>
      </c>
      <c r="W33" s="13">
        <v>0</v>
      </c>
      <c r="X33" s="13" t="e">
        <v>#DIV/0!</v>
      </c>
      <c r="Y33" s="14" t="e">
        <v>#DIV/0!</v>
      </c>
      <c r="Z33" s="15">
        <v>0</v>
      </c>
    </row>
    <row r="34" spans="1:26" ht="15.75" x14ac:dyDescent="0.25">
      <c r="A34" s="263"/>
      <c r="B34" s="266"/>
      <c r="C34" s="11" t="s">
        <v>49</v>
      </c>
      <c r="D34" s="22" t="s">
        <v>48</v>
      </c>
      <c r="E34" s="10">
        <v>30</v>
      </c>
      <c r="F34" s="11">
        <v>2</v>
      </c>
      <c r="G34" s="28">
        <v>3</v>
      </c>
      <c r="H34" s="11">
        <v>20</v>
      </c>
      <c r="I34" s="11">
        <v>1</v>
      </c>
      <c r="J34" s="11">
        <v>24</v>
      </c>
      <c r="K34" s="11">
        <v>0</v>
      </c>
      <c r="L34" s="11">
        <v>21</v>
      </c>
      <c r="M34" s="12">
        <v>1</v>
      </c>
      <c r="N34" s="11">
        <v>1</v>
      </c>
      <c r="O34" s="11">
        <v>0</v>
      </c>
      <c r="P34" s="12">
        <v>22</v>
      </c>
      <c r="Q34" s="11">
        <v>79</v>
      </c>
      <c r="R34" s="11">
        <v>0</v>
      </c>
      <c r="S34" s="11">
        <v>77</v>
      </c>
      <c r="T34" s="12">
        <v>2</v>
      </c>
      <c r="U34" s="12">
        <v>22</v>
      </c>
      <c r="V34" s="13">
        <v>2.5666666666666669</v>
      </c>
      <c r="W34" s="13">
        <v>128.33333333333334</v>
      </c>
      <c r="X34" s="13">
        <v>3.5</v>
      </c>
      <c r="Y34" s="14">
        <v>-0.77272727272727304</v>
      </c>
      <c r="Z34" s="15">
        <v>11</v>
      </c>
    </row>
    <row r="35" spans="1:26" ht="15.75" x14ac:dyDescent="0.25">
      <c r="A35" s="263"/>
      <c r="B35" s="266"/>
      <c r="C35" s="11"/>
      <c r="D35" s="22" t="s">
        <v>38</v>
      </c>
      <c r="E35" s="10">
        <v>30</v>
      </c>
      <c r="F35" s="11">
        <v>4</v>
      </c>
      <c r="G35" s="28">
        <v>4</v>
      </c>
      <c r="H35" s="11">
        <v>31</v>
      </c>
      <c r="I35" s="11">
        <v>2</v>
      </c>
      <c r="J35" s="11">
        <v>37</v>
      </c>
      <c r="K35" s="11">
        <v>1</v>
      </c>
      <c r="L35" s="11">
        <v>33</v>
      </c>
      <c r="M35" s="12">
        <v>0</v>
      </c>
      <c r="N35" s="11">
        <v>0</v>
      </c>
      <c r="O35" s="11">
        <v>0</v>
      </c>
      <c r="P35" s="12">
        <v>34</v>
      </c>
      <c r="Q35" s="11">
        <v>104</v>
      </c>
      <c r="R35" s="11">
        <v>0</v>
      </c>
      <c r="S35" s="11">
        <v>110</v>
      </c>
      <c r="T35" s="12">
        <v>3</v>
      </c>
      <c r="U35" s="12">
        <v>33</v>
      </c>
      <c r="V35" s="13">
        <v>3.6666666666666665</v>
      </c>
      <c r="W35" s="13">
        <v>91.666666666666657</v>
      </c>
      <c r="X35" s="13">
        <v>3.3333333333333335</v>
      </c>
      <c r="Y35" s="14">
        <v>0.30303030303030315</v>
      </c>
      <c r="Z35" s="15">
        <v>8.25</v>
      </c>
    </row>
    <row r="36" spans="1:26" ht="15.75" x14ac:dyDescent="0.25">
      <c r="A36" s="263"/>
      <c r="B36" s="266"/>
      <c r="C36" s="11"/>
      <c r="D36" s="22" t="s">
        <v>34</v>
      </c>
      <c r="E36" s="10">
        <v>30</v>
      </c>
      <c r="F36" s="11">
        <v>12</v>
      </c>
      <c r="G36" s="28">
        <v>12</v>
      </c>
      <c r="H36" s="11">
        <v>81</v>
      </c>
      <c r="I36" s="11">
        <v>7</v>
      </c>
      <c r="J36" s="11">
        <v>100</v>
      </c>
      <c r="K36" s="11">
        <v>0</v>
      </c>
      <c r="L36" s="11">
        <v>88</v>
      </c>
      <c r="M36" s="12">
        <v>4</v>
      </c>
      <c r="N36" s="11">
        <v>2</v>
      </c>
      <c r="O36" s="11">
        <v>2</v>
      </c>
      <c r="P36" s="12">
        <v>92</v>
      </c>
      <c r="Q36" s="11">
        <v>350</v>
      </c>
      <c r="R36" s="11">
        <v>0</v>
      </c>
      <c r="S36" s="11">
        <v>333</v>
      </c>
      <c r="T36" s="12">
        <v>8</v>
      </c>
      <c r="U36" s="12">
        <v>92</v>
      </c>
      <c r="V36" s="13">
        <v>11.1</v>
      </c>
      <c r="W36" s="13">
        <v>92.5</v>
      </c>
      <c r="X36" s="13">
        <v>3.6195652173913042</v>
      </c>
      <c r="Y36" s="14">
        <v>0.29347826086956535</v>
      </c>
      <c r="Z36" s="15">
        <v>7.666666666666667</v>
      </c>
    </row>
    <row r="37" spans="1:26" ht="15.75" x14ac:dyDescent="0.25">
      <c r="A37" s="264"/>
      <c r="B37" s="266"/>
      <c r="C37" s="17" t="s">
        <v>49</v>
      </c>
      <c r="D37" s="16"/>
      <c r="E37" s="10">
        <v>30</v>
      </c>
      <c r="F37" s="17">
        <v>19</v>
      </c>
      <c r="G37" s="17">
        <v>19</v>
      </c>
      <c r="H37" s="17">
        <v>132</v>
      </c>
      <c r="I37" s="17">
        <v>10</v>
      </c>
      <c r="J37" s="17">
        <v>161</v>
      </c>
      <c r="K37" s="17">
        <v>1</v>
      </c>
      <c r="L37" s="17">
        <v>142</v>
      </c>
      <c r="M37" s="18">
        <v>5</v>
      </c>
      <c r="N37" s="17">
        <v>3</v>
      </c>
      <c r="O37" s="17">
        <v>2</v>
      </c>
      <c r="P37" s="18">
        <v>148</v>
      </c>
      <c r="Q37" s="17">
        <v>533</v>
      </c>
      <c r="R37" s="17">
        <v>0</v>
      </c>
      <c r="S37" s="17">
        <v>520</v>
      </c>
      <c r="T37" s="18">
        <v>13</v>
      </c>
      <c r="U37" s="18">
        <v>147</v>
      </c>
      <c r="V37" s="19">
        <v>17.333333333333332</v>
      </c>
      <c r="W37" s="19">
        <v>91.228070175438589</v>
      </c>
      <c r="X37" s="19">
        <v>3.5374149659863945</v>
      </c>
      <c r="Y37" s="20">
        <v>0.34013605442176897</v>
      </c>
      <c r="Z37" s="20">
        <v>7.7368421052631575</v>
      </c>
    </row>
    <row r="38" spans="1:26" ht="15.75" x14ac:dyDescent="0.25">
      <c r="A38" s="231">
        <v>11</v>
      </c>
      <c r="B38" s="266"/>
      <c r="C38" s="254" t="s">
        <v>50</v>
      </c>
      <c r="D38" s="22" t="s">
        <v>51</v>
      </c>
      <c r="E38" s="10">
        <v>30</v>
      </c>
      <c r="F38" s="10">
        <v>6</v>
      </c>
      <c r="G38" s="28">
        <v>8</v>
      </c>
      <c r="H38" s="11">
        <v>33</v>
      </c>
      <c r="I38" s="11">
        <v>5</v>
      </c>
      <c r="J38" s="11">
        <v>46</v>
      </c>
      <c r="K38" s="11">
        <v>2</v>
      </c>
      <c r="L38" s="11">
        <v>35</v>
      </c>
      <c r="M38" s="12">
        <v>2</v>
      </c>
      <c r="N38" s="11">
        <v>1</v>
      </c>
      <c r="O38" s="11">
        <v>1</v>
      </c>
      <c r="P38" s="12">
        <v>39</v>
      </c>
      <c r="Q38" s="11">
        <v>144</v>
      </c>
      <c r="R38" s="11">
        <v>0</v>
      </c>
      <c r="S38" s="11">
        <v>190</v>
      </c>
      <c r="T38" s="12">
        <v>7</v>
      </c>
      <c r="U38" s="12">
        <v>37</v>
      </c>
      <c r="V38" s="13">
        <v>6.333333333333333</v>
      </c>
      <c r="W38" s="13">
        <v>105.55555555555556</v>
      </c>
      <c r="X38" s="13">
        <v>5.1351351351351351</v>
      </c>
      <c r="Y38" s="14">
        <v>-0.27027027027027001</v>
      </c>
      <c r="Z38" s="15">
        <v>6.166666666666667</v>
      </c>
    </row>
    <row r="39" spans="1:26" ht="15.75" x14ac:dyDescent="0.25">
      <c r="A39" s="231"/>
      <c r="B39" s="266"/>
      <c r="C39" s="254"/>
      <c r="D39" s="22" t="s">
        <v>52</v>
      </c>
      <c r="E39" s="10">
        <v>30</v>
      </c>
      <c r="F39" s="10">
        <v>8</v>
      </c>
      <c r="G39" s="28">
        <v>4</v>
      </c>
      <c r="H39" s="11">
        <v>58</v>
      </c>
      <c r="I39" s="11">
        <v>6</v>
      </c>
      <c r="J39" s="11">
        <v>68</v>
      </c>
      <c r="K39" s="11">
        <v>11</v>
      </c>
      <c r="L39" s="11">
        <v>53</v>
      </c>
      <c r="M39" s="12">
        <v>2</v>
      </c>
      <c r="N39" s="11">
        <v>1</v>
      </c>
      <c r="O39" s="11">
        <v>1</v>
      </c>
      <c r="P39" s="12">
        <v>66</v>
      </c>
      <c r="Q39" s="11">
        <v>178</v>
      </c>
      <c r="R39" s="11">
        <v>1</v>
      </c>
      <c r="S39" s="11">
        <v>137</v>
      </c>
      <c r="T39" s="12">
        <v>2</v>
      </c>
      <c r="U39" s="12">
        <v>55</v>
      </c>
      <c r="V39" s="13">
        <v>4.5666666666666664</v>
      </c>
      <c r="W39" s="13">
        <v>57.083333333333329</v>
      </c>
      <c r="X39" s="13">
        <v>2.4909090909090907</v>
      </c>
      <c r="Y39" s="14">
        <v>1.8727272727272728</v>
      </c>
      <c r="Z39" s="15">
        <v>6.875</v>
      </c>
    </row>
    <row r="40" spans="1:26" ht="15.75" x14ac:dyDescent="0.25">
      <c r="A40" s="231"/>
      <c r="B40" s="266"/>
      <c r="C40" s="254"/>
      <c r="D40" s="22" t="s">
        <v>53</v>
      </c>
      <c r="E40" s="10">
        <v>30</v>
      </c>
      <c r="F40" s="10">
        <v>14</v>
      </c>
      <c r="G40" s="28">
        <v>13</v>
      </c>
      <c r="H40" s="11">
        <v>84</v>
      </c>
      <c r="I40" s="11">
        <v>7</v>
      </c>
      <c r="J40" s="11">
        <v>104</v>
      </c>
      <c r="K40" s="11">
        <v>12</v>
      </c>
      <c r="L40" s="11">
        <v>80</v>
      </c>
      <c r="M40" s="12">
        <v>6</v>
      </c>
      <c r="N40" s="11">
        <v>4</v>
      </c>
      <c r="O40" s="11">
        <v>2</v>
      </c>
      <c r="P40" s="12">
        <v>98</v>
      </c>
      <c r="Q40" s="11">
        <v>280</v>
      </c>
      <c r="R40" s="11">
        <v>1</v>
      </c>
      <c r="S40" s="11">
        <v>287</v>
      </c>
      <c r="T40" s="12">
        <v>6</v>
      </c>
      <c r="U40" s="12">
        <v>86</v>
      </c>
      <c r="V40" s="13">
        <v>9.5666666666666664</v>
      </c>
      <c r="W40" s="13">
        <v>68.333333333333329</v>
      </c>
      <c r="X40" s="13">
        <v>3.3372093023255816</v>
      </c>
      <c r="Y40" s="23">
        <v>1.5465116279069768</v>
      </c>
      <c r="Z40" s="24">
        <v>6.1428571428571432</v>
      </c>
    </row>
    <row r="41" spans="1:26" ht="15.75" x14ac:dyDescent="0.25">
      <c r="A41" s="231"/>
      <c r="B41" s="266"/>
      <c r="C41" s="254"/>
      <c r="D41" s="22"/>
      <c r="E41" s="10"/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30</v>
      </c>
      <c r="F42" s="17">
        <v>28</v>
      </c>
      <c r="G42" s="17">
        <v>25</v>
      </c>
      <c r="H42" s="17">
        <v>175</v>
      </c>
      <c r="I42" s="17">
        <v>18</v>
      </c>
      <c r="J42" s="17">
        <v>218</v>
      </c>
      <c r="K42" s="17">
        <v>25</v>
      </c>
      <c r="L42" s="17">
        <v>168</v>
      </c>
      <c r="M42" s="18">
        <v>10</v>
      </c>
      <c r="N42" s="17">
        <v>6</v>
      </c>
      <c r="O42" s="17">
        <v>4</v>
      </c>
      <c r="P42" s="18">
        <v>203</v>
      </c>
      <c r="Q42" s="17">
        <v>602</v>
      </c>
      <c r="R42" s="17">
        <v>2</v>
      </c>
      <c r="S42" s="17">
        <v>614</v>
      </c>
      <c r="T42" s="18">
        <v>15</v>
      </c>
      <c r="U42" s="18">
        <v>178</v>
      </c>
      <c r="V42" s="19">
        <v>20.466666666666665</v>
      </c>
      <c r="W42" s="19">
        <v>73.095238095238088</v>
      </c>
      <c r="X42" s="19">
        <v>3.4494382022471912</v>
      </c>
      <c r="Y42" s="20">
        <v>1.2696629213483148</v>
      </c>
      <c r="Z42" s="20">
        <v>6.3571428571428568</v>
      </c>
    </row>
    <row r="43" spans="1:26" ht="15.75" x14ac:dyDescent="0.25">
      <c r="A43" s="59"/>
      <c r="B43" s="266"/>
      <c r="C43" s="11"/>
      <c r="D43" s="22" t="s">
        <v>40</v>
      </c>
      <c r="E43" s="11">
        <v>30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4" t="e">
        <v>#DIV/0!</v>
      </c>
      <c r="Z43" s="15">
        <v>0</v>
      </c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30</v>
      </c>
      <c r="F44" s="10">
        <v>13</v>
      </c>
      <c r="G44" s="28">
        <v>13</v>
      </c>
      <c r="H44" s="11">
        <v>102</v>
      </c>
      <c r="I44" s="11">
        <v>22</v>
      </c>
      <c r="J44" s="11">
        <v>137</v>
      </c>
      <c r="K44" s="11">
        <v>19</v>
      </c>
      <c r="L44" s="11">
        <v>102</v>
      </c>
      <c r="M44" s="12">
        <v>7</v>
      </c>
      <c r="N44" s="11">
        <v>3</v>
      </c>
      <c r="O44" s="11">
        <v>4</v>
      </c>
      <c r="P44" s="12">
        <v>128</v>
      </c>
      <c r="Q44" s="11">
        <v>350</v>
      </c>
      <c r="R44" s="11">
        <v>1</v>
      </c>
      <c r="S44" s="11">
        <v>361</v>
      </c>
      <c r="T44" s="12">
        <v>9</v>
      </c>
      <c r="U44" s="12">
        <v>109</v>
      </c>
      <c r="V44" s="13">
        <v>12.033333333333333</v>
      </c>
      <c r="W44" s="13">
        <v>92.564102564102569</v>
      </c>
      <c r="X44" s="13">
        <v>3.3119266055045871</v>
      </c>
      <c r="Y44" s="14">
        <v>0.26605504587155965</v>
      </c>
      <c r="Z44" s="15">
        <v>8.384615384615385</v>
      </c>
    </row>
    <row r="45" spans="1:26" ht="15.75" x14ac:dyDescent="0.25">
      <c r="A45" s="231"/>
      <c r="B45" s="266"/>
      <c r="C45" s="10"/>
      <c r="D45" s="21" t="s">
        <v>55</v>
      </c>
      <c r="E45" s="10">
        <v>30</v>
      </c>
      <c r="F45" s="10">
        <v>2</v>
      </c>
      <c r="G45" s="28">
        <v>0</v>
      </c>
      <c r="H45" s="11">
        <v>2</v>
      </c>
      <c r="I45" s="11">
        <v>1</v>
      </c>
      <c r="J45" s="11">
        <v>3</v>
      </c>
      <c r="K45" s="11">
        <v>2</v>
      </c>
      <c r="L45" s="11">
        <v>1</v>
      </c>
      <c r="M45" s="12">
        <v>0</v>
      </c>
      <c r="N45" s="11">
        <v>0</v>
      </c>
      <c r="O45" s="11">
        <v>0</v>
      </c>
      <c r="P45" s="12">
        <v>3</v>
      </c>
      <c r="Q45" s="11">
        <v>7</v>
      </c>
      <c r="R45" s="11">
        <v>0</v>
      </c>
      <c r="S45" s="11">
        <v>7</v>
      </c>
      <c r="T45" s="12">
        <v>0</v>
      </c>
      <c r="U45" s="12">
        <v>1</v>
      </c>
      <c r="V45" s="13">
        <v>0.23333333333333334</v>
      </c>
      <c r="W45" s="13">
        <v>11.666666666666666</v>
      </c>
      <c r="X45" s="13">
        <v>7</v>
      </c>
      <c r="Y45" s="14">
        <v>53</v>
      </c>
      <c r="Z45" s="15">
        <v>0.5</v>
      </c>
    </row>
    <row r="46" spans="1:26" ht="15.75" x14ac:dyDescent="0.25">
      <c r="A46" s="231"/>
      <c r="B46" s="266"/>
      <c r="C46" s="17" t="s">
        <v>54</v>
      </c>
      <c r="D46" s="16"/>
      <c r="E46" s="10">
        <v>30</v>
      </c>
      <c r="F46" s="17">
        <v>17</v>
      </c>
      <c r="G46" s="17">
        <v>13</v>
      </c>
      <c r="H46" s="17">
        <v>104</v>
      </c>
      <c r="I46" s="17">
        <v>23</v>
      </c>
      <c r="J46" s="17">
        <v>140</v>
      </c>
      <c r="K46" s="17">
        <v>21</v>
      </c>
      <c r="L46" s="17">
        <v>103</v>
      </c>
      <c r="M46" s="18">
        <v>7</v>
      </c>
      <c r="N46" s="17">
        <v>3</v>
      </c>
      <c r="O46" s="17">
        <v>4</v>
      </c>
      <c r="P46" s="18">
        <v>131</v>
      </c>
      <c r="Q46" s="17">
        <v>357</v>
      </c>
      <c r="R46" s="17">
        <v>1</v>
      </c>
      <c r="S46" s="17">
        <v>368</v>
      </c>
      <c r="T46" s="18">
        <v>9</v>
      </c>
      <c r="U46" s="18">
        <v>110</v>
      </c>
      <c r="V46" s="25">
        <v>12.266666666666667</v>
      </c>
      <c r="W46" s="19">
        <v>72.156862745098053</v>
      </c>
      <c r="X46" s="19">
        <v>3.3454545454545452</v>
      </c>
      <c r="Y46" s="20">
        <v>1.2909090909090906</v>
      </c>
      <c r="Z46" s="20">
        <v>6.4705882352941178</v>
      </c>
    </row>
    <row r="47" spans="1:26" ht="15.75" customHeight="1" x14ac:dyDescent="0.25">
      <c r="A47" s="245">
        <v>13</v>
      </c>
      <c r="B47" s="266"/>
      <c r="C47" s="257" t="s">
        <v>56</v>
      </c>
      <c r="D47" s="22" t="s">
        <v>57</v>
      </c>
      <c r="E47" s="10">
        <v>30</v>
      </c>
      <c r="F47" s="11">
        <v>2</v>
      </c>
      <c r="G47" s="28">
        <v>0</v>
      </c>
      <c r="H47" s="11">
        <v>2</v>
      </c>
      <c r="I47" s="11">
        <v>0</v>
      </c>
      <c r="J47" s="11">
        <v>2</v>
      </c>
      <c r="K47" s="11">
        <v>0</v>
      </c>
      <c r="L47" s="11">
        <v>1</v>
      </c>
      <c r="M47" s="12">
        <v>1</v>
      </c>
      <c r="N47" s="11">
        <v>0</v>
      </c>
      <c r="O47" s="11">
        <v>1</v>
      </c>
      <c r="P47" s="12">
        <v>2</v>
      </c>
      <c r="Q47" s="11">
        <v>12</v>
      </c>
      <c r="R47" s="11">
        <v>0</v>
      </c>
      <c r="S47" s="11">
        <v>12</v>
      </c>
      <c r="T47" s="12">
        <v>0</v>
      </c>
      <c r="U47" s="12">
        <v>2</v>
      </c>
      <c r="V47" s="13">
        <v>0.4</v>
      </c>
      <c r="W47" s="13">
        <v>20</v>
      </c>
      <c r="X47" s="13">
        <v>6</v>
      </c>
      <c r="Y47" s="14">
        <v>24</v>
      </c>
      <c r="Z47" s="15">
        <v>1</v>
      </c>
    </row>
    <row r="48" spans="1:26" ht="15.75" x14ac:dyDescent="0.25">
      <c r="A48" s="246"/>
      <c r="B48" s="266"/>
      <c r="C48" s="257"/>
      <c r="D48" s="99" t="s">
        <v>58</v>
      </c>
      <c r="E48" s="10">
        <v>30</v>
      </c>
      <c r="F48" s="26">
        <v>3</v>
      </c>
      <c r="G48" s="56">
        <v>0</v>
      </c>
      <c r="H48" s="26">
        <v>10</v>
      </c>
      <c r="I48" s="26">
        <v>0</v>
      </c>
      <c r="J48" s="11">
        <v>10</v>
      </c>
      <c r="K48" s="26">
        <v>0</v>
      </c>
      <c r="L48" s="26">
        <v>7</v>
      </c>
      <c r="M48" s="12">
        <v>3</v>
      </c>
      <c r="N48" s="26">
        <v>2</v>
      </c>
      <c r="O48" s="26">
        <v>1</v>
      </c>
      <c r="P48" s="12">
        <v>10</v>
      </c>
      <c r="Q48" s="26">
        <v>36</v>
      </c>
      <c r="R48" s="26">
        <v>0</v>
      </c>
      <c r="S48" s="26">
        <v>31</v>
      </c>
      <c r="T48" s="12">
        <v>0</v>
      </c>
      <c r="U48" s="12">
        <v>10</v>
      </c>
      <c r="V48" s="13">
        <v>1.0333333333333334</v>
      </c>
      <c r="W48" s="13">
        <v>34.44444444444445</v>
      </c>
      <c r="X48" s="13">
        <v>3.1</v>
      </c>
      <c r="Y48" s="14">
        <v>5.9</v>
      </c>
      <c r="Z48" s="15">
        <v>3.3333333333333335</v>
      </c>
    </row>
    <row r="49" spans="1:26" ht="15.75" x14ac:dyDescent="0.25">
      <c r="A49" s="246"/>
      <c r="B49" s="266"/>
      <c r="C49" s="257"/>
      <c r="D49" s="99" t="s">
        <v>59</v>
      </c>
      <c r="E49" s="10">
        <v>30</v>
      </c>
      <c r="F49" s="26">
        <v>2</v>
      </c>
      <c r="G49" s="56">
        <v>1</v>
      </c>
      <c r="H49" s="26">
        <v>6</v>
      </c>
      <c r="I49" s="26">
        <v>0</v>
      </c>
      <c r="J49" s="11">
        <v>7</v>
      </c>
      <c r="K49" s="26">
        <v>3</v>
      </c>
      <c r="L49" s="26">
        <v>3</v>
      </c>
      <c r="M49" s="12">
        <v>0</v>
      </c>
      <c r="N49" s="26">
        <v>0</v>
      </c>
      <c r="O49" s="26">
        <v>0</v>
      </c>
      <c r="P49" s="12">
        <v>6</v>
      </c>
      <c r="Q49" s="26">
        <v>9</v>
      </c>
      <c r="R49" s="26">
        <v>0</v>
      </c>
      <c r="S49" s="26">
        <v>13</v>
      </c>
      <c r="T49" s="12">
        <v>1</v>
      </c>
      <c r="U49" s="12">
        <v>3</v>
      </c>
      <c r="V49" s="13">
        <v>0.43333333333333335</v>
      </c>
      <c r="W49" s="13">
        <v>21.666666666666668</v>
      </c>
      <c r="X49" s="13">
        <v>4.333333333333333</v>
      </c>
      <c r="Y49" s="14">
        <v>15.666666666666666</v>
      </c>
      <c r="Z49" s="15">
        <v>1.5</v>
      </c>
    </row>
    <row r="50" spans="1:26" ht="15.75" x14ac:dyDescent="0.25">
      <c r="A50" s="246"/>
      <c r="B50" s="266"/>
      <c r="C50" s="257"/>
      <c r="D50" s="99" t="s">
        <v>60</v>
      </c>
      <c r="E50" s="10">
        <v>30</v>
      </c>
      <c r="F50" s="26">
        <v>10</v>
      </c>
      <c r="G50" s="56">
        <v>5</v>
      </c>
      <c r="H50" s="26">
        <v>62</v>
      </c>
      <c r="I50" s="26">
        <v>5</v>
      </c>
      <c r="J50" s="11">
        <v>72</v>
      </c>
      <c r="K50" s="26">
        <v>1</v>
      </c>
      <c r="L50" s="26">
        <v>43</v>
      </c>
      <c r="M50" s="12">
        <v>18</v>
      </c>
      <c r="N50" s="26">
        <v>9</v>
      </c>
      <c r="O50" s="26">
        <v>9</v>
      </c>
      <c r="P50" s="12">
        <v>62</v>
      </c>
      <c r="Q50" s="26">
        <v>232</v>
      </c>
      <c r="R50" s="26">
        <v>1</v>
      </c>
      <c r="S50" s="26">
        <v>224</v>
      </c>
      <c r="T50" s="12">
        <v>10</v>
      </c>
      <c r="U50" s="12">
        <v>61</v>
      </c>
      <c r="V50" s="13">
        <v>7.4666666666666668</v>
      </c>
      <c r="W50" s="13">
        <v>74.666666666666671</v>
      </c>
      <c r="X50" s="13">
        <v>3.6721311475409837</v>
      </c>
      <c r="Y50" s="14">
        <v>1.2459016393442623</v>
      </c>
      <c r="Z50" s="15">
        <v>6.1</v>
      </c>
    </row>
    <row r="51" spans="1:26" ht="15.75" x14ac:dyDescent="0.25">
      <c r="A51" s="247"/>
      <c r="B51" s="266"/>
      <c r="C51" s="17" t="s">
        <v>61</v>
      </c>
      <c r="D51" s="16"/>
      <c r="E51" s="10">
        <v>30</v>
      </c>
      <c r="F51" s="17">
        <v>17</v>
      </c>
      <c r="G51" s="17">
        <v>6</v>
      </c>
      <c r="H51" s="17">
        <v>80</v>
      </c>
      <c r="I51" s="17">
        <v>5</v>
      </c>
      <c r="J51" s="17">
        <v>91</v>
      </c>
      <c r="K51" s="17">
        <v>4</v>
      </c>
      <c r="L51" s="17">
        <v>54</v>
      </c>
      <c r="M51" s="18">
        <v>22</v>
      </c>
      <c r="N51" s="17">
        <v>11</v>
      </c>
      <c r="O51" s="17">
        <v>11</v>
      </c>
      <c r="P51" s="18">
        <v>80</v>
      </c>
      <c r="Q51" s="17">
        <v>289</v>
      </c>
      <c r="R51" s="17">
        <v>1</v>
      </c>
      <c r="S51" s="17">
        <v>280</v>
      </c>
      <c r="T51" s="18">
        <v>11</v>
      </c>
      <c r="U51" s="18">
        <v>76</v>
      </c>
      <c r="V51" s="19">
        <v>9.3333333333333339</v>
      </c>
      <c r="W51" s="19">
        <v>54.901960784313729</v>
      </c>
      <c r="X51" s="19">
        <v>3.6842105263157894</v>
      </c>
      <c r="Y51" s="20">
        <v>3.0263157894736836</v>
      </c>
      <c r="Z51" s="20">
        <v>4.4705882352941178</v>
      </c>
    </row>
    <row r="52" spans="1:26" ht="15.75" x14ac:dyDescent="0.25">
      <c r="A52" s="145"/>
      <c r="B52" s="266"/>
      <c r="C52" s="17"/>
      <c r="D52" s="16"/>
      <c r="E52" s="10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30</v>
      </c>
      <c r="F53" s="11">
        <v>8</v>
      </c>
      <c r="G53" s="28">
        <v>2</v>
      </c>
      <c r="H53" s="11">
        <v>27</v>
      </c>
      <c r="I53" s="11">
        <v>5</v>
      </c>
      <c r="J53" s="11">
        <v>34</v>
      </c>
      <c r="K53" s="11">
        <v>2</v>
      </c>
      <c r="L53" s="11">
        <v>24</v>
      </c>
      <c r="M53" s="12">
        <v>3</v>
      </c>
      <c r="N53" s="11">
        <v>2</v>
      </c>
      <c r="O53" s="11">
        <v>1</v>
      </c>
      <c r="P53" s="12">
        <v>29</v>
      </c>
      <c r="Q53" s="11">
        <v>78</v>
      </c>
      <c r="R53" s="11">
        <v>1</v>
      </c>
      <c r="S53" s="11">
        <v>93</v>
      </c>
      <c r="T53" s="12">
        <v>5</v>
      </c>
      <c r="U53" s="12">
        <v>27</v>
      </c>
      <c r="V53" s="13">
        <v>3.1</v>
      </c>
      <c r="W53" s="24">
        <v>38.75</v>
      </c>
      <c r="X53" s="24">
        <v>3.4444444444444446</v>
      </c>
      <c r="Y53" s="23">
        <v>5.4444444444444446</v>
      </c>
      <c r="Z53" s="24">
        <v>3.375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">
        <v>30</v>
      </c>
      <c r="F54" s="17">
        <v>8</v>
      </c>
      <c r="G54" s="17">
        <v>2</v>
      </c>
      <c r="H54" s="17">
        <v>27</v>
      </c>
      <c r="I54" s="17">
        <v>5</v>
      </c>
      <c r="J54" s="17">
        <v>34</v>
      </c>
      <c r="K54" s="17">
        <v>2</v>
      </c>
      <c r="L54" s="17">
        <v>24</v>
      </c>
      <c r="M54" s="18">
        <v>3</v>
      </c>
      <c r="N54" s="17">
        <v>2</v>
      </c>
      <c r="O54" s="17">
        <v>1</v>
      </c>
      <c r="P54" s="18">
        <v>29</v>
      </c>
      <c r="Q54" s="17">
        <v>78</v>
      </c>
      <c r="R54" s="17">
        <v>1</v>
      </c>
      <c r="S54" s="17">
        <v>93</v>
      </c>
      <c r="T54" s="18">
        <v>5</v>
      </c>
      <c r="U54" s="18">
        <v>27</v>
      </c>
      <c r="V54" s="19">
        <v>3.1</v>
      </c>
      <c r="W54" s="27">
        <v>38.75</v>
      </c>
      <c r="X54" s="27">
        <v>3.4444444444444446</v>
      </c>
      <c r="Y54" s="27">
        <v>5.4444444444444446</v>
      </c>
      <c r="Z54" s="27">
        <v>3.375</v>
      </c>
    </row>
    <row r="55" spans="1:26" ht="15.75" x14ac:dyDescent="0.25">
      <c r="A55" s="59"/>
      <c r="B55" s="266"/>
      <c r="C55" s="262" t="s">
        <v>63</v>
      </c>
      <c r="D55" s="22" t="s">
        <v>40</v>
      </c>
      <c r="E55" s="11">
        <v>30</v>
      </c>
      <c r="F55" s="11">
        <v>4</v>
      </c>
      <c r="G55" s="11">
        <v>0</v>
      </c>
      <c r="H55" s="11">
        <v>0</v>
      </c>
      <c r="I55" s="11">
        <v>0</v>
      </c>
      <c r="J55" s="11"/>
      <c r="K55" s="11">
        <v>0</v>
      </c>
      <c r="L55" s="11">
        <v>0</v>
      </c>
      <c r="M55" s="12"/>
      <c r="N55" s="11">
        <v>0</v>
      </c>
      <c r="O55" s="11">
        <v>0</v>
      </c>
      <c r="P55" s="12"/>
      <c r="Q55" s="11">
        <v>0</v>
      </c>
      <c r="R55" s="11">
        <v>0</v>
      </c>
      <c r="S55" s="11">
        <v>0</v>
      </c>
      <c r="T55" s="12">
        <v>0</v>
      </c>
      <c r="U55" s="12">
        <v>0</v>
      </c>
      <c r="V55" s="13">
        <v>0</v>
      </c>
      <c r="W55" s="13">
        <v>0</v>
      </c>
      <c r="X55" s="13" t="e">
        <v>#DIV/0!</v>
      </c>
      <c r="Y55" s="14" t="e">
        <v>#DIV/0!</v>
      </c>
      <c r="Z55" s="15">
        <v>0</v>
      </c>
    </row>
    <row r="56" spans="1:26" ht="15.75" x14ac:dyDescent="0.25">
      <c r="A56" s="231">
        <v>15</v>
      </c>
      <c r="B56" s="266"/>
      <c r="C56" s="264"/>
      <c r="D56" s="22" t="s">
        <v>34</v>
      </c>
      <c r="E56" s="10">
        <v>30</v>
      </c>
      <c r="F56" s="11">
        <v>12</v>
      </c>
      <c r="G56" s="28">
        <v>17</v>
      </c>
      <c r="H56" s="11">
        <v>84</v>
      </c>
      <c r="I56" s="11">
        <v>18</v>
      </c>
      <c r="J56" s="11">
        <v>119</v>
      </c>
      <c r="K56" s="11">
        <v>7</v>
      </c>
      <c r="L56" s="11">
        <v>92</v>
      </c>
      <c r="M56" s="11">
        <v>11</v>
      </c>
      <c r="N56" s="11">
        <v>8</v>
      </c>
      <c r="O56" s="11">
        <v>3</v>
      </c>
      <c r="P56" s="11">
        <v>110</v>
      </c>
      <c r="Q56" s="11">
        <v>363</v>
      </c>
      <c r="R56" s="11">
        <v>0</v>
      </c>
      <c r="S56" s="11">
        <v>369</v>
      </c>
      <c r="T56" s="11">
        <v>9</v>
      </c>
      <c r="U56" s="11">
        <v>103</v>
      </c>
      <c r="V56" s="15">
        <v>12.3</v>
      </c>
      <c r="W56" s="15">
        <v>102.50000000000001</v>
      </c>
      <c r="X56" s="15">
        <v>3.5825242718446604</v>
      </c>
      <c r="Y56" s="14">
        <v>-8.737864077669924E-2</v>
      </c>
      <c r="Z56" s="15">
        <v>8.5833333333333339</v>
      </c>
    </row>
    <row r="57" spans="1:26" ht="15.75" x14ac:dyDescent="0.25">
      <c r="A57" s="231"/>
      <c r="B57" s="266"/>
      <c r="C57" s="17" t="s">
        <v>63</v>
      </c>
      <c r="D57" s="16"/>
      <c r="E57" s="10">
        <v>30</v>
      </c>
      <c r="F57" s="17">
        <v>16</v>
      </c>
      <c r="G57" s="17">
        <v>17</v>
      </c>
      <c r="H57" s="17">
        <v>84</v>
      </c>
      <c r="I57" s="17">
        <v>18</v>
      </c>
      <c r="J57" s="17">
        <v>119</v>
      </c>
      <c r="K57" s="17">
        <v>7</v>
      </c>
      <c r="L57" s="17">
        <v>92</v>
      </c>
      <c r="M57" s="17">
        <v>11</v>
      </c>
      <c r="N57" s="17">
        <v>8</v>
      </c>
      <c r="O57" s="17">
        <v>3</v>
      </c>
      <c r="P57" s="17">
        <v>110</v>
      </c>
      <c r="Q57" s="17">
        <v>363</v>
      </c>
      <c r="R57" s="17">
        <v>0</v>
      </c>
      <c r="S57" s="17">
        <v>369</v>
      </c>
      <c r="T57" s="17">
        <v>9</v>
      </c>
      <c r="U57" s="17">
        <v>103</v>
      </c>
      <c r="V57" s="20">
        <v>12.3</v>
      </c>
      <c r="W57" s="20">
        <v>76.875</v>
      </c>
      <c r="X57" s="20">
        <v>3.5825242718446604</v>
      </c>
      <c r="Y57" s="20">
        <v>1.0776699029126211</v>
      </c>
      <c r="Z57" s="20">
        <v>6.4375</v>
      </c>
    </row>
    <row r="58" spans="1:26" ht="15.75" x14ac:dyDescent="0.25">
      <c r="A58" s="59"/>
      <c r="B58" s="266"/>
      <c r="C58" s="248" t="s">
        <v>64</v>
      </c>
      <c r="D58" s="22" t="s">
        <v>55</v>
      </c>
      <c r="E58" s="11">
        <v>30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>
        <v>0</v>
      </c>
      <c r="U58" s="12">
        <v>0</v>
      </c>
      <c r="V58" s="13">
        <v>0</v>
      </c>
      <c r="W58" s="13" t="e">
        <v>#DIV/0!</v>
      </c>
      <c r="X58" s="13" t="e">
        <v>#DIV/0!</v>
      </c>
      <c r="Y58" s="14" t="e">
        <v>#DIV/0!</v>
      </c>
      <c r="Z58" s="15" t="e">
        <v>#DIV/0!</v>
      </c>
    </row>
    <row r="59" spans="1:26" ht="15.75" x14ac:dyDescent="0.25">
      <c r="A59" s="253">
        <v>16</v>
      </c>
      <c r="B59" s="266"/>
      <c r="C59" s="249"/>
      <c r="D59" s="21" t="s">
        <v>48</v>
      </c>
      <c r="E59" s="10">
        <v>30</v>
      </c>
      <c r="F59" s="10">
        <v>2</v>
      </c>
      <c r="G59" s="28">
        <v>0</v>
      </c>
      <c r="H59" s="10">
        <v>3</v>
      </c>
      <c r="I59" s="10">
        <v>2</v>
      </c>
      <c r="J59" s="11">
        <v>5</v>
      </c>
      <c r="K59" s="10">
        <v>1</v>
      </c>
      <c r="L59" s="10">
        <v>4</v>
      </c>
      <c r="M59" s="11">
        <v>0</v>
      </c>
      <c r="N59" s="10">
        <v>0</v>
      </c>
      <c r="O59" s="10">
        <v>0</v>
      </c>
      <c r="P59" s="11">
        <v>5</v>
      </c>
      <c r="Q59" s="10">
        <v>11</v>
      </c>
      <c r="R59" s="10">
        <v>0</v>
      </c>
      <c r="S59" s="10">
        <v>7</v>
      </c>
      <c r="T59" s="12">
        <v>0</v>
      </c>
      <c r="U59" s="12">
        <v>4</v>
      </c>
      <c r="V59" s="13">
        <v>0.23333333333333334</v>
      </c>
      <c r="W59" s="24">
        <v>11.666666666666666</v>
      </c>
      <c r="X59" s="24">
        <v>1.75</v>
      </c>
      <c r="Y59" s="23">
        <v>13.25</v>
      </c>
      <c r="Z59" s="24">
        <v>2</v>
      </c>
    </row>
    <row r="60" spans="1:26" ht="15.75" x14ac:dyDescent="0.25">
      <c r="A60" s="253"/>
      <c r="B60" s="266"/>
      <c r="C60" s="249"/>
      <c r="D60" s="21" t="s">
        <v>38</v>
      </c>
      <c r="E60" s="10">
        <v>30</v>
      </c>
      <c r="F60" s="10">
        <v>8</v>
      </c>
      <c r="G60" s="28">
        <v>4</v>
      </c>
      <c r="H60" s="10">
        <v>18</v>
      </c>
      <c r="I60" s="10">
        <v>87</v>
      </c>
      <c r="J60" s="11">
        <v>109</v>
      </c>
      <c r="K60" s="10">
        <v>94</v>
      </c>
      <c r="L60" s="10">
        <v>10</v>
      </c>
      <c r="M60" s="11">
        <v>3</v>
      </c>
      <c r="N60" s="10">
        <v>2</v>
      </c>
      <c r="O60" s="10">
        <v>1</v>
      </c>
      <c r="P60" s="11">
        <v>107</v>
      </c>
      <c r="Q60" s="10">
        <v>29</v>
      </c>
      <c r="R60" s="10">
        <v>2</v>
      </c>
      <c r="S60" s="10">
        <v>115</v>
      </c>
      <c r="T60" s="12">
        <v>2</v>
      </c>
      <c r="U60" s="12">
        <v>13</v>
      </c>
      <c r="V60" s="13">
        <v>3.8333333333333335</v>
      </c>
      <c r="W60" s="24">
        <v>47.916666666666671</v>
      </c>
      <c r="X60" s="24">
        <v>8.8461538461538467</v>
      </c>
      <c r="Y60" s="23">
        <v>9.615384615384615</v>
      </c>
      <c r="Z60" s="24">
        <v>1.625</v>
      </c>
    </row>
    <row r="61" spans="1:26" ht="15.75" x14ac:dyDescent="0.25">
      <c r="A61" s="253"/>
      <c r="B61" s="266"/>
      <c r="C61" s="250"/>
      <c r="D61" s="21" t="s">
        <v>34</v>
      </c>
      <c r="E61" s="10">
        <v>30</v>
      </c>
      <c r="F61" s="10">
        <v>21</v>
      </c>
      <c r="G61" s="28">
        <v>16</v>
      </c>
      <c r="H61" s="10">
        <v>83</v>
      </c>
      <c r="I61" s="10">
        <v>199</v>
      </c>
      <c r="J61" s="11">
        <v>298</v>
      </c>
      <c r="K61" s="10">
        <v>41</v>
      </c>
      <c r="L61" s="10">
        <v>242</v>
      </c>
      <c r="M61" s="11">
        <v>1</v>
      </c>
      <c r="N61" s="10">
        <v>1</v>
      </c>
      <c r="O61" s="10">
        <v>0</v>
      </c>
      <c r="P61" s="11">
        <v>284</v>
      </c>
      <c r="Q61" s="10">
        <v>604</v>
      </c>
      <c r="R61" s="10">
        <v>2</v>
      </c>
      <c r="S61" s="10">
        <v>364</v>
      </c>
      <c r="T61" s="12">
        <v>14</v>
      </c>
      <c r="U61" s="12">
        <v>243</v>
      </c>
      <c r="V61" s="13">
        <v>12.133333333333333</v>
      </c>
      <c r="W61" s="24">
        <v>57.777777777777771</v>
      </c>
      <c r="X61" s="24">
        <v>1.4979423868312758</v>
      </c>
      <c r="Y61" s="23">
        <v>1.0946502057613168</v>
      </c>
      <c r="Z61" s="24">
        <v>11.571428571428571</v>
      </c>
    </row>
    <row r="62" spans="1:26" ht="15.75" x14ac:dyDescent="0.25">
      <c r="A62" s="253"/>
      <c r="B62" s="266"/>
      <c r="C62" s="17" t="s">
        <v>64</v>
      </c>
      <c r="D62" s="16"/>
      <c r="E62" s="10">
        <v>30</v>
      </c>
      <c r="F62" s="17">
        <v>31</v>
      </c>
      <c r="G62" s="17">
        <v>20</v>
      </c>
      <c r="H62" s="17">
        <v>104</v>
      </c>
      <c r="I62" s="17">
        <v>288</v>
      </c>
      <c r="J62" s="17">
        <v>412</v>
      </c>
      <c r="K62" s="17">
        <v>136</v>
      </c>
      <c r="L62" s="17">
        <v>256</v>
      </c>
      <c r="M62" s="17">
        <v>4</v>
      </c>
      <c r="N62" s="17">
        <v>3</v>
      </c>
      <c r="O62" s="17">
        <v>1</v>
      </c>
      <c r="P62" s="17">
        <v>396</v>
      </c>
      <c r="Q62" s="17">
        <v>644</v>
      </c>
      <c r="R62" s="17">
        <v>4</v>
      </c>
      <c r="S62" s="17">
        <v>486</v>
      </c>
      <c r="T62" s="17">
        <v>16</v>
      </c>
      <c r="U62" s="17">
        <v>260</v>
      </c>
      <c r="V62" s="20">
        <v>16.2</v>
      </c>
      <c r="W62" s="20">
        <v>52.258064516129032</v>
      </c>
      <c r="X62" s="20">
        <v>1.8692307692307693</v>
      </c>
      <c r="Y62" s="20">
        <v>1.7076923076923076</v>
      </c>
      <c r="Z62" s="20">
        <v>8.387096774193548</v>
      </c>
    </row>
    <row r="63" spans="1:26" ht="15.75" x14ac:dyDescent="0.25">
      <c r="A63" s="253">
        <v>17</v>
      </c>
      <c r="B63" s="266"/>
      <c r="C63" s="11" t="s">
        <v>81</v>
      </c>
      <c r="D63" s="21" t="s">
        <v>38</v>
      </c>
      <c r="E63" s="10">
        <v>30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323"/>
      <c r="C64" s="17" t="s">
        <v>81</v>
      </c>
      <c r="D64" s="16" t="s">
        <v>38</v>
      </c>
      <c r="E64" s="10">
        <v>30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 t="e">
        <v>#DIV/0!</v>
      </c>
      <c r="X64" s="20" t="e">
        <v>#DIV/0!</v>
      </c>
      <c r="Y64" s="20" t="e">
        <v>#DIV/0!</v>
      </c>
      <c r="Z64" s="20" t="e">
        <v>#DIV/0!</v>
      </c>
    </row>
    <row r="65" spans="1:26" ht="15.75" x14ac:dyDescent="0.25">
      <c r="A65" s="255" t="s">
        <v>65</v>
      </c>
      <c r="B65" s="255"/>
      <c r="C65" s="255"/>
      <c r="D65" s="255"/>
      <c r="E65" s="10">
        <v>30</v>
      </c>
      <c r="F65" s="29">
        <v>309</v>
      </c>
      <c r="G65" s="29">
        <v>256</v>
      </c>
      <c r="H65" s="29">
        <v>1904</v>
      </c>
      <c r="I65" s="29">
        <v>533</v>
      </c>
      <c r="J65" s="28">
        <v>2693</v>
      </c>
      <c r="K65" s="29">
        <v>303</v>
      </c>
      <c r="L65" s="29">
        <v>1964</v>
      </c>
      <c r="M65" s="28">
        <v>180</v>
      </c>
      <c r="N65" s="29">
        <v>96</v>
      </c>
      <c r="O65" s="29">
        <v>84</v>
      </c>
      <c r="P65" s="28">
        <v>2447</v>
      </c>
      <c r="Q65" s="29">
        <v>7439</v>
      </c>
      <c r="R65" s="29">
        <v>31</v>
      </c>
      <c r="S65" s="29">
        <v>7422</v>
      </c>
      <c r="T65" s="28">
        <v>246</v>
      </c>
      <c r="U65" s="28">
        <v>2144</v>
      </c>
      <c r="V65" s="30">
        <v>247.4</v>
      </c>
      <c r="W65" s="30">
        <v>80.064724919093848</v>
      </c>
      <c r="X65" s="30">
        <v>3.4617537313432836</v>
      </c>
      <c r="Y65" s="30">
        <v>0.86194029850746257</v>
      </c>
      <c r="Z65" s="30">
        <v>6.9385113268608416</v>
      </c>
    </row>
    <row r="66" spans="1:26" ht="15.75" x14ac:dyDescent="0.25">
      <c r="A66" s="31"/>
      <c r="B66" s="108"/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x14ac:dyDescent="0.25">
      <c r="A67" s="33" t="s">
        <v>66</v>
      </c>
      <c r="B67" s="34"/>
      <c r="C67" s="32"/>
      <c r="D67" s="32"/>
      <c r="E67" s="1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customHeight="1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23</v>
      </c>
      <c r="X68" s="8" t="s">
        <v>24</v>
      </c>
      <c r="Y68" s="8" t="s">
        <v>25</v>
      </c>
      <c r="Z68" s="8" t="s">
        <v>26</v>
      </c>
    </row>
    <row r="69" spans="1:26" ht="15" customHeight="1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.75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30</v>
      </c>
      <c r="F72" s="11"/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 t="e">
        <v>#DIV/0!</v>
      </c>
      <c r="X72" s="35" t="e">
        <v>#DIV/0!</v>
      </c>
      <c r="Y72" s="36" t="e">
        <v>#DIV/0!</v>
      </c>
      <c r="Z72" s="35" t="e">
        <v>#DIV/0!</v>
      </c>
    </row>
    <row r="73" spans="1:26" ht="15.75" x14ac:dyDescent="0.25">
      <c r="A73" s="247"/>
      <c r="B73" s="246"/>
      <c r="C73" s="17" t="s">
        <v>69</v>
      </c>
      <c r="D73" s="17"/>
      <c r="E73" s="10">
        <v>30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 t="e">
        <v>#DIV/0!</v>
      </c>
    </row>
    <row r="74" spans="1:26" ht="15.75" x14ac:dyDescent="0.25">
      <c r="A74" s="245">
        <v>2</v>
      </c>
      <c r="B74" s="246"/>
      <c r="C74" s="11" t="s">
        <v>70</v>
      </c>
      <c r="D74" s="11" t="s">
        <v>48</v>
      </c>
      <c r="E74" s="10">
        <v>30</v>
      </c>
      <c r="F74" s="11"/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 t="e">
        <v>#DIV/0!</v>
      </c>
      <c r="X74" s="15" t="e">
        <v>#DIV/0!</v>
      </c>
      <c r="Y74" s="14" t="e">
        <v>#DIV/0!</v>
      </c>
      <c r="Z74" s="15" t="e">
        <v>#DIV/0!</v>
      </c>
    </row>
    <row r="75" spans="1:26" ht="15.75" x14ac:dyDescent="0.25">
      <c r="A75" s="247"/>
      <c r="B75" s="246"/>
      <c r="C75" s="17" t="s">
        <v>70</v>
      </c>
      <c r="D75" s="17"/>
      <c r="E75" s="10">
        <v>30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 t="e">
        <v>#DIV/0!</v>
      </c>
      <c r="X75" s="20" t="e">
        <v>#DIV/0!</v>
      </c>
      <c r="Y75" s="20" t="e">
        <v>#DIV/0!</v>
      </c>
      <c r="Z75" s="20" t="e">
        <v>#DIV/0!</v>
      </c>
    </row>
    <row r="76" spans="1:26" ht="15.75" x14ac:dyDescent="0.25">
      <c r="A76" s="245">
        <v>3</v>
      </c>
      <c r="B76" s="246"/>
      <c r="C76" s="11" t="s">
        <v>63</v>
      </c>
      <c r="D76" s="11"/>
      <c r="E76" s="10">
        <v>30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x14ac:dyDescent="0.25">
      <c r="A77" s="247"/>
      <c r="B77" s="247"/>
      <c r="C77" s="17" t="s">
        <v>63</v>
      </c>
      <c r="D77" s="17"/>
      <c r="E77" s="10">
        <v>30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x14ac:dyDescent="0.25">
      <c r="A78" s="105" t="s">
        <v>71</v>
      </c>
      <c r="B78" s="105"/>
      <c r="C78" s="105"/>
      <c r="D78" s="105"/>
      <c r="E78" s="10">
        <v>30</v>
      </c>
      <c r="F78" s="29">
        <v>0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 t="e">
        <v>#DIV/0!</v>
      </c>
      <c r="X78" s="30" t="e">
        <v>#DIV/0!</v>
      </c>
      <c r="Y78" s="30" t="e">
        <v>#DIV/0!</v>
      </c>
      <c r="Z78" s="30" t="e">
        <v>#DIV/0!</v>
      </c>
    </row>
    <row r="79" spans="1:26" ht="18.75" x14ac:dyDescent="0.25">
      <c r="A79" s="106"/>
      <c r="B79" s="106"/>
      <c r="C79" s="106"/>
      <c r="D79" s="106"/>
      <c r="E79" s="1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ht="15" customHeight="1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23</v>
      </c>
      <c r="X80" s="8" t="s">
        <v>24</v>
      </c>
      <c r="Y80" s="8" t="s">
        <v>25</v>
      </c>
      <c r="Z80" s="8" t="s">
        <v>26</v>
      </c>
    </row>
    <row r="81" spans="1:26" ht="15" customHeight="1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26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26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.75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30</v>
      </c>
      <c r="F84" s="10">
        <v>30</v>
      </c>
      <c r="G84" s="10">
        <v>11</v>
      </c>
      <c r="H84" s="10">
        <v>116</v>
      </c>
      <c r="I84" s="10">
        <v>15</v>
      </c>
      <c r="J84" s="11">
        <v>142</v>
      </c>
      <c r="K84" s="10">
        <v>59</v>
      </c>
      <c r="L84" s="10">
        <v>60</v>
      </c>
      <c r="M84" s="11">
        <v>1</v>
      </c>
      <c r="N84" s="10">
        <v>1</v>
      </c>
      <c r="O84" s="10">
        <v>0</v>
      </c>
      <c r="P84" s="11">
        <v>120</v>
      </c>
      <c r="Q84" s="10">
        <v>376</v>
      </c>
      <c r="R84" s="10">
        <v>0</v>
      </c>
      <c r="S84" s="10">
        <v>496</v>
      </c>
      <c r="T84" s="11">
        <v>22</v>
      </c>
      <c r="U84" s="11">
        <v>61</v>
      </c>
      <c r="V84" s="15">
        <v>16.533333333333335</v>
      </c>
      <c r="W84" s="15">
        <v>55.111111111111121</v>
      </c>
      <c r="X84" s="15">
        <v>8.1311475409836067</v>
      </c>
      <c r="Y84" s="14">
        <v>6.6229508196721305</v>
      </c>
      <c r="Z84" s="15">
        <v>2.0333333333333332</v>
      </c>
    </row>
    <row r="85" spans="1:26" ht="15.75" x14ac:dyDescent="0.25">
      <c r="A85" s="247"/>
      <c r="B85" s="246"/>
      <c r="C85" s="17" t="s">
        <v>69</v>
      </c>
      <c r="D85" s="17"/>
      <c r="E85" s="10">
        <v>30</v>
      </c>
      <c r="F85" s="41">
        <v>30</v>
      </c>
      <c r="G85" s="17">
        <v>11</v>
      </c>
      <c r="H85" s="17">
        <v>116</v>
      </c>
      <c r="I85" s="17">
        <v>15</v>
      </c>
      <c r="J85" s="17">
        <v>142</v>
      </c>
      <c r="K85" s="17">
        <v>59</v>
      </c>
      <c r="L85" s="17">
        <v>60</v>
      </c>
      <c r="M85" s="17">
        <v>1</v>
      </c>
      <c r="N85" s="17">
        <v>1</v>
      </c>
      <c r="O85" s="17">
        <v>0</v>
      </c>
      <c r="P85" s="17">
        <v>120</v>
      </c>
      <c r="Q85" s="17">
        <v>376</v>
      </c>
      <c r="R85" s="17">
        <v>0</v>
      </c>
      <c r="S85" s="17">
        <v>496</v>
      </c>
      <c r="T85" s="17">
        <v>22</v>
      </c>
      <c r="U85" s="17">
        <v>61</v>
      </c>
      <c r="V85" s="20">
        <v>16.533333333333335</v>
      </c>
      <c r="W85" s="20">
        <v>55.111111111111121</v>
      </c>
      <c r="X85" s="20">
        <v>8.1311475409836067</v>
      </c>
      <c r="Y85" s="20">
        <v>6.6229508196721305</v>
      </c>
      <c r="Z85" s="20">
        <v>2.0333333333333332</v>
      </c>
    </row>
    <row r="86" spans="1:26" ht="15.75" x14ac:dyDescent="0.25">
      <c r="A86" s="141"/>
      <c r="B86" s="246"/>
      <c r="C86" s="144"/>
      <c r="D86" s="11" t="s">
        <v>55</v>
      </c>
      <c r="E86" s="11"/>
      <c r="F86" s="11"/>
      <c r="G86" s="11">
        <v>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5"/>
      <c r="X86" s="15"/>
      <c r="Y86" s="15"/>
      <c r="Z86" s="15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30</v>
      </c>
      <c r="F87" s="10">
        <v>2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5">
        <v>0</v>
      </c>
      <c r="W87" s="15">
        <v>0</v>
      </c>
      <c r="X87" s="15" t="e">
        <v>#DIV/0!</v>
      </c>
      <c r="Y87" s="14" t="e">
        <v>#DIV/0!</v>
      </c>
      <c r="Z87" s="15">
        <v>0</v>
      </c>
    </row>
    <row r="88" spans="1:26" ht="15.75" x14ac:dyDescent="0.25">
      <c r="A88" s="246"/>
      <c r="B88" s="246"/>
      <c r="C88" s="249"/>
      <c r="D88" s="10" t="s">
        <v>38</v>
      </c>
      <c r="E88" s="10">
        <v>30</v>
      </c>
      <c r="F88" s="10">
        <v>4</v>
      </c>
      <c r="G88" s="11">
        <v>1</v>
      </c>
      <c r="H88" s="11">
        <v>1</v>
      </c>
      <c r="I88" s="11">
        <v>35</v>
      </c>
      <c r="J88" s="11">
        <v>37</v>
      </c>
      <c r="K88" s="11">
        <v>31</v>
      </c>
      <c r="L88" s="11">
        <v>6</v>
      </c>
      <c r="M88" s="11">
        <v>0</v>
      </c>
      <c r="N88" s="11">
        <v>0</v>
      </c>
      <c r="O88" s="11">
        <v>0</v>
      </c>
      <c r="P88" s="11">
        <v>37</v>
      </c>
      <c r="Q88" s="11">
        <v>8</v>
      </c>
      <c r="R88" s="11">
        <v>0</v>
      </c>
      <c r="S88" s="11">
        <v>38</v>
      </c>
      <c r="T88" s="11">
        <v>0</v>
      </c>
      <c r="U88" s="11">
        <v>6</v>
      </c>
      <c r="V88" s="15">
        <v>1.2666666666666666</v>
      </c>
      <c r="W88" s="15">
        <v>31.666666666666664</v>
      </c>
      <c r="X88" s="15">
        <v>6.333333333333333</v>
      </c>
      <c r="Y88" s="14">
        <v>13.666666666666666</v>
      </c>
      <c r="Z88" s="15">
        <v>1.5</v>
      </c>
    </row>
    <row r="89" spans="1:26" ht="15.75" x14ac:dyDescent="0.25">
      <c r="A89" s="246"/>
      <c r="B89" s="246"/>
      <c r="C89" s="250"/>
      <c r="D89" s="10" t="s">
        <v>34</v>
      </c>
      <c r="E89" s="10">
        <v>30</v>
      </c>
      <c r="F89" s="10">
        <v>10</v>
      </c>
      <c r="G89" s="11">
        <v>3</v>
      </c>
      <c r="H89" s="11">
        <v>5</v>
      </c>
      <c r="I89" s="11">
        <v>94</v>
      </c>
      <c r="J89" s="11">
        <v>102</v>
      </c>
      <c r="K89" s="11">
        <v>1</v>
      </c>
      <c r="L89" s="11">
        <v>95</v>
      </c>
      <c r="M89" s="11">
        <v>0</v>
      </c>
      <c r="N89" s="11">
        <v>0</v>
      </c>
      <c r="O89" s="11">
        <v>0</v>
      </c>
      <c r="P89" s="11">
        <v>96</v>
      </c>
      <c r="Q89" s="11">
        <v>154</v>
      </c>
      <c r="R89" s="11">
        <v>1</v>
      </c>
      <c r="S89" s="11">
        <v>103</v>
      </c>
      <c r="T89" s="11">
        <v>6</v>
      </c>
      <c r="U89" s="11">
        <v>95</v>
      </c>
      <c r="V89" s="15">
        <v>3.4333333333333331</v>
      </c>
      <c r="W89" s="15">
        <v>34.333333333333336</v>
      </c>
      <c r="X89" s="15">
        <v>1.0842105263157895</v>
      </c>
      <c r="Y89" s="14">
        <v>2.0736842105263156</v>
      </c>
      <c r="Z89" s="15">
        <v>9.5</v>
      </c>
    </row>
    <row r="90" spans="1:26" ht="15.75" x14ac:dyDescent="0.25">
      <c r="A90" s="247"/>
      <c r="B90" s="247"/>
      <c r="C90" s="17" t="s">
        <v>73</v>
      </c>
      <c r="D90" s="17"/>
      <c r="E90" s="10">
        <v>30</v>
      </c>
      <c r="F90" s="17">
        <v>16</v>
      </c>
      <c r="G90" s="17">
        <v>4</v>
      </c>
      <c r="H90" s="17">
        <v>6</v>
      </c>
      <c r="I90" s="17">
        <v>129</v>
      </c>
      <c r="J90" s="17">
        <v>139</v>
      </c>
      <c r="K90" s="17">
        <v>32</v>
      </c>
      <c r="L90" s="17">
        <v>101</v>
      </c>
      <c r="M90" s="17">
        <v>0</v>
      </c>
      <c r="N90" s="17">
        <v>0</v>
      </c>
      <c r="O90" s="17">
        <v>0</v>
      </c>
      <c r="P90" s="17">
        <v>133</v>
      </c>
      <c r="Q90" s="17">
        <v>162</v>
      </c>
      <c r="R90" s="17">
        <v>1</v>
      </c>
      <c r="S90" s="17">
        <v>141</v>
      </c>
      <c r="T90" s="17">
        <v>6</v>
      </c>
      <c r="U90" s="17">
        <v>101</v>
      </c>
      <c r="V90" s="20">
        <v>4.7</v>
      </c>
      <c r="W90" s="20">
        <v>29.375</v>
      </c>
      <c r="X90" s="20">
        <v>1.3960396039603959</v>
      </c>
      <c r="Y90" s="20">
        <v>3.3564356435643563</v>
      </c>
      <c r="Z90" s="20">
        <v>6.3125</v>
      </c>
    </row>
    <row r="91" spans="1:26" ht="15.75" x14ac:dyDescent="0.25">
      <c r="A91" s="105" t="s">
        <v>74</v>
      </c>
      <c r="B91" s="105"/>
      <c r="C91" s="105"/>
      <c r="D91" s="105"/>
      <c r="E91" s="10">
        <v>30</v>
      </c>
      <c r="F91" s="29">
        <v>46</v>
      </c>
      <c r="G91" s="29">
        <v>15</v>
      </c>
      <c r="H91" s="29">
        <v>122</v>
      </c>
      <c r="I91" s="29">
        <v>144</v>
      </c>
      <c r="J91" s="28">
        <v>281</v>
      </c>
      <c r="K91" s="29">
        <v>91</v>
      </c>
      <c r="L91" s="29">
        <v>161</v>
      </c>
      <c r="M91" s="28">
        <v>1</v>
      </c>
      <c r="N91" s="29">
        <v>1</v>
      </c>
      <c r="O91" s="29">
        <v>0</v>
      </c>
      <c r="P91" s="28">
        <v>253</v>
      </c>
      <c r="Q91" s="29">
        <v>538</v>
      </c>
      <c r="R91" s="29">
        <v>1</v>
      </c>
      <c r="S91" s="29">
        <v>637</v>
      </c>
      <c r="T91" s="28">
        <v>28</v>
      </c>
      <c r="U91" s="28">
        <v>162</v>
      </c>
      <c r="V91" s="29">
        <v>21.233333333333334</v>
      </c>
      <c r="W91" s="30">
        <v>46.159420289855078</v>
      </c>
      <c r="X91" s="30">
        <v>3.9320987654320989</v>
      </c>
      <c r="Y91" s="30">
        <v>4.5864197530864201</v>
      </c>
      <c r="Z91" s="30">
        <v>3.5217391304347827</v>
      </c>
    </row>
    <row r="92" spans="1:26" ht="15.75" x14ac:dyDescent="0.25">
      <c r="A92" s="31"/>
      <c r="D92" s="32"/>
      <c r="E92" s="10"/>
      <c r="G92">
        <v>39</v>
      </c>
    </row>
    <row r="93" spans="1:26" ht="15" customHeight="1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23</v>
      </c>
      <c r="X93" s="8" t="s">
        <v>24</v>
      </c>
      <c r="Y93" s="8" t="s">
        <v>25</v>
      </c>
      <c r="Z93" s="8" t="s">
        <v>26</v>
      </c>
    </row>
    <row r="94" spans="1:26" ht="15" customHeight="1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26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26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6" ht="15.75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30</v>
      </c>
      <c r="F97" s="10">
        <v>14</v>
      </c>
      <c r="G97" s="11">
        <v>6</v>
      </c>
      <c r="H97" s="11">
        <v>11</v>
      </c>
      <c r="I97" s="11">
        <v>94</v>
      </c>
      <c r="J97" s="11">
        <v>111</v>
      </c>
      <c r="K97" s="11">
        <v>91</v>
      </c>
      <c r="L97" s="11">
        <v>0</v>
      </c>
      <c r="M97" s="11">
        <v>8</v>
      </c>
      <c r="N97" s="11">
        <v>0</v>
      </c>
      <c r="O97" s="11">
        <v>8</v>
      </c>
      <c r="P97" s="11">
        <v>99</v>
      </c>
      <c r="Q97" s="11">
        <v>79</v>
      </c>
      <c r="R97" s="11">
        <v>0</v>
      </c>
      <c r="S97" s="11">
        <v>267</v>
      </c>
      <c r="T97" s="11">
        <v>12</v>
      </c>
      <c r="U97" s="11">
        <v>8</v>
      </c>
      <c r="V97" s="15">
        <v>8.9</v>
      </c>
      <c r="W97" s="15">
        <v>63.571428571428577</v>
      </c>
      <c r="X97" s="15">
        <v>33.375</v>
      </c>
      <c r="Y97" s="14">
        <v>19.125</v>
      </c>
      <c r="Z97" s="15">
        <v>0.5714285714285714</v>
      </c>
    </row>
    <row r="98" spans="1:26" ht="15.75" x14ac:dyDescent="0.25">
      <c r="A98" s="247"/>
      <c r="B98" s="260"/>
      <c r="C98" s="17" t="s">
        <v>76</v>
      </c>
      <c r="D98" s="17" t="s">
        <v>48</v>
      </c>
      <c r="E98" s="10">
        <v>30</v>
      </c>
      <c r="F98" s="17">
        <v>14</v>
      </c>
      <c r="G98" s="17">
        <v>6</v>
      </c>
      <c r="H98" s="17">
        <v>11</v>
      </c>
      <c r="I98" s="17">
        <v>94</v>
      </c>
      <c r="J98" s="17">
        <v>111</v>
      </c>
      <c r="K98" s="17">
        <v>91</v>
      </c>
      <c r="L98" s="17">
        <v>0</v>
      </c>
      <c r="M98" s="17">
        <v>8</v>
      </c>
      <c r="N98" s="17">
        <v>0</v>
      </c>
      <c r="O98" s="17">
        <v>8</v>
      </c>
      <c r="P98" s="17">
        <v>99</v>
      </c>
      <c r="Q98" s="17">
        <v>79</v>
      </c>
      <c r="R98" s="17">
        <v>0</v>
      </c>
      <c r="S98" s="17">
        <v>267</v>
      </c>
      <c r="T98" s="17">
        <v>12</v>
      </c>
      <c r="U98" s="17">
        <v>8</v>
      </c>
      <c r="V98" s="20">
        <v>8.9</v>
      </c>
      <c r="W98" s="20">
        <v>63.571428571428577</v>
      </c>
      <c r="X98" s="20">
        <v>33.375</v>
      </c>
      <c r="Y98" s="20">
        <v>19.125</v>
      </c>
      <c r="Z98" s="20">
        <v>0.5714285714285714</v>
      </c>
    </row>
    <row r="99" spans="1:26" ht="15.75" x14ac:dyDescent="0.25">
      <c r="A99" s="245">
        <v>2</v>
      </c>
      <c r="B99" s="260"/>
      <c r="C99" s="10" t="s">
        <v>77</v>
      </c>
      <c r="D99" s="10" t="s">
        <v>48</v>
      </c>
      <c r="E99" s="10">
        <v>30</v>
      </c>
      <c r="F99" s="10">
        <v>5</v>
      </c>
      <c r="G99" s="11">
        <v>2</v>
      </c>
      <c r="H99" s="11">
        <v>64</v>
      </c>
      <c r="I99" s="11">
        <v>6</v>
      </c>
      <c r="J99" s="11">
        <v>72</v>
      </c>
      <c r="K99" s="11">
        <v>64</v>
      </c>
      <c r="L99" s="11">
        <v>1</v>
      </c>
      <c r="M99" s="11">
        <v>2</v>
      </c>
      <c r="N99" s="11">
        <v>1</v>
      </c>
      <c r="O99" s="11">
        <v>1</v>
      </c>
      <c r="P99" s="11">
        <v>67</v>
      </c>
      <c r="Q99" s="11">
        <v>7</v>
      </c>
      <c r="R99" s="11">
        <v>0</v>
      </c>
      <c r="S99" s="11">
        <v>113</v>
      </c>
      <c r="T99" s="11">
        <v>5</v>
      </c>
      <c r="U99" s="11">
        <v>3</v>
      </c>
      <c r="V99" s="15">
        <v>3.7666666666666666</v>
      </c>
      <c r="W99" s="15">
        <v>75.333333333333329</v>
      </c>
      <c r="X99" s="15">
        <v>37.666666666666664</v>
      </c>
      <c r="Y99" s="14">
        <v>12.333333333333334</v>
      </c>
      <c r="Z99" s="15">
        <v>0.6</v>
      </c>
    </row>
    <row r="100" spans="1:26" ht="15.75" x14ac:dyDescent="0.25">
      <c r="A100" s="247"/>
      <c r="B100" s="260"/>
      <c r="C100" s="17" t="s">
        <v>77</v>
      </c>
      <c r="D100" s="17" t="s">
        <v>48</v>
      </c>
      <c r="E100" s="10">
        <v>30</v>
      </c>
      <c r="F100" s="17">
        <v>5</v>
      </c>
      <c r="G100" s="17">
        <v>2</v>
      </c>
      <c r="H100" s="17">
        <v>64</v>
      </c>
      <c r="I100" s="17">
        <v>6</v>
      </c>
      <c r="J100" s="17">
        <v>72</v>
      </c>
      <c r="K100" s="17">
        <v>64</v>
      </c>
      <c r="L100" s="17">
        <v>1</v>
      </c>
      <c r="M100" s="17">
        <v>2</v>
      </c>
      <c r="N100" s="17">
        <v>1</v>
      </c>
      <c r="O100" s="17">
        <v>1</v>
      </c>
      <c r="P100" s="17">
        <v>67</v>
      </c>
      <c r="Q100" s="17">
        <v>7</v>
      </c>
      <c r="R100" s="17">
        <v>0</v>
      </c>
      <c r="S100" s="17">
        <v>113</v>
      </c>
      <c r="T100" s="17">
        <v>5</v>
      </c>
      <c r="U100" s="17">
        <v>3</v>
      </c>
      <c r="V100" s="20">
        <v>3.7666666666666666</v>
      </c>
      <c r="W100" s="20">
        <v>75.333333333333329</v>
      </c>
      <c r="X100" s="20">
        <v>37.666666666666664</v>
      </c>
      <c r="Y100" s="20">
        <v>12.333333333333334</v>
      </c>
      <c r="Z100" s="20">
        <v>0.6</v>
      </c>
    </row>
    <row r="101" spans="1:26" ht="15.75" x14ac:dyDescent="0.25">
      <c r="A101" s="245">
        <v>3</v>
      </c>
      <c r="B101" s="260"/>
      <c r="C101" s="10" t="s">
        <v>78</v>
      </c>
      <c r="D101" s="10" t="s">
        <v>48</v>
      </c>
      <c r="E101" s="10">
        <v>30</v>
      </c>
      <c r="F101" s="10">
        <v>3</v>
      </c>
      <c r="G101" s="43">
        <v>3</v>
      </c>
      <c r="H101" s="43">
        <v>7</v>
      </c>
      <c r="I101" s="43">
        <v>7</v>
      </c>
      <c r="J101" s="11">
        <v>17</v>
      </c>
      <c r="K101" s="43">
        <v>12</v>
      </c>
      <c r="L101" s="43">
        <v>0</v>
      </c>
      <c r="M101" s="11">
        <v>3</v>
      </c>
      <c r="N101" s="43">
        <v>1</v>
      </c>
      <c r="O101" s="43">
        <v>2</v>
      </c>
      <c r="P101" s="11">
        <v>15</v>
      </c>
      <c r="Q101" s="43">
        <v>29</v>
      </c>
      <c r="R101" s="43">
        <v>0</v>
      </c>
      <c r="S101" s="43">
        <v>74</v>
      </c>
      <c r="T101" s="11">
        <v>2</v>
      </c>
      <c r="U101" s="11">
        <v>3</v>
      </c>
      <c r="V101" s="15">
        <v>2.4666666666666668</v>
      </c>
      <c r="W101" s="15">
        <v>82.222222222222229</v>
      </c>
      <c r="X101" s="15">
        <v>24.666666666666668</v>
      </c>
      <c r="Y101" s="14">
        <v>5.3333333333333321</v>
      </c>
      <c r="Z101" s="15">
        <v>1</v>
      </c>
    </row>
    <row r="102" spans="1:26" ht="15.75" x14ac:dyDescent="0.25">
      <c r="A102" s="247"/>
      <c r="B102" s="260"/>
      <c r="C102" s="17" t="s">
        <v>78</v>
      </c>
      <c r="D102" s="17" t="s">
        <v>48</v>
      </c>
      <c r="E102" s="10">
        <v>30</v>
      </c>
      <c r="F102" s="17">
        <v>3</v>
      </c>
      <c r="G102" s="17">
        <v>3</v>
      </c>
      <c r="H102" s="17">
        <v>7</v>
      </c>
      <c r="I102" s="17">
        <v>7</v>
      </c>
      <c r="J102" s="17">
        <v>17</v>
      </c>
      <c r="K102" s="17">
        <v>12</v>
      </c>
      <c r="L102" s="17">
        <v>0</v>
      </c>
      <c r="M102" s="17">
        <v>3</v>
      </c>
      <c r="N102" s="17">
        <v>1</v>
      </c>
      <c r="O102" s="17">
        <v>2</v>
      </c>
      <c r="P102" s="17">
        <v>15</v>
      </c>
      <c r="Q102" s="17">
        <v>29</v>
      </c>
      <c r="R102" s="17">
        <v>0</v>
      </c>
      <c r="S102" s="17">
        <v>74</v>
      </c>
      <c r="T102" s="17">
        <v>2</v>
      </c>
      <c r="U102" s="17">
        <v>3</v>
      </c>
      <c r="V102" s="20">
        <v>2.4666666666666668</v>
      </c>
      <c r="W102" s="20">
        <v>82.222222222222229</v>
      </c>
      <c r="X102" s="20">
        <v>24.666666666666668</v>
      </c>
      <c r="Y102" s="20">
        <v>5.3333333333333321</v>
      </c>
      <c r="Z102" s="20">
        <v>1</v>
      </c>
    </row>
    <row r="103" spans="1:26" ht="15.75" x14ac:dyDescent="0.25">
      <c r="A103" s="245">
        <v>4</v>
      </c>
      <c r="B103" s="260"/>
      <c r="C103" s="11" t="s">
        <v>79</v>
      </c>
      <c r="D103" s="11" t="s">
        <v>48</v>
      </c>
      <c r="E103" s="10">
        <v>30</v>
      </c>
      <c r="F103" s="11">
        <v>5</v>
      </c>
      <c r="G103" s="11">
        <v>4</v>
      </c>
      <c r="H103" s="11">
        <v>7</v>
      </c>
      <c r="I103" s="11">
        <v>19</v>
      </c>
      <c r="J103" s="11">
        <v>30</v>
      </c>
      <c r="K103" s="11">
        <v>19</v>
      </c>
      <c r="L103" s="11">
        <v>0</v>
      </c>
      <c r="M103" s="11">
        <v>7</v>
      </c>
      <c r="N103" s="11">
        <v>3</v>
      </c>
      <c r="O103" s="11">
        <v>4</v>
      </c>
      <c r="P103" s="11">
        <v>26</v>
      </c>
      <c r="Q103" s="11">
        <v>28</v>
      </c>
      <c r="R103" s="11">
        <v>0</v>
      </c>
      <c r="S103" s="11">
        <v>121</v>
      </c>
      <c r="T103" s="11">
        <v>4</v>
      </c>
      <c r="U103" s="11">
        <v>7</v>
      </c>
      <c r="V103" s="15">
        <v>4.0333333333333332</v>
      </c>
      <c r="W103" s="15">
        <v>80.666666666666657</v>
      </c>
      <c r="X103" s="15">
        <v>17.285714285714285</v>
      </c>
      <c r="Y103" s="14">
        <v>4.1428571428571432</v>
      </c>
      <c r="Z103" s="15">
        <v>1.4</v>
      </c>
    </row>
    <row r="104" spans="1:26" ht="15.75" x14ac:dyDescent="0.25">
      <c r="A104" s="247"/>
      <c r="B104" s="260"/>
      <c r="C104" s="17" t="s">
        <v>79</v>
      </c>
      <c r="D104" s="17" t="s">
        <v>48</v>
      </c>
      <c r="E104" s="10">
        <v>30</v>
      </c>
      <c r="F104" s="17">
        <v>5</v>
      </c>
      <c r="G104" s="17">
        <v>4</v>
      </c>
      <c r="H104" s="17">
        <v>7</v>
      </c>
      <c r="I104" s="17">
        <v>19</v>
      </c>
      <c r="J104" s="17">
        <v>30</v>
      </c>
      <c r="K104" s="17">
        <v>19</v>
      </c>
      <c r="L104" s="17">
        <v>0</v>
      </c>
      <c r="M104" s="17">
        <v>7</v>
      </c>
      <c r="N104" s="17">
        <v>3</v>
      </c>
      <c r="O104" s="17">
        <v>4</v>
      </c>
      <c r="P104" s="17">
        <v>26</v>
      </c>
      <c r="Q104" s="17">
        <v>28</v>
      </c>
      <c r="R104" s="17">
        <v>0</v>
      </c>
      <c r="S104" s="17">
        <v>121</v>
      </c>
      <c r="T104" s="17">
        <v>4</v>
      </c>
      <c r="U104" s="17">
        <v>7</v>
      </c>
      <c r="V104" s="20">
        <v>4.0333333333333332</v>
      </c>
      <c r="W104" s="20">
        <v>80.666666666666657</v>
      </c>
      <c r="X104" s="20">
        <v>17.285714285714285</v>
      </c>
      <c r="Y104" s="20">
        <v>4.1428571428571432</v>
      </c>
      <c r="Z104" s="20">
        <v>1.4</v>
      </c>
    </row>
    <row r="105" spans="1:26" ht="15.75" x14ac:dyDescent="0.25">
      <c r="A105" s="245">
        <v>5</v>
      </c>
      <c r="B105" s="260"/>
      <c r="C105" s="11" t="s">
        <v>80</v>
      </c>
      <c r="D105" s="11" t="s">
        <v>48</v>
      </c>
      <c r="E105" s="10">
        <v>30</v>
      </c>
      <c r="F105" s="11">
        <v>4</v>
      </c>
      <c r="G105" s="11">
        <v>2</v>
      </c>
      <c r="H105" s="11">
        <v>14</v>
      </c>
      <c r="I105" s="11">
        <v>10</v>
      </c>
      <c r="J105" s="11">
        <v>26</v>
      </c>
      <c r="K105" s="11">
        <v>17</v>
      </c>
      <c r="L105" s="11">
        <v>0</v>
      </c>
      <c r="M105" s="11">
        <v>9</v>
      </c>
      <c r="N105" s="11">
        <v>6</v>
      </c>
      <c r="O105" s="11">
        <v>3</v>
      </c>
      <c r="P105" s="11">
        <v>26</v>
      </c>
      <c r="Q105" s="11">
        <v>53</v>
      </c>
      <c r="R105" s="11">
        <v>3</v>
      </c>
      <c r="S105" s="11">
        <v>88</v>
      </c>
      <c r="T105" s="11">
        <v>0</v>
      </c>
      <c r="U105" s="11">
        <v>9</v>
      </c>
      <c r="V105" s="15">
        <v>2.9333333333333331</v>
      </c>
      <c r="W105" s="15">
        <v>73.333333333333329</v>
      </c>
      <c r="X105" s="15">
        <v>9.7777777777777786</v>
      </c>
      <c r="Y105" s="14">
        <v>3.5555555555555562</v>
      </c>
      <c r="Z105" s="15">
        <v>2.25</v>
      </c>
    </row>
    <row r="106" spans="1:26" ht="15.75" x14ac:dyDescent="0.25">
      <c r="A106" s="247"/>
      <c r="B106" s="260"/>
      <c r="C106" s="17" t="s">
        <v>80</v>
      </c>
      <c r="D106" s="17" t="s">
        <v>48</v>
      </c>
      <c r="E106" s="10">
        <v>30</v>
      </c>
      <c r="F106" s="17">
        <v>4</v>
      </c>
      <c r="G106" s="17">
        <v>2</v>
      </c>
      <c r="H106" s="17">
        <v>14</v>
      </c>
      <c r="I106" s="17">
        <v>10</v>
      </c>
      <c r="J106" s="17">
        <v>26</v>
      </c>
      <c r="K106" s="17">
        <v>17</v>
      </c>
      <c r="L106" s="17">
        <v>0</v>
      </c>
      <c r="M106" s="17">
        <v>9</v>
      </c>
      <c r="N106" s="17">
        <v>6</v>
      </c>
      <c r="O106" s="17">
        <v>3</v>
      </c>
      <c r="P106" s="17">
        <v>26</v>
      </c>
      <c r="Q106" s="17">
        <v>53</v>
      </c>
      <c r="R106" s="17">
        <v>3</v>
      </c>
      <c r="S106" s="17">
        <v>88</v>
      </c>
      <c r="T106" s="17">
        <v>0</v>
      </c>
      <c r="U106" s="17">
        <v>9</v>
      </c>
      <c r="V106" s="20">
        <v>2.9333333333333331</v>
      </c>
      <c r="W106" s="20">
        <v>73.333333333333329</v>
      </c>
      <c r="X106" s="20">
        <v>9.7777777777777786</v>
      </c>
      <c r="Y106" s="20">
        <v>3.5555555555555562</v>
      </c>
      <c r="Z106" s="20">
        <v>2.25</v>
      </c>
    </row>
    <row r="107" spans="1:26" ht="15.75" x14ac:dyDescent="0.25">
      <c r="A107" s="245">
        <v>6</v>
      </c>
      <c r="B107" s="260"/>
      <c r="C107" s="11" t="s">
        <v>70</v>
      </c>
      <c r="D107" s="11" t="s">
        <v>48</v>
      </c>
      <c r="E107" s="10">
        <v>30</v>
      </c>
      <c r="F107" s="11">
        <v>2</v>
      </c>
      <c r="G107" s="11">
        <v>2</v>
      </c>
      <c r="H107" s="11">
        <v>8</v>
      </c>
      <c r="I107" s="11">
        <v>1</v>
      </c>
      <c r="J107" s="11">
        <v>11</v>
      </c>
      <c r="K107" s="11">
        <v>7</v>
      </c>
      <c r="L107" s="11">
        <v>0</v>
      </c>
      <c r="M107" s="11">
        <v>3</v>
      </c>
      <c r="N107" s="11">
        <v>3</v>
      </c>
      <c r="O107" s="11">
        <v>0</v>
      </c>
      <c r="P107" s="11">
        <v>10</v>
      </c>
      <c r="Q107" s="11">
        <v>3</v>
      </c>
      <c r="R107" s="11">
        <v>1</v>
      </c>
      <c r="S107" s="11">
        <v>13</v>
      </c>
      <c r="T107" s="11">
        <v>1</v>
      </c>
      <c r="U107" s="11">
        <v>3</v>
      </c>
      <c r="V107" s="44">
        <v>0.43333333333333335</v>
      </c>
      <c r="W107" s="44">
        <v>21.666666666666668</v>
      </c>
      <c r="X107" s="44">
        <v>4.333333333333333</v>
      </c>
      <c r="Y107" s="45">
        <v>15.666666666666666</v>
      </c>
      <c r="Z107" s="44">
        <v>1.5</v>
      </c>
    </row>
    <row r="108" spans="1:26" ht="15.75" x14ac:dyDescent="0.25">
      <c r="A108" s="247"/>
      <c r="B108" s="260"/>
      <c r="C108" s="17" t="s">
        <v>70</v>
      </c>
      <c r="D108" s="17"/>
      <c r="E108" s="10">
        <v>30</v>
      </c>
      <c r="F108" s="17">
        <v>2</v>
      </c>
      <c r="G108" s="17">
        <v>2</v>
      </c>
      <c r="H108" s="17">
        <v>8</v>
      </c>
      <c r="I108" s="17">
        <v>1</v>
      </c>
      <c r="J108" s="17">
        <v>11</v>
      </c>
      <c r="K108" s="17">
        <v>7</v>
      </c>
      <c r="L108" s="17">
        <v>0</v>
      </c>
      <c r="M108" s="17">
        <v>3</v>
      </c>
      <c r="N108" s="17">
        <v>3</v>
      </c>
      <c r="O108" s="17">
        <v>0</v>
      </c>
      <c r="P108" s="17">
        <v>10</v>
      </c>
      <c r="Q108" s="17">
        <v>3</v>
      </c>
      <c r="R108" s="17">
        <v>1</v>
      </c>
      <c r="S108" s="17">
        <v>13</v>
      </c>
      <c r="T108" s="17">
        <v>1</v>
      </c>
      <c r="U108" s="17">
        <v>3</v>
      </c>
      <c r="V108" s="46">
        <v>0.43333333333333335</v>
      </c>
      <c r="W108" s="46">
        <v>21.666666666666668</v>
      </c>
      <c r="X108" s="46">
        <v>4.333333333333333</v>
      </c>
      <c r="Y108" s="46">
        <v>15.666666666666666</v>
      </c>
      <c r="Z108" s="46">
        <v>1.5</v>
      </c>
    </row>
    <row r="109" spans="1:26" ht="15.75" x14ac:dyDescent="0.25">
      <c r="A109" s="245">
        <v>7</v>
      </c>
      <c r="B109" s="260"/>
      <c r="C109" s="11" t="s">
        <v>81</v>
      </c>
      <c r="D109" s="11" t="s">
        <v>48</v>
      </c>
      <c r="E109" s="10">
        <v>30</v>
      </c>
      <c r="F109" s="11"/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 t="e">
        <v>#DIV/0!</v>
      </c>
      <c r="X109" s="15" t="e">
        <v>#DIV/0!</v>
      </c>
      <c r="Y109" s="14" t="e">
        <v>#DIV/0!</v>
      </c>
      <c r="Z109" s="15" t="e">
        <v>#DIV/0!</v>
      </c>
    </row>
    <row r="110" spans="1:26" ht="15.75" x14ac:dyDescent="0.25">
      <c r="A110" s="247"/>
      <c r="B110" s="260"/>
      <c r="C110" s="17" t="s">
        <v>81</v>
      </c>
      <c r="D110" s="17" t="s">
        <v>48</v>
      </c>
      <c r="E110" s="10">
        <v>30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 t="e">
        <v>#DIV/0!</v>
      </c>
      <c r="X110" s="20" t="e">
        <v>#DIV/0!</v>
      </c>
      <c r="Y110" s="20" t="e">
        <v>#DIV/0!</v>
      </c>
      <c r="Z110" s="20" t="e">
        <v>#DIV/0!</v>
      </c>
    </row>
    <row r="111" spans="1:26" ht="15.75" x14ac:dyDescent="0.25">
      <c r="A111" s="245">
        <v>8</v>
      </c>
      <c r="B111" s="260"/>
      <c r="C111" s="11" t="s">
        <v>82</v>
      </c>
      <c r="D111" s="11" t="s">
        <v>38</v>
      </c>
      <c r="E111" s="10">
        <v>30</v>
      </c>
      <c r="F111" s="11"/>
      <c r="G111" s="11">
        <v>4</v>
      </c>
      <c r="H111" s="11">
        <v>212</v>
      </c>
      <c r="I111" s="11">
        <v>3</v>
      </c>
      <c r="J111" s="11">
        <v>219</v>
      </c>
      <c r="K111" s="11">
        <v>211</v>
      </c>
      <c r="L111" s="11">
        <v>0</v>
      </c>
      <c r="M111" s="11">
        <v>5</v>
      </c>
      <c r="N111" s="11">
        <v>5</v>
      </c>
      <c r="O111" s="11">
        <v>0</v>
      </c>
      <c r="P111" s="11">
        <v>216</v>
      </c>
      <c r="Q111" s="11">
        <v>5</v>
      </c>
      <c r="R111" s="11">
        <v>5</v>
      </c>
      <c r="S111" s="11">
        <v>91</v>
      </c>
      <c r="T111" s="11">
        <v>3</v>
      </c>
      <c r="U111" s="11">
        <v>5</v>
      </c>
      <c r="V111" s="15">
        <v>3.0333333333333332</v>
      </c>
      <c r="W111" s="15" t="e">
        <v>#DIV/0!</v>
      </c>
      <c r="X111" s="15">
        <v>18.2</v>
      </c>
      <c r="Y111" s="14">
        <v>-18.2</v>
      </c>
      <c r="Z111" s="15" t="e">
        <v>#DIV/0!</v>
      </c>
    </row>
    <row r="112" spans="1:26" ht="15.75" x14ac:dyDescent="0.25">
      <c r="A112" s="247"/>
      <c r="B112" s="260"/>
      <c r="C112" s="17" t="s">
        <v>82</v>
      </c>
      <c r="D112" s="17" t="s">
        <v>38</v>
      </c>
      <c r="E112" s="10">
        <v>30</v>
      </c>
      <c r="F112" s="17">
        <v>0</v>
      </c>
      <c r="G112" s="17">
        <v>4</v>
      </c>
      <c r="H112" s="17">
        <v>212</v>
      </c>
      <c r="I112" s="17">
        <v>3</v>
      </c>
      <c r="J112" s="17">
        <v>219</v>
      </c>
      <c r="K112" s="17">
        <v>211</v>
      </c>
      <c r="L112" s="17">
        <v>0</v>
      </c>
      <c r="M112" s="17">
        <v>5</v>
      </c>
      <c r="N112" s="17">
        <v>5</v>
      </c>
      <c r="O112" s="17">
        <v>0</v>
      </c>
      <c r="P112" s="17">
        <v>216</v>
      </c>
      <c r="Q112" s="17">
        <v>5</v>
      </c>
      <c r="R112" s="17">
        <v>5</v>
      </c>
      <c r="S112" s="17">
        <v>91</v>
      </c>
      <c r="T112" s="17">
        <v>3</v>
      </c>
      <c r="U112" s="17">
        <v>5</v>
      </c>
      <c r="V112" s="20">
        <v>3.0333333333333332</v>
      </c>
      <c r="W112" s="20" t="e">
        <v>#DIV/0!</v>
      </c>
      <c r="X112" s="20">
        <v>18.2</v>
      </c>
      <c r="Y112" s="20">
        <v>-18.2</v>
      </c>
      <c r="Z112" s="20" t="e">
        <v>#DIV/0!</v>
      </c>
    </row>
    <row r="113" spans="1:26" ht="15.75" hidden="1" x14ac:dyDescent="0.25">
      <c r="A113" s="245">
        <v>9</v>
      </c>
      <c r="B113" s="260"/>
      <c r="C113" s="11" t="s">
        <v>64</v>
      </c>
      <c r="D113" s="11" t="s">
        <v>83</v>
      </c>
      <c r="E113" s="10">
        <v>30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26" ht="15.75" hidden="1" x14ac:dyDescent="0.25">
      <c r="A114" s="247"/>
      <c r="B114" s="260"/>
      <c r="C114" s="17" t="s">
        <v>64</v>
      </c>
      <c r="D114" s="17" t="s">
        <v>83</v>
      </c>
      <c r="E114" s="10">
        <v>30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26" ht="15.75" hidden="1" x14ac:dyDescent="0.25">
      <c r="A115" s="245">
        <v>10</v>
      </c>
      <c r="B115" s="260"/>
      <c r="C115" s="10" t="s">
        <v>73</v>
      </c>
      <c r="D115" s="10" t="s">
        <v>83</v>
      </c>
      <c r="E115" s="10">
        <v>30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26" ht="15.75" hidden="1" x14ac:dyDescent="0.25">
      <c r="A116" s="247"/>
      <c r="B116" s="261"/>
      <c r="C116" s="17" t="s">
        <v>73</v>
      </c>
      <c r="D116" s="17" t="s">
        <v>83</v>
      </c>
      <c r="E116" s="10">
        <v>30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x14ac:dyDescent="0.25">
      <c r="A117" s="232" t="s">
        <v>84</v>
      </c>
      <c r="B117" s="233"/>
      <c r="C117" s="233"/>
      <c r="D117" s="234"/>
      <c r="E117" s="10">
        <v>30</v>
      </c>
      <c r="F117" s="29">
        <v>33</v>
      </c>
      <c r="G117" s="29">
        <v>23</v>
      </c>
      <c r="H117" s="29">
        <v>323</v>
      </c>
      <c r="I117" s="29">
        <v>140</v>
      </c>
      <c r="J117" s="28">
        <v>486</v>
      </c>
      <c r="K117" s="29">
        <v>421</v>
      </c>
      <c r="L117" s="29">
        <v>1</v>
      </c>
      <c r="M117" s="28">
        <v>37</v>
      </c>
      <c r="N117" s="29">
        <v>19</v>
      </c>
      <c r="O117" s="29">
        <v>18</v>
      </c>
      <c r="P117" s="28">
        <v>459</v>
      </c>
      <c r="Q117" s="29">
        <v>204</v>
      </c>
      <c r="R117" s="29">
        <v>9</v>
      </c>
      <c r="S117" s="29">
        <v>767</v>
      </c>
      <c r="T117" s="28">
        <v>27</v>
      </c>
      <c r="U117" s="28">
        <v>38</v>
      </c>
      <c r="V117" s="47">
        <v>25.566666666666666</v>
      </c>
      <c r="W117" s="30">
        <v>77.474747474747474</v>
      </c>
      <c r="X117" s="30">
        <v>20.184210526315791</v>
      </c>
      <c r="Y117" s="30">
        <v>5.8684210526315788</v>
      </c>
      <c r="Z117" s="30">
        <v>1.1515151515151516</v>
      </c>
    </row>
    <row r="118" spans="1:26" ht="15.75" x14ac:dyDescent="0.25">
      <c r="A118" s="235" t="s">
        <v>85</v>
      </c>
      <c r="B118" s="236"/>
      <c r="C118" s="236"/>
      <c r="D118" s="237"/>
      <c r="E118" s="10">
        <v>30</v>
      </c>
      <c r="F118" s="49">
        <v>388</v>
      </c>
      <c r="G118" s="49">
        <v>294</v>
      </c>
      <c r="H118" s="49">
        <v>2349</v>
      </c>
      <c r="I118" s="49">
        <v>817</v>
      </c>
      <c r="J118" s="48">
        <v>3460</v>
      </c>
      <c r="K118" s="49">
        <v>815</v>
      </c>
      <c r="L118" s="49">
        <v>2126</v>
      </c>
      <c r="M118" s="48">
        <v>218</v>
      </c>
      <c r="N118" s="49">
        <v>116</v>
      </c>
      <c r="O118" s="49">
        <v>102</v>
      </c>
      <c r="P118" s="48">
        <v>3159</v>
      </c>
      <c r="Q118" s="49">
        <v>8181</v>
      </c>
      <c r="R118" s="49">
        <v>41</v>
      </c>
      <c r="S118" s="49">
        <v>8826</v>
      </c>
      <c r="T118" s="49">
        <v>301</v>
      </c>
      <c r="U118" s="48">
        <v>2344</v>
      </c>
      <c r="V118" s="50">
        <v>294.2</v>
      </c>
      <c r="W118" s="51">
        <v>75.824742268041234</v>
      </c>
      <c r="X118" s="51">
        <v>3.7653583617747439</v>
      </c>
      <c r="Y118" s="51">
        <v>1.2005119453924917</v>
      </c>
      <c r="Z118" s="51">
        <v>6.0412371134020617</v>
      </c>
    </row>
  </sheetData>
  <sheetProtection algorithmName="SHA-512" hashValue="lhMCAtsSk6nuL8jjXnkKDnFNZKiIVrycFDUL0fh5VQx3OijHPomYCyH+G0n2sBPY5Y6tKtAzjzWHNgP03YGKCQ==" saltValue="bs8J1O/X/apqbgd9dgYUoQ==" spinCount="100000" sheet="1" objects="1" scenarios="1"/>
  <mergeCells count="152"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  <mergeCell ref="Y4:Y5"/>
    <mergeCell ref="Z4:Z5"/>
    <mergeCell ref="A7:A8"/>
    <mergeCell ref="B7:B64"/>
    <mergeCell ref="A9:A10"/>
    <mergeCell ref="A11:A13"/>
    <mergeCell ref="C11:C12"/>
    <mergeCell ref="A14:A17"/>
    <mergeCell ref="C14:C16"/>
    <mergeCell ref="A18:A21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A33:A37"/>
    <mergeCell ref="A38:A42"/>
    <mergeCell ref="C38:C41"/>
    <mergeCell ref="A44:A46"/>
    <mergeCell ref="A47:A51"/>
    <mergeCell ref="C47:C50"/>
    <mergeCell ref="C18:C20"/>
    <mergeCell ref="A22:A23"/>
    <mergeCell ref="A24:A26"/>
    <mergeCell ref="C24:C25"/>
    <mergeCell ref="A27:A28"/>
    <mergeCell ref="A30:A32"/>
    <mergeCell ref="K68:K70"/>
    <mergeCell ref="A65:D65"/>
    <mergeCell ref="A68:A71"/>
    <mergeCell ref="B68:B71"/>
    <mergeCell ref="C68:C71"/>
    <mergeCell ref="D68:D71"/>
    <mergeCell ref="E68:E71"/>
    <mergeCell ref="A53:A54"/>
    <mergeCell ref="C55:C56"/>
    <mergeCell ref="A56:A57"/>
    <mergeCell ref="C58:C61"/>
    <mergeCell ref="A59:A62"/>
    <mergeCell ref="A63:A64"/>
    <mergeCell ref="X69:X70"/>
    <mergeCell ref="Y69:Y70"/>
    <mergeCell ref="Z69:Z70"/>
    <mergeCell ref="A72:A73"/>
    <mergeCell ref="B72:B77"/>
    <mergeCell ref="A74:A75"/>
    <mergeCell ref="A76:A77"/>
    <mergeCell ref="R68:R70"/>
    <mergeCell ref="S68:S70"/>
    <mergeCell ref="T68:T70"/>
    <mergeCell ref="U68:U71"/>
    <mergeCell ref="V69:V70"/>
    <mergeCell ref="W69:W70"/>
    <mergeCell ref="L68:L70"/>
    <mergeCell ref="M68:M70"/>
    <mergeCell ref="N68:N70"/>
    <mergeCell ref="O68:O70"/>
    <mergeCell ref="P68:P70"/>
    <mergeCell ref="Q68:Q70"/>
    <mergeCell ref="F68:F71"/>
    <mergeCell ref="G68:G70"/>
    <mergeCell ref="H68:H70"/>
    <mergeCell ref="I68:I70"/>
    <mergeCell ref="J68:J70"/>
    <mergeCell ref="G80:G82"/>
    <mergeCell ref="H80:H82"/>
    <mergeCell ref="I80:I82"/>
    <mergeCell ref="J80:J82"/>
    <mergeCell ref="K80:K82"/>
    <mergeCell ref="L80:L82"/>
    <mergeCell ref="A80:A83"/>
    <mergeCell ref="B80:B83"/>
    <mergeCell ref="C80:C83"/>
    <mergeCell ref="D80:D83"/>
    <mergeCell ref="E80:E83"/>
    <mergeCell ref="F80:F83"/>
    <mergeCell ref="A93:A96"/>
    <mergeCell ref="B93:B96"/>
    <mergeCell ref="C93:C96"/>
    <mergeCell ref="D93:D96"/>
    <mergeCell ref="E93:E96"/>
    <mergeCell ref="F93:F96"/>
    <mergeCell ref="Y81:Y82"/>
    <mergeCell ref="Z81:Z82"/>
    <mergeCell ref="A84:A85"/>
    <mergeCell ref="B84:B90"/>
    <mergeCell ref="A87:A90"/>
    <mergeCell ref="C87:C89"/>
    <mergeCell ref="S80:S82"/>
    <mergeCell ref="T80:T82"/>
    <mergeCell ref="U80:U83"/>
    <mergeCell ref="V81:V82"/>
    <mergeCell ref="W81:W82"/>
    <mergeCell ref="X81:X82"/>
    <mergeCell ref="M80:M82"/>
    <mergeCell ref="N80:N82"/>
    <mergeCell ref="O80:O82"/>
    <mergeCell ref="P80:P82"/>
    <mergeCell ref="Q80:Q82"/>
    <mergeCell ref="R80:R82"/>
    <mergeCell ref="P93:P95"/>
    <mergeCell ref="Q93:Q95"/>
    <mergeCell ref="R93:R95"/>
    <mergeCell ref="G93:G95"/>
    <mergeCell ref="H93:H95"/>
    <mergeCell ref="I93:I95"/>
    <mergeCell ref="J93:J95"/>
    <mergeCell ref="K93:K95"/>
    <mergeCell ref="L93:L95"/>
    <mergeCell ref="A111:A112"/>
    <mergeCell ref="A113:A114"/>
    <mergeCell ref="A115:A116"/>
    <mergeCell ref="A117:D117"/>
    <mergeCell ref="A118:D118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7:A108"/>
    <mergeCell ref="A109:A110"/>
    <mergeCell ref="S93:S95"/>
    <mergeCell ref="T93:T95"/>
    <mergeCell ref="U93:U96"/>
    <mergeCell ref="V94:V95"/>
    <mergeCell ref="W94:W95"/>
    <mergeCell ref="X94:X95"/>
    <mergeCell ref="M93:M95"/>
    <mergeCell ref="N93:N95"/>
    <mergeCell ref="O93:O95"/>
  </mergeCells>
  <printOptions horizontalCentered="1"/>
  <pageMargins left="0.39370078740157483" right="0.39370078740157483" top="0.39370078740157483" bottom="0.39370078740157483" header="0.31496062992125984" footer="0.31496062992125984"/>
  <pageSetup paperSize="10000" scale="5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18"/>
  <sheetViews>
    <sheetView topLeftCell="A78" zoomScale="70" zoomScaleNormal="70" workbookViewId="0">
      <selection activeCell="A93" sqref="A93:Z118"/>
    </sheetView>
  </sheetViews>
  <sheetFormatPr defaultRowHeight="15" x14ac:dyDescent="0.25"/>
  <cols>
    <col min="1" max="1" width="4.85546875" customWidth="1"/>
    <col min="2" max="2" width="11.5703125" customWidth="1"/>
    <col min="3" max="3" width="14.28515625" customWidth="1"/>
    <col min="4" max="4" width="11.7109375" customWidth="1"/>
    <col min="5" max="5" width="6.28515625" customWidth="1"/>
    <col min="6" max="6" width="9.85546875" customWidth="1"/>
    <col min="13" max="13" width="0" hidden="1" customWidth="1"/>
  </cols>
  <sheetData>
    <row r="1" spans="1:26" ht="15.75" x14ac:dyDescent="0.25">
      <c r="A1" s="1" t="s">
        <v>0</v>
      </c>
      <c r="B1" s="2"/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3"/>
      <c r="U1" s="6"/>
      <c r="V1" s="7"/>
      <c r="W1" s="7"/>
      <c r="X1" s="7"/>
      <c r="Y1" s="7"/>
      <c r="Z1" s="7"/>
    </row>
    <row r="2" spans="1:26" ht="15.75" x14ac:dyDescent="0.25">
      <c r="A2" s="1" t="s">
        <v>116</v>
      </c>
      <c r="B2" s="2"/>
      <c r="C2" s="3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3"/>
      <c r="U2" s="100"/>
      <c r="V2" s="101" t="s">
        <v>91</v>
      </c>
      <c r="W2" s="101" t="s">
        <v>92</v>
      </c>
      <c r="X2" s="102" t="s">
        <v>93</v>
      </c>
      <c r="Y2" s="102" t="s">
        <v>94</v>
      </c>
      <c r="Z2" s="102" t="s">
        <v>95</v>
      </c>
    </row>
    <row r="3" spans="1:26" ht="15" customHeight="1" x14ac:dyDescent="0.25">
      <c r="A3" s="243" t="s">
        <v>1</v>
      </c>
      <c r="B3" s="243" t="s">
        <v>2</v>
      </c>
      <c r="C3" s="240" t="s">
        <v>3</v>
      </c>
      <c r="D3" s="240" t="s">
        <v>4</v>
      </c>
      <c r="E3" s="244" t="s">
        <v>5</v>
      </c>
      <c r="F3" s="240" t="s">
        <v>6</v>
      </c>
      <c r="G3" s="240" t="s">
        <v>7</v>
      </c>
      <c r="H3" s="240" t="s">
        <v>8</v>
      </c>
      <c r="I3" s="244" t="s">
        <v>9</v>
      </c>
      <c r="J3" s="240" t="s">
        <v>10</v>
      </c>
      <c r="K3" s="240" t="s">
        <v>11</v>
      </c>
      <c r="L3" s="240" t="s">
        <v>12</v>
      </c>
      <c r="M3" s="240" t="s">
        <v>13</v>
      </c>
      <c r="N3" s="240" t="s">
        <v>14</v>
      </c>
      <c r="O3" s="240" t="s">
        <v>15</v>
      </c>
      <c r="P3" s="240" t="s">
        <v>16</v>
      </c>
      <c r="Q3" s="240" t="s">
        <v>17</v>
      </c>
      <c r="R3" s="240" t="s">
        <v>18</v>
      </c>
      <c r="S3" s="240" t="s">
        <v>19</v>
      </c>
      <c r="T3" s="240" t="s">
        <v>20</v>
      </c>
      <c r="U3" s="24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</row>
    <row r="4" spans="1:26" ht="15" customHeight="1" x14ac:dyDescent="0.25">
      <c r="A4" s="243"/>
      <c r="B4" s="243"/>
      <c r="C4" s="240"/>
      <c r="D4" s="240"/>
      <c r="E4" s="244"/>
      <c r="F4" s="240"/>
      <c r="G4" s="240"/>
      <c r="H4" s="240"/>
      <c r="I4" s="244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1"/>
      <c r="V4" s="238" t="s">
        <v>27</v>
      </c>
      <c r="W4" s="238" t="s">
        <v>28</v>
      </c>
      <c r="X4" s="238" t="s">
        <v>29</v>
      </c>
      <c r="Y4" s="238" t="s">
        <v>30</v>
      </c>
      <c r="Z4" s="238" t="s">
        <v>31</v>
      </c>
    </row>
    <row r="5" spans="1:26" x14ac:dyDescent="0.25">
      <c r="A5" s="243"/>
      <c r="B5" s="243"/>
      <c r="C5" s="240"/>
      <c r="D5" s="240"/>
      <c r="E5" s="244"/>
      <c r="F5" s="240"/>
      <c r="G5" s="240"/>
      <c r="H5" s="240"/>
      <c r="I5" s="244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1"/>
      <c r="V5" s="242"/>
      <c r="W5" s="238"/>
      <c r="X5" s="238"/>
      <c r="Y5" s="238"/>
      <c r="Z5" s="238"/>
    </row>
    <row r="6" spans="1:26" x14ac:dyDescent="0.25">
      <c r="A6" s="243"/>
      <c r="B6" s="243"/>
      <c r="C6" s="240"/>
      <c r="D6" s="240"/>
      <c r="E6" s="244"/>
      <c r="F6" s="240"/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7</v>
      </c>
      <c r="N6" s="9">
        <v>8</v>
      </c>
      <c r="O6" s="9">
        <v>9</v>
      </c>
      <c r="P6" s="9">
        <v>10</v>
      </c>
      <c r="Q6" s="9">
        <v>11</v>
      </c>
      <c r="R6" s="9">
        <v>12</v>
      </c>
      <c r="S6" s="9">
        <v>13</v>
      </c>
      <c r="T6" s="9">
        <v>14</v>
      </c>
      <c r="U6" s="241"/>
      <c r="V6" s="58">
        <v>15</v>
      </c>
      <c r="W6" s="58">
        <v>16</v>
      </c>
      <c r="X6" s="58">
        <v>17</v>
      </c>
      <c r="Y6" s="58">
        <v>18</v>
      </c>
      <c r="Z6" s="58">
        <v>19</v>
      </c>
    </row>
    <row r="7" spans="1:26" ht="31.5" customHeight="1" x14ac:dyDescent="0.25">
      <c r="A7" s="254">
        <v>1</v>
      </c>
      <c r="B7" s="265" t="s">
        <v>32</v>
      </c>
      <c r="C7" s="97" t="s">
        <v>33</v>
      </c>
      <c r="D7" s="21" t="s">
        <v>34</v>
      </c>
      <c r="E7" s="10">
        <v>31</v>
      </c>
      <c r="F7" s="10">
        <v>20</v>
      </c>
      <c r="G7" s="28">
        <v>23</v>
      </c>
      <c r="H7" s="11">
        <v>160</v>
      </c>
      <c r="I7" s="11">
        <v>26</v>
      </c>
      <c r="J7" s="11">
        <v>209</v>
      </c>
      <c r="K7" s="11">
        <v>6</v>
      </c>
      <c r="L7" s="11">
        <v>171</v>
      </c>
      <c r="M7" s="12">
        <v>10</v>
      </c>
      <c r="N7" s="11">
        <v>6</v>
      </c>
      <c r="O7" s="11">
        <v>4</v>
      </c>
      <c r="P7" s="12">
        <v>187</v>
      </c>
      <c r="Q7" s="11">
        <v>647</v>
      </c>
      <c r="R7" s="11">
        <v>0</v>
      </c>
      <c r="S7" s="11">
        <v>650</v>
      </c>
      <c r="T7" s="12">
        <v>22</v>
      </c>
      <c r="U7" s="12">
        <v>181</v>
      </c>
      <c r="V7" s="13">
        <v>20.967741935483872</v>
      </c>
      <c r="W7" s="13">
        <v>104.83870967741935</v>
      </c>
      <c r="X7" s="13">
        <v>3.5911602209944751</v>
      </c>
      <c r="Y7" s="14">
        <v>-0.16574585635359132</v>
      </c>
      <c r="Z7" s="15">
        <v>9.0500000000000007</v>
      </c>
    </row>
    <row r="8" spans="1:26" ht="15.75" x14ac:dyDescent="0.25">
      <c r="A8" s="254"/>
      <c r="B8" s="266"/>
      <c r="C8" s="17" t="s">
        <v>35</v>
      </c>
      <c r="D8" s="16"/>
      <c r="E8" s="10">
        <v>31</v>
      </c>
      <c r="F8" s="17">
        <v>20</v>
      </c>
      <c r="G8" s="17">
        <v>23</v>
      </c>
      <c r="H8" s="17">
        <v>160</v>
      </c>
      <c r="I8" s="17">
        <v>26</v>
      </c>
      <c r="J8" s="17">
        <v>209</v>
      </c>
      <c r="K8" s="17">
        <v>6</v>
      </c>
      <c r="L8" s="17">
        <v>171</v>
      </c>
      <c r="M8" s="18">
        <v>10</v>
      </c>
      <c r="N8" s="17">
        <v>6</v>
      </c>
      <c r="O8" s="17">
        <v>4</v>
      </c>
      <c r="P8" s="18">
        <v>187</v>
      </c>
      <c r="Q8" s="17">
        <v>647</v>
      </c>
      <c r="R8" s="17">
        <v>0</v>
      </c>
      <c r="S8" s="17">
        <v>650</v>
      </c>
      <c r="T8" s="18">
        <v>22</v>
      </c>
      <c r="U8" s="18">
        <v>181</v>
      </c>
      <c r="V8" s="19">
        <v>20.967741935483872</v>
      </c>
      <c r="W8" s="19">
        <v>104.83870967741935</v>
      </c>
      <c r="X8" s="19">
        <v>3.5911602209944751</v>
      </c>
      <c r="Y8" s="20">
        <v>-0.16574585635359132</v>
      </c>
      <c r="Z8" s="20">
        <v>9.0500000000000007</v>
      </c>
    </row>
    <row r="9" spans="1:26" ht="15.75" x14ac:dyDescent="0.25">
      <c r="A9" s="256">
        <v>2</v>
      </c>
      <c r="B9" s="266"/>
      <c r="C9" s="11" t="s">
        <v>36</v>
      </c>
      <c r="D9" s="21" t="s">
        <v>34</v>
      </c>
      <c r="E9" s="10">
        <v>31</v>
      </c>
      <c r="F9" s="11">
        <v>16</v>
      </c>
      <c r="G9" s="28">
        <v>16</v>
      </c>
      <c r="H9" s="11">
        <v>97</v>
      </c>
      <c r="I9" s="11">
        <v>48</v>
      </c>
      <c r="J9" s="11">
        <v>161</v>
      </c>
      <c r="K9" s="11">
        <v>6</v>
      </c>
      <c r="L9" s="11">
        <v>124</v>
      </c>
      <c r="M9" s="12">
        <v>17</v>
      </c>
      <c r="N9" s="11">
        <v>12</v>
      </c>
      <c r="O9" s="11">
        <v>5</v>
      </c>
      <c r="P9" s="12">
        <v>147</v>
      </c>
      <c r="Q9" s="11">
        <v>471</v>
      </c>
      <c r="R9" s="11">
        <v>4</v>
      </c>
      <c r="S9" s="11">
        <v>474</v>
      </c>
      <c r="T9" s="12">
        <v>14</v>
      </c>
      <c r="U9" s="12">
        <v>141</v>
      </c>
      <c r="V9" s="13">
        <v>15.290322580645162</v>
      </c>
      <c r="W9" s="13">
        <v>95.564516129032256</v>
      </c>
      <c r="X9" s="13">
        <v>3.3617021276595747</v>
      </c>
      <c r="Y9" s="14">
        <v>0.15602836879432608</v>
      </c>
      <c r="Z9" s="15">
        <v>8.8125</v>
      </c>
    </row>
    <row r="10" spans="1:26" ht="15.75" x14ac:dyDescent="0.25">
      <c r="A10" s="256"/>
      <c r="B10" s="266"/>
      <c r="C10" s="17" t="s">
        <v>36</v>
      </c>
      <c r="D10" s="16"/>
      <c r="E10" s="10">
        <v>31</v>
      </c>
      <c r="F10" s="17">
        <v>16</v>
      </c>
      <c r="G10" s="17">
        <v>16</v>
      </c>
      <c r="H10" s="17">
        <v>97</v>
      </c>
      <c r="I10" s="17">
        <v>48</v>
      </c>
      <c r="J10" s="17">
        <v>161</v>
      </c>
      <c r="K10" s="17">
        <v>6</v>
      </c>
      <c r="L10" s="17">
        <v>124</v>
      </c>
      <c r="M10" s="18">
        <v>17</v>
      </c>
      <c r="N10" s="17">
        <v>12</v>
      </c>
      <c r="O10" s="17">
        <v>5</v>
      </c>
      <c r="P10" s="18">
        <v>147</v>
      </c>
      <c r="Q10" s="17">
        <v>471</v>
      </c>
      <c r="R10" s="17">
        <v>4</v>
      </c>
      <c r="S10" s="17">
        <v>474</v>
      </c>
      <c r="T10" s="18">
        <v>14</v>
      </c>
      <c r="U10" s="18">
        <v>141</v>
      </c>
      <c r="V10" s="19">
        <v>15.290322580645162</v>
      </c>
      <c r="W10" s="19">
        <v>95.564516129032256</v>
      </c>
      <c r="X10" s="19">
        <v>3.3617021276595747</v>
      </c>
      <c r="Y10" s="20">
        <v>0.15602836879432608</v>
      </c>
      <c r="Z10" s="20">
        <v>8.8125</v>
      </c>
    </row>
    <row r="11" spans="1:26" ht="15.75" x14ac:dyDescent="0.25">
      <c r="A11" s="256">
        <v>3</v>
      </c>
      <c r="B11" s="266"/>
      <c r="C11" s="256" t="s">
        <v>37</v>
      </c>
      <c r="D11" s="21" t="s">
        <v>38</v>
      </c>
      <c r="E11" s="10">
        <v>31</v>
      </c>
      <c r="F11" s="11"/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2">
        <v>0</v>
      </c>
      <c r="N11" s="11">
        <v>0</v>
      </c>
      <c r="O11" s="11">
        <v>0</v>
      </c>
      <c r="P11" s="12">
        <v>0</v>
      </c>
      <c r="Q11" s="11">
        <v>0</v>
      </c>
      <c r="R11" s="11">
        <v>0</v>
      </c>
      <c r="S11" s="11">
        <v>0</v>
      </c>
      <c r="T11" s="12">
        <v>0</v>
      </c>
      <c r="U11" s="12">
        <v>0</v>
      </c>
      <c r="V11" s="13">
        <v>0</v>
      </c>
      <c r="W11" s="13" t="e">
        <v>#DIV/0!</v>
      </c>
      <c r="X11" s="13" t="e">
        <v>#DIV/0!</v>
      </c>
      <c r="Y11" s="14" t="e">
        <v>#DIV/0!</v>
      </c>
      <c r="Z11" s="15" t="e">
        <v>#DIV/0!</v>
      </c>
    </row>
    <row r="12" spans="1:26" ht="15.75" x14ac:dyDescent="0.25">
      <c r="A12" s="256"/>
      <c r="B12" s="266"/>
      <c r="C12" s="256"/>
      <c r="D12" s="21" t="s">
        <v>34</v>
      </c>
      <c r="E12" s="10">
        <v>31</v>
      </c>
      <c r="F12" s="11">
        <v>12</v>
      </c>
      <c r="G12" s="28">
        <v>9</v>
      </c>
      <c r="H12" s="11">
        <v>78</v>
      </c>
      <c r="I12" s="11">
        <v>3</v>
      </c>
      <c r="J12" s="11">
        <v>90</v>
      </c>
      <c r="K12" s="11">
        <v>5</v>
      </c>
      <c r="L12" s="11">
        <v>67</v>
      </c>
      <c r="M12" s="12">
        <v>8</v>
      </c>
      <c r="N12" s="11">
        <v>8</v>
      </c>
      <c r="O12" s="11">
        <v>0</v>
      </c>
      <c r="P12" s="12">
        <v>80</v>
      </c>
      <c r="Q12" s="11">
        <v>283</v>
      </c>
      <c r="R12" s="11">
        <v>2</v>
      </c>
      <c r="S12" s="11">
        <v>308</v>
      </c>
      <c r="T12" s="12">
        <v>10</v>
      </c>
      <c r="U12" s="12">
        <v>75</v>
      </c>
      <c r="V12" s="13">
        <v>9.935483870967742</v>
      </c>
      <c r="W12" s="13">
        <v>82.795698924731184</v>
      </c>
      <c r="X12" s="13">
        <v>4.1066666666666665</v>
      </c>
      <c r="Y12" s="14">
        <v>0.85333333333333339</v>
      </c>
      <c r="Z12" s="15">
        <v>6.25</v>
      </c>
    </row>
    <row r="13" spans="1:26" ht="15.75" x14ac:dyDescent="0.25">
      <c r="A13" s="256"/>
      <c r="B13" s="266"/>
      <c r="C13" s="17" t="s">
        <v>37</v>
      </c>
      <c r="D13" s="16"/>
      <c r="E13" s="10">
        <v>31</v>
      </c>
      <c r="F13" s="17">
        <v>12</v>
      </c>
      <c r="G13" s="17">
        <v>9</v>
      </c>
      <c r="H13" s="17">
        <v>78</v>
      </c>
      <c r="I13" s="17">
        <v>3</v>
      </c>
      <c r="J13" s="17">
        <v>90</v>
      </c>
      <c r="K13" s="17">
        <v>5</v>
      </c>
      <c r="L13" s="17">
        <v>67</v>
      </c>
      <c r="M13" s="18">
        <v>8</v>
      </c>
      <c r="N13" s="17">
        <v>8</v>
      </c>
      <c r="O13" s="17">
        <v>0</v>
      </c>
      <c r="P13" s="18">
        <v>80</v>
      </c>
      <c r="Q13" s="17">
        <v>283</v>
      </c>
      <c r="R13" s="17">
        <v>2</v>
      </c>
      <c r="S13" s="17">
        <v>308</v>
      </c>
      <c r="T13" s="18">
        <v>10</v>
      </c>
      <c r="U13" s="18">
        <v>75</v>
      </c>
      <c r="V13" s="19">
        <v>9.935483870967742</v>
      </c>
      <c r="W13" s="19">
        <v>82.795698924731184</v>
      </c>
      <c r="X13" s="19">
        <v>4.1066666666666665</v>
      </c>
      <c r="Y13" s="20">
        <v>0.85333333333333339</v>
      </c>
      <c r="Z13" s="20">
        <v>6.25</v>
      </c>
    </row>
    <row r="14" spans="1:26" ht="15.75" x14ac:dyDescent="0.25">
      <c r="A14" s="256">
        <v>4</v>
      </c>
      <c r="B14" s="266"/>
      <c r="C14" s="254" t="s">
        <v>39</v>
      </c>
      <c r="D14" s="21" t="s">
        <v>38</v>
      </c>
      <c r="E14" s="10">
        <v>31</v>
      </c>
      <c r="F14" s="10">
        <v>2</v>
      </c>
      <c r="G14" s="28">
        <v>1</v>
      </c>
      <c r="H14" s="11">
        <v>12</v>
      </c>
      <c r="I14" s="11">
        <v>8</v>
      </c>
      <c r="J14" s="11">
        <v>21</v>
      </c>
      <c r="K14" s="11">
        <v>6</v>
      </c>
      <c r="L14" s="11">
        <v>13</v>
      </c>
      <c r="M14" s="12">
        <v>0</v>
      </c>
      <c r="N14" s="11">
        <v>0</v>
      </c>
      <c r="O14" s="11">
        <v>0</v>
      </c>
      <c r="P14" s="12">
        <v>19</v>
      </c>
      <c r="Q14" s="11">
        <v>51</v>
      </c>
      <c r="R14" s="11">
        <v>0</v>
      </c>
      <c r="S14" s="11">
        <v>45</v>
      </c>
      <c r="T14" s="12">
        <v>2</v>
      </c>
      <c r="U14" s="12">
        <v>13</v>
      </c>
      <c r="V14" s="13">
        <v>1.4516129032258065</v>
      </c>
      <c r="W14" s="13">
        <v>72.58064516129032</v>
      </c>
      <c r="X14" s="13">
        <v>3.4615384615384617</v>
      </c>
      <c r="Y14" s="14">
        <v>1.3076923076923077</v>
      </c>
      <c r="Z14" s="15">
        <v>6.5</v>
      </c>
    </row>
    <row r="15" spans="1:26" ht="15.75" x14ac:dyDescent="0.25">
      <c r="A15" s="256"/>
      <c r="B15" s="266"/>
      <c r="C15" s="254"/>
      <c r="D15" s="21" t="s">
        <v>34</v>
      </c>
      <c r="E15" s="10">
        <v>31</v>
      </c>
      <c r="F15" s="10">
        <v>17</v>
      </c>
      <c r="G15" s="28">
        <v>15</v>
      </c>
      <c r="H15" s="11">
        <v>119</v>
      </c>
      <c r="I15" s="11">
        <v>14</v>
      </c>
      <c r="J15" s="11">
        <v>148</v>
      </c>
      <c r="K15" s="11">
        <v>12</v>
      </c>
      <c r="L15" s="11">
        <v>117</v>
      </c>
      <c r="M15" s="12">
        <v>4</v>
      </c>
      <c r="N15" s="11">
        <v>3</v>
      </c>
      <c r="O15" s="11">
        <v>1</v>
      </c>
      <c r="P15" s="12">
        <v>133</v>
      </c>
      <c r="Q15" s="11">
        <v>511</v>
      </c>
      <c r="R15" s="11">
        <v>1</v>
      </c>
      <c r="S15" s="11">
        <v>464</v>
      </c>
      <c r="T15" s="12">
        <v>15</v>
      </c>
      <c r="U15" s="12">
        <v>121</v>
      </c>
      <c r="V15" s="13">
        <v>14.96774193548387</v>
      </c>
      <c r="W15" s="13">
        <v>88.045540796963934</v>
      </c>
      <c r="X15" s="13">
        <v>3.834710743801653</v>
      </c>
      <c r="Y15" s="14">
        <v>0.52066115702479365</v>
      </c>
      <c r="Z15" s="15">
        <v>7.117647058823529</v>
      </c>
    </row>
    <row r="16" spans="1:26" ht="15.75" x14ac:dyDescent="0.25">
      <c r="A16" s="256"/>
      <c r="B16" s="266"/>
      <c r="C16" s="254"/>
      <c r="D16" s="21" t="s">
        <v>40</v>
      </c>
      <c r="E16" s="10">
        <v>31</v>
      </c>
      <c r="F16" s="10">
        <v>5</v>
      </c>
      <c r="G16" s="28">
        <v>2</v>
      </c>
      <c r="H16" s="11">
        <v>33</v>
      </c>
      <c r="I16" s="11">
        <v>4</v>
      </c>
      <c r="J16" s="11">
        <v>39</v>
      </c>
      <c r="K16" s="11">
        <v>9</v>
      </c>
      <c r="L16" s="11">
        <v>26</v>
      </c>
      <c r="M16" s="12">
        <v>0</v>
      </c>
      <c r="N16" s="11">
        <v>0</v>
      </c>
      <c r="O16" s="11">
        <v>0</v>
      </c>
      <c r="P16" s="12">
        <v>35</v>
      </c>
      <c r="Q16" s="11">
        <v>104</v>
      </c>
      <c r="R16" s="11">
        <v>0</v>
      </c>
      <c r="S16" s="11">
        <v>98</v>
      </c>
      <c r="T16" s="12">
        <v>4</v>
      </c>
      <c r="U16" s="12">
        <v>26</v>
      </c>
      <c r="V16" s="13">
        <v>3.161290322580645</v>
      </c>
      <c r="W16" s="13">
        <v>63.225806451612897</v>
      </c>
      <c r="X16" s="13">
        <v>3.7692307692307692</v>
      </c>
      <c r="Y16" s="14">
        <v>2.1923076923076925</v>
      </c>
      <c r="Z16" s="15">
        <v>5.2</v>
      </c>
    </row>
    <row r="17" spans="1:26" ht="15.75" x14ac:dyDescent="0.25">
      <c r="A17" s="256"/>
      <c r="B17" s="266"/>
      <c r="C17" s="17" t="s">
        <v>39</v>
      </c>
      <c r="D17" s="16"/>
      <c r="E17" s="10">
        <v>31</v>
      </c>
      <c r="F17" s="17">
        <v>24</v>
      </c>
      <c r="G17" s="17">
        <v>18</v>
      </c>
      <c r="H17" s="17">
        <v>164</v>
      </c>
      <c r="I17" s="17">
        <v>26</v>
      </c>
      <c r="J17" s="17">
        <v>208</v>
      </c>
      <c r="K17" s="17">
        <v>27</v>
      </c>
      <c r="L17" s="17">
        <v>156</v>
      </c>
      <c r="M17" s="18">
        <v>4</v>
      </c>
      <c r="N17" s="17">
        <v>3</v>
      </c>
      <c r="O17" s="17">
        <v>1</v>
      </c>
      <c r="P17" s="18">
        <v>187</v>
      </c>
      <c r="Q17" s="17">
        <v>666</v>
      </c>
      <c r="R17" s="17">
        <v>1</v>
      </c>
      <c r="S17" s="17">
        <v>607</v>
      </c>
      <c r="T17" s="18">
        <v>21</v>
      </c>
      <c r="U17" s="18">
        <v>160</v>
      </c>
      <c r="V17" s="19">
        <v>19.580645161290324</v>
      </c>
      <c r="W17" s="19">
        <v>81.586021505376351</v>
      </c>
      <c r="X17" s="19">
        <v>3.7937500000000002</v>
      </c>
      <c r="Y17" s="20">
        <v>0.85624999999999984</v>
      </c>
      <c r="Z17" s="20">
        <v>6.666666666666667</v>
      </c>
    </row>
    <row r="18" spans="1:26" ht="15.75" x14ac:dyDescent="0.25">
      <c r="A18" s="248">
        <v>5</v>
      </c>
      <c r="B18" s="266"/>
      <c r="C18" s="248" t="s">
        <v>41</v>
      </c>
      <c r="D18" s="22" t="s">
        <v>115</v>
      </c>
      <c r="E18" s="10">
        <v>31</v>
      </c>
      <c r="F18" s="11">
        <v>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2"/>
      <c r="N18" s="11">
        <v>0</v>
      </c>
      <c r="O18" s="11">
        <v>0</v>
      </c>
      <c r="P18" s="12">
        <v>0</v>
      </c>
      <c r="Q18" s="11">
        <v>0</v>
      </c>
      <c r="R18" s="11">
        <v>0</v>
      </c>
      <c r="S18" s="11">
        <v>0</v>
      </c>
      <c r="T18" s="12">
        <v>0</v>
      </c>
      <c r="U18" s="12">
        <v>0</v>
      </c>
      <c r="V18" s="13">
        <v>0</v>
      </c>
      <c r="W18" s="13">
        <v>0</v>
      </c>
      <c r="X18" s="13" t="e">
        <v>#DIV/0!</v>
      </c>
      <c r="Y18" s="14" t="e">
        <v>#DIV/0!</v>
      </c>
      <c r="Z18" s="15">
        <v>0</v>
      </c>
    </row>
    <row r="19" spans="1:26" ht="15.75" x14ac:dyDescent="0.25">
      <c r="A19" s="249"/>
      <c r="B19" s="266"/>
      <c r="C19" s="249"/>
      <c r="D19" s="98" t="s">
        <v>42</v>
      </c>
      <c r="E19" s="10">
        <v>31</v>
      </c>
      <c r="F19" s="10">
        <v>15</v>
      </c>
      <c r="G19" s="28">
        <v>21</v>
      </c>
      <c r="H19" s="11">
        <v>159</v>
      </c>
      <c r="I19" s="11">
        <v>21</v>
      </c>
      <c r="J19" s="11">
        <v>201</v>
      </c>
      <c r="K19" s="11">
        <v>20</v>
      </c>
      <c r="L19" s="11">
        <v>129</v>
      </c>
      <c r="M19" s="12">
        <v>31</v>
      </c>
      <c r="N19" s="11">
        <v>22</v>
      </c>
      <c r="O19" s="11">
        <v>9</v>
      </c>
      <c r="P19" s="12">
        <v>180</v>
      </c>
      <c r="Q19" s="11">
        <v>556</v>
      </c>
      <c r="R19" s="11">
        <v>5</v>
      </c>
      <c r="S19" s="11">
        <v>588</v>
      </c>
      <c r="T19" s="12">
        <v>21</v>
      </c>
      <c r="U19" s="12">
        <v>160</v>
      </c>
      <c r="V19" s="13">
        <v>18.967741935483872</v>
      </c>
      <c r="W19" s="13">
        <v>126.45161290322582</v>
      </c>
      <c r="X19" s="13">
        <v>3.6749999999999998</v>
      </c>
      <c r="Y19" s="14">
        <v>-0.76875000000000016</v>
      </c>
      <c r="Z19" s="15">
        <v>10.666666666666666</v>
      </c>
    </row>
    <row r="20" spans="1:26" ht="15.75" x14ac:dyDescent="0.25">
      <c r="A20" s="249"/>
      <c r="B20" s="266"/>
      <c r="C20" s="250"/>
      <c r="D20" s="98" t="s">
        <v>43</v>
      </c>
      <c r="E20" s="10">
        <v>31</v>
      </c>
      <c r="F20" s="10">
        <v>12</v>
      </c>
      <c r="G20" s="28">
        <v>15</v>
      </c>
      <c r="H20" s="11">
        <v>94</v>
      </c>
      <c r="I20" s="11">
        <v>34</v>
      </c>
      <c r="J20" s="11">
        <v>143</v>
      </c>
      <c r="K20" s="11">
        <v>30</v>
      </c>
      <c r="L20" s="11">
        <v>90</v>
      </c>
      <c r="M20" s="12">
        <v>11</v>
      </c>
      <c r="N20" s="11">
        <v>6</v>
      </c>
      <c r="O20" s="11">
        <v>5</v>
      </c>
      <c r="P20" s="12">
        <v>131</v>
      </c>
      <c r="Q20" s="11">
        <v>361</v>
      </c>
      <c r="R20" s="11">
        <v>2</v>
      </c>
      <c r="S20" s="11">
        <v>395</v>
      </c>
      <c r="T20" s="12">
        <v>12</v>
      </c>
      <c r="U20" s="12">
        <v>101</v>
      </c>
      <c r="V20" s="13">
        <v>12.741935483870968</v>
      </c>
      <c r="W20" s="13">
        <v>106.18279569892472</v>
      </c>
      <c r="X20" s="13">
        <v>3.9108910891089108</v>
      </c>
      <c r="Y20" s="14">
        <v>-0.22772277227722779</v>
      </c>
      <c r="Z20" s="15">
        <v>8.4166666666666661</v>
      </c>
    </row>
    <row r="21" spans="1:26" ht="15.75" x14ac:dyDescent="0.25">
      <c r="A21" s="250"/>
      <c r="B21" s="266"/>
      <c r="C21" s="17" t="s">
        <v>41</v>
      </c>
      <c r="D21" s="16"/>
      <c r="E21" s="10">
        <v>31</v>
      </c>
      <c r="F21" s="17">
        <v>31</v>
      </c>
      <c r="G21" s="17">
        <v>36</v>
      </c>
      <c r="H21" s="17">
        <v>253</v>
      </c>
      <c r="I21" s="17">
        <v>55</v>
      </c>
      <c r="J21" s="17">
        <v>344</v>
      </c>
      <c r="K21" s="17">
        <v>50</v>
      </c>
      <c r="L21" s="17">
        <v>219</v>
      </c>
      <c r="M21" s="18">
        <v>42</v>
      </c>
      <c r="N21" s="17">
        <v>28</v>
      </c>
      <c r="O21" s="17">
        <v>14</v>
      </c>
      <c r="P21" s="18">
        <v>311</v>
      </c>
      <c r="Q21" s="17">
        <v>917</v>
      </c>
      <c r="R21" s="17">
        <v>7</v>
      </c>
      <c r="S21" s="17">
        <v>983</v>
      </c>
      <c r="T21" s="18">
        <v>33</v>
      </c>
      <c r="U21" s="18">
        <v>261</v>
      </c>
      <c r="V21" s="19">
        <v>31.70967741935484</v>
      </c>
      <c r="W21" s="19">
        <v>117.44324970131422</v>
      </c>
      <c r="X21" s="19">
        <v>3.7662835249042144</v>
      </c>
      <c r="Y21" s="20">
        <v>-0.55938697318007657</v>
      </c>
      <c r="Z21" s="20">
        <v>19.083333333333332</v>
      </c>
    </row>
    <row r="22" spans="1:26" ht="15.75" x14ac:dyDescent="0.25">
      <c r="A22" s="254">
        <v>6</v>
      </c>
      <c r="B22" s="266"/>
      <c r="C22" s="10" t="s">
        <v>44</v>
      </c>
      <c r="D22" s="21" t="s">
        <v>34</v>
      </c>
      <c r="E22" s="10">
        <v>31</v>
      </c>
      <c r="F22" s="10">
        <v>18</v>
      </c>
      <c r="G22" s="28">
        <v>19</v>
      </c>
      <c r="H22" s="11">
        <v>143</v>
      </c>
      <c r="I22" s="11">
        <v>9</v>
      </c>
      <c r="J22" s="11">
        <v>171</v>
      </c>
      <c r="K22" s="11">
        <v>10</v>
      </c>
      <c r="L22" s="11">
        <v>134</v>
      </c>
      <c r="M22" s="12">
        <v>9</v>
      </c>
      <c r="N22" s="11">
        <v>3</v>
      </c>
      <c r="O22" s="11">
        <v>6</v>
      </c>
      <c r="P22" s="12">
        <v>153</v>
      </c>
      <c r="Q22" s="11">
        <v>447</v>
      </c>
      <c r="R22" s="11">
        <v>3</v>
      </c>
      <c r="S22" s="11">
        <v>461</v>
      </c>
      <c r="T22" s="12">
        <v>18</v>
      </c>
      <c r="U22" s="12">
        <v>143</v>
      </c>
      <c r="V22" s="13">
        <v>14.870967741935484</v>
      </c>
      <c r="W22" s="13">
        <v>82.616487455197131</v>
      </c>
      <c r="X22" s="13">
        <v>3.2237762237762237</v>
      </c>
      <c r="Y22" s="14">
        <v>0.67832167832167833</v>
      </c>
      <c r="Z22" s="15">
        <v>7.9444444444444446</v>
      </c>
    </row>
    <row r="23" spans="1:26" ht="15.75" x14ac:dyDescent="0.25">
      <c r="A23" s="254"/>
      <c r="B23" s="266"/>
      <c r="C23" s="17" t="s">
        <v>44</v>
      </c>
      <c r="D23" s="16"/>
      <c r="E23" s="10">
        <v>31</v>
      </c>
      <c r="F23" s="17">
        <v>18</v>
      </c>
      <c r="G23" s="17">
        <v>19</v>
      </c>
      <c r="H23" s="17">
        <v>143</v>
      </c>
      <c r="I23" s="17">
        <v>9</v>
      </c>
      <c r="J23" s="17">
        <v>171</v>
      </c>
      <c r="K23" s="17">
        <v>10</v>
      </c>
      <c r="L23" s="17">
        <v>134</v>
      </c>
      <c r="M23" s="18">
        <v>9</v>
      </c>
      <c r="N23" s="17">
        <v>3</v>
      </c>
      <c r="O23" s="17">
        <v>6</v>
      </c>
      <c r="P23" s="18">
        <v>153</v>
      </c>
      <c r="Q23" s="17">
        <v>447</v>
      </c>
      <c r="R23" s="17">
        <v>3</v>
      </c>
      <c r="S23" s="17">
        <v>461</v>
      </c>
      <c r="T23" s="18">
        <v>18</v>
      </c>
      <c r="U23" s="18">
        <v>143</v>
      </c>
      <c r="V23" s="19">
        <v>14.870967741935484</v>
      </c>
      <c r="W23" s="19">
        <v>82.616487455197131</v>
      </c>
      <c r="X23" s="19">
        <v>3.2237762237762237</v>
      </c>
      <c r="Y23" s="20">
        <v>0.67832167832167833</v>
      </c>
      <c r="Z23" s="20">
        <v>7.9444444444444446</v>
      </c>
    </row>
    <row r="24" spans="1:26" ht="15.75" x14ac:dyDescent="0.25">
      <c r="A24" s="248">
        <v>7</v>
      </c>
      <c r="B24" s="266"/>
      <c r="C24" s="248" t="s">
        <v>45</v>
      </c>
      <c r="D24" s="22" t="s">
        <v>40</v>
      </c>
      <c r="E24" s="10">
        <v>31</v>
      </c>
      <c r="F24" s="11">
        <v>4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2"/>
      <c r="N24" s="11">
        <v>0</v>
      </c>
      <c r="O24" s="11">
        <v>0</v>
      </c>
      <c r="P24" s="12">
        <v>0</v>
      </c>
      <c r="Q24" s="11">
        <v>0</v>
      </c>
      <c r="R24" s="11">
        <v>0</v>
      </c>
      <c r="S24" s="11">
        <v>0</v>
      </c>
      <c r="T24" s="12">
        <v>0</v>
      </c>
      <c r="U24" s="12">
        <v>0</v>
      </c>
      <c r="V24" s="13">
        <v>0</v>
      </c>
      <c r="W24" s="13">
        <v>0</v>
      </c>
      <c r="X24" s="13" t="e">
        <v>#DIV/0!</v>
      </c>
      <c r="Y24" s="14" t="e">
        <v>#DIV/0!</v>
      </c>
      <c r="Z24" s="15">
        <v>0</v>
      </c>
    </row>
    <row r="25" spans="1:26" ht="15.75" x14ac:dyDescent="0.25">
      <c r="A25" s="249"/>
      <c r="B25" s="266"/>
      <c r="C25" s="250"/>
      <c r="D25" s="21" t="s">
        <v>34</v>
      </c>
      <c r="E25" s="10">
        <v>31</v>
      </c>
      <c r="F25" s="10">
        <v>16</v>
      </c>
      <c r="G25" s="28">
        <v>18</v>
      </c>
      <c r="H25" s="11">
        <v>132</v>
      </c>
      <c r="I25" s="11">
        <v>19</v>
      </c>
      <c r="J25" s="11">
        <v>169</v>
      </c>
      <c r="K25" s="11">
        <v>16</v>
      </c>
      <c r="L25" s="11">
        <v>125</v>
      </c>
      <c r="M25" s="12">
        <v>11</v>
      </c>
      <c r="N25" s="11">
        <v>4</v>
      </c>
      <c r="O25" s="11">
        <v>7</v>
      </c>
      <c r="P25" s="12">
        <v>152</v>
      </c>
      <c r="Q25" s="11">
        <v>449</v>
      </c>
      <c r="R25" s="11">
        <v>1</v>
      </c>
      <c r="S25" s="11">
        <v>502</v>
      </c>
      <c r="T25" s="12">
        <v>17</v>
      </c>
      <c r="U25" s="12">
        <v>136</v>
      </c>
      <c r="V25" s="13">
        <v>16.193548387096776</v>
      </c>
      <c r="W25" s="13">
        <v>101.20967741935485</v>
      </c>
      <c r="X25" s="13">
        <v>3.6911764705882355</v>
      </c>
      <c r="Y25" s="14">
        <v>-4.4117647058823893E-2</v>
      </c>
      <c r="Z25" s="15">
        <v>8.5</v>
      </c>
    </row>
    <row r="26" spans="1:26" ht="15.75" x14ac:dyDescent="0.25">
      <c r="A26" s="250"/>
      <c r="B26" s="266"/>
      <c r="C26" s="17" t="s">
        <v>45</v>
      </c>
      <c r="D26" s="16"/>
      <c r="E26" s="10">
        <v>31</v>
      </c>
      <c r="F26" s="17">
        <v>20</v>
      </c>
      <c r="G26" s="17">
        <v>18</v>
      </c>
      <c r="H26" s="17">
        <v>132</v>
      </c>
      <c r="I26" s="17">
        <v>19</v>
      </c>
      <c r="J26" s="17">
        <v>169</v>
      </c>
      <c r="K26" s="17">
        <v>16</v>
      </c>
      <c r="L26" s="17">
        <v>125</v>
      </c>
      <c r="M26" s="18">
        <v>11</v>
      </c>
      <c r="N26" s="17">
        <v>4</v>
      </c>
      <c r="O26" s="17">
        <v>7</v>
      </c>
      <c r="P26" s="18">
        <v>152</v>
      </c>
      <c r="Q26" s="17">
        <v>449</v>
      </c>
      <c r="R26" s="17">
        <v>1</v>
      </c>
      <c r="S26" s="17">
        <v>502</v>
      </c>
      <c r="T26" s="18">
        <v>17</v>
      </c>
      <c r="U26" s="18">
        <v>136</v>
      </c>
      <c r="V26" s="19">
        <v>16.193548387096776</v>
      </c>
      <c r="W26" s="19">
        <v>80.967741935483886</v>
      </c>
      <c r="X26" s="19">
        <v>3.6911764705882355</v>
      </c>
      <c r="Y26" s="20">
        <v>0.86764705882352899</v>
      </c>
      <c r="Z26" s="20">
        <v>6.8</v>
      </c>
    </row>
    <row r="27" spans="1:26" ht="15.75" x14ac:dyDescent="0.25">
      <c r="A27" s="256">
        <v>8</v>
      </c>
      <c r="B27" s="266"/>
      <c r="C27" s="11" t="s">
        <v>46</v>
      </c>
      <c r="D27" s="21" t="s">
        <v>34</v>
      </c>
      <c r="E27" s="10">
        <v>31</v>
      </c>
      <c r="F27" s="11">
        <v>20</v>
      </c>
      <c r="G27" s="28">
        <v>20</v>
      </c>
      <c r="H27" s="11">
        <v>172</v>
      </c>
      <c r="I27" s="11">
        <v>8</v>
      </c>
      <c r="J27" s="11">
        <v>200</v>
      </c>
      <c r="K27" s="11">
        <v>12</v>
      </c>
      <c r="L27" s="11">
        <v>161</v>
      </c>
      <c r="M27" s="12">
        <v>10</v>
      </c>
      <c r="N27" s="11">
        <v>5</v>
      </c>
      <c r="O27" s="11">
        <v>5</v>
      </c>
      <c r="P27" s="12">
        <v>183</v>
      </c>
      <c r="Q27" s="11">
        <v>581</v>
      </c>
      <c r="R27" s="11">
        <v>2</v>
      </c>
      <c r="S27" s="11">
        <v>593</v>
      </c>
      <c r="T27" s="12">
        <v>17</v>
      </c>
      <c r="U27" s="12">
        <v>171</v>
      </c>
      <c r="V27" s="13">
        <v>19.129032258064516</v>
      </c>
      <c r="W27" s="13">
        <v>95.645161290322577</v>
      </c>
      <c r="X27" s="13">
        <v>3.4678362573099415</v>
      </c>
      <c r="Y27" s="14">
        <v>0.15789473684210528</v>
      </c>
      <c r="Z27" s="15">
        <v>8.5500000000000007</v>
      </c>
    </row>
    <row r="28" spans="1:26" ht="15.75" x14ac:dyDescent="0.25">
      <c r="A28" s="256"/>
      <c r="B28" s="266"/>
      <c r="C28" s="17" t="s">
        <v>46</v>
      </c>
      <c r="D28" s="16"/>
      <c r="E28" s="10">
        <v>31</v>
      </c>
      <c r="F28" s="17">
        <v>20</v>
      </c>
      <c r="G28" s="17">
        <v>20</v>
      </c>
      <c r="H28" s="17">
        <v>172</v>
      </c>
      <c r="I28" s="17">
        <v>8</v>
      </c>
      <c r="J28" s="17">
        <v>200</v>
      </c>
      <c r="K28" s="17">
        <v>12</v>
      </c>
      <c r="L28" s="17">
        <v>161</v>
      </c>
      <c r="M28" s="18">
        <v>10</v>
      </c>
      <c r="N28" s="17">
        <v>5</v>
      </c>
      <c r="O28" s="17">
        <v>5</v>
      </c>
      <c r="P28" s="18">
        <v>183</v>
      </c>
      <c r="Q28" s="17">
        <v>581</v>
      </c>
      <c r="R28" s="17">
        <v>2</v>
      </c>
      <c r="S28" s="17">
        <v>593</v>
      </c>
      <c r="T28" s="18">
        <v>17</v>
      </c>
      <c r="U28" s="18">
        <v>171</v>
      </c>
      <c r="V28" s="19">
        <v>19.129032258064516</v>
      </c>
      <c r="W28" s="19">
        <v>95.645161290322577</v>
      </c>
      <c r="X28" s="19">
        <v>3.4678362573099415</v>
      </c>
      <c r="Y28" s="20">
        <v>0.15789473684210528</v>
      </c>
      <c r="Z28" s="20">
        <v>8.5500000000000007</v>
      </c>
    </row>
    <row r="29" spans="1:26" ht="15.75" x14ac:dyDescent="0.25">
      <c r="A29" s="53"/>
      <c r="B29" s="266"/>
      <c r="C29" s="11"/>
      <c r="D29" s="22" t="s">
        <v>40</v>
      </c>
      <c r="E29" s="10">
        <v>31</v>
      </c>
      <c r="F29" s="11">
        <v>1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/>
      <c r="N29" s="11">
        <v>0</v>
      </c>
      <c r="O29" s="11">
        <v>0</v>
      </c>
      <c r="P29" s="12">
        <v>0</v>
      </c>
      <c r="Q29" s="11">
        <v>0</v>
      </c>
      <c r="R29" s="11">
        <v>0</v>
      </c>
      <c r="S29" s="11">
        <v>0</v>
      </c>
      <c r="T29" s="12">
        <v>0</v>
      </c>
      <c r="U29" s="12">
        <v>0</v>
      </c>
      <c r="V29" s="13">
        <v>0</v>
      </c>
      <c r="W29" s="13">
        <v>0</v>
      </c>
      <c r="X29" s="13" t="e">
        <v>#DIV/0!</v>
      </c>
      <c r="Y29" s="14" t="e">
        <v>#DIV/0!</v>
      </c>
      <c r="Z29" s="15">
        <v>0</v>
      </c>
    </row>
    <row r="30" spans="1:26" ht="15.75" x14ac:dyDescent="0.25">
      <c r="A30" s="256">
        <v>9</v>
      </c>
      <c r="B30" s="266"/>
      <c r="C30" s="11" t="s">
        <v>47</v>
      </c>
      <c r="D30" s="22" t="s">
        <v>48</v>
      </c>
      <c r="E30" s="10">
        <v>31</v>
      </c>
      <c r="F30" s="11">
        <v>3</v>
      </c>
      <c r="G30" s="28">
        <v>4</v>
      </c>
      <c r="H30" s="11">
        <v>30</v>
      </c>
      <c r="I30" s="11">
        <v>12</v>
      </c>
      <c r="J30" s="11">
        <v>46</v>
      </c>
      <c r="K30" s="11">
        <v>6</v>
      </c>
      <c r="L30" s="11">
        <v>35</v>
      </c>
      <c r="M30" s="12">
        <v>1</v>
      </c>
      <c r="N30" s="11">
        <v>1</v>
      </c>
      <c r="O30" s="11">
        <v>0</v>
      </c>
      <c r="P30" s="12">
        <v>42</v>
      </c>
      <c r="Q30" s="11">
        <v>113</v>
      </c>
      <c r="R30" s="11">
        <v>0</v>
      </c>
      <c r="S30" s="11">
        <v>110</v>
      </c>
      <c r="T30" s="12">
        <v>4</v>
      </c>
      <c r="U30" s="12">
        <v>36</v>
      </c>
      <c r="V30" s="13">
        <v>3.5483870967741935</v>
      </c>
      <c r="W30" s="13">
        <v>118.27956989247312</v>
      </c>
      <c r="X30" s="13">
        <v>3.0555555555555554</v>
      </c>
      <c r="Y30" s="14">
        <v>-0.47222222222222221</v>
      </c>
      <c r="Z30" s="15">
        <v>12</v>
      </c>
    </row>
    <row r="31" spans="1:26" ht="15.75" x14ac:dyDescent="0.25">
      <c r="A31" s="256"/>
      <c r="B31" s="266"/>
      <c r="C31" s="11"/>
      <c r="D31" s="22" t="s">
        <v>112</v>
      </c>
      <c r="E31" s="10">
        <v>31</v>
      </c>
      <c r="F31" s="11">
        <v>8</v>
      </c>
      <c r="G31" s="28">
        <v>5</v>
      </c>
      <c r="H31" s="11">
        <v>40</v>
      </c>
      <c r="I31" s="11">
        <v>8</v>
      </c>
      <c r="J31" s="11">
        <v>53</v>
      </c>
      <c r="K31" s="11">
        <v>7</v>
      </c>
      <c r="L31" s="11">
        <v>36</v>
      </c>
      <c r="M31" s="12">
        <v>2</v>
      </c>
      <c r="N31" s="11">
        <v>0</v>
      </c>
      <c r="O31" s="11">
        <v>2</v>
      </c>
      <c r="P31" s="12">
        <v>45</v>
      </c>
      <c r="Q31" s="11">
        <v>135</v>
      </c>
      <c r="R31" s="11">
        <v>0</v>
      </c>
      <c r="S31" s="11">
        <v>153</v>
      </c>
      <c r="T31" s="12">
        <v>8</v>
      </c>
      <c r="U31" s="12">
        <v>38</v>
      </c>
      <c r="V31" s="13">
        <v>4.935483870967742</v>
      </c>
      <c r="W31" s="13">
        <v>61.693548387096776</v>
      </c>
      <c r="X31" s="13">
        <v>4.0263157894736841</v>
      </c>
      <c r="Y31" s="14">
        <v>2.5</v>
      </c>
      <c r="Z31" s="15">
        <v>4.75</v>
      </c>
    </row>
    <row r="32" spans="1:26" ht="15.75" x14ac:dyDescent="0.25">
      <c r="A32" s="256"/>
      <c r="B32" s="266"/>
      <c r="C32" s="17" t="s">
        <v>47</v>
      </c>
      <c r="D32" s="16"/>
      <c r="E32" s="10">
        <v>31</v>
      </c>
      <c r="F32" s="17">
        <v>12</v>
      </c>
      <c r="G32" s="17">
        <v>9</v>
      </c>
      <c r="H32" s="17">
        <v>70</v>
      </c>
      <c r="I32" s="17">
        <v>20</v>
      </c>
      <c r="J32" s="17">
        <v>99</v>
      </c>
      <c r="K32" s="17">
        <v>13</v>
      </c>
      <c r="L32" s="17">
        <v>71</v>
      </c>
      <c r="M32" s="18">
        <v>3</v>
      </c>
      <c r="N32" s="17">
        <v>1</v>
      </c>
      <c r="O32" s="17">
        <v>2</v>
      </c>
      <c r="P32" s="18">
        <v>87</v>
      </c>
      <c r="Q32" s="17">
        <v>248</v>
      </c>
      <c r="R32" s="17">
        <v>0</v>
      </c>
      <c r="S32" s="17">
        <v>263</v>
      </c>
      <c r="T32" s="18">
        <v>12</v>
      </c>
      <c r="U32" s="18">
        <v>74</v>
      </c>
      <c r="V32" s="19">
        <v>8.4838709677419359</v>
      </c>
      <c r="W32" s="19">
        <v>70.6989247311828</v>
      </c>
      <c r="X32" s="19">
        <v>3.5540540540540539</v>
      </c>
      <c r="Y32" s="20">
        <v>1.4729729729729728</v>
      </c>
      <c r="Z32" s="20">
        <v>6.166666666666667</v>
      </c>
    </row>
    <row r="33" spans="1:26" ht="15.75" x14ac:dyDescent="0.25">
      <c r="A33" s="262">
        <v>10</v>
      </c>
      <c r="B33" s="266"/>
      <c r="C33" s="11"/>
      <c r="D33" s="22" t="s">
        <v>40</v>
      </c>
      <c r="E33" s="10">
        <v>31</v>
      </c>
      <c r="F33" s="11">
        <v>1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2"/>
      <c r="N33" s="11">
        <v>0</v>
      </c>
      <c r="O33" s="11">
        <v>0</v>
      </c>
      <c r="P33" s="12">
        <v>0</v>
      </c>
      <c r="Q33" s="11">
        <v>0</v>
      </c>
      <c r="R33" s="11">
        <v>0</v>
      </c>
      <c r="S33" s="11">
        <v>0</v>
      </c>
      <c r="T33" s="12">
        <v>0</v>
      </c>
      <c r="U33" s="12">
        <v>0</v>
      </c>
      <c r="V33" s="13">
        <v>0</v>
      </c>
      <c r="W33" s="13">
        <v>0</v>
      </c>
      <c r="X33" s="13" t="e">
        <v>#DIV/0!</v>
      </c>
      <c r="Y33" s="14" t="e">
        <v>#DIV/0!</v>
      </c>
      <c r="Z33" s="15">
        <v>0</v>
      </c>
    </row>
    <row r="34" spans="1:26" ht="15.75" x14ac:dyDescent="0.25">
      <c r="A34" s="263"/>
      <c r="B34" s="266"/>
      <c r="C34" s="11" t="s">
        <v>49</v>
      </c>
      <c r="D34" s="22" t="s">
        <v>48</v>
      </c>
      <c r="E34" s="10">
        <v>31</v>
      </c>
      <c r="F34" s="11">
        <v>2</v>
      </c>
      <c r="G34" s="28">
        <v>2</v>
      </c>
      <c r="H34" s="11">
        <v>17</v>
      </c>
      <c r="I34" s="11">
        <v>5</v>
      </c>
      <c r="J34" s="11">
        <v>24</v>
      </c>
      <c r="K34" s="11">
        <v>0</v>
      </c>
      <c r="L34" s="11">
        <v>21</v>
      </c>
      <c r="M34" s="12">
        <v>0</v>
      </c>
      <c r="N34" s="11">
        <v>0</v>
      </c>
      <c r="O34" s="11">
        <v>0</v>
      </c>
      <c r="P34" s="12">
        <v>21</v>
      </c>
      <c r="Q34" s="11">
        <v>74</v>
      </c>
      <c r="R34" s="11">
        <v>0</v>
      </c>
      <c r="S34" s="11">
        <v>71</v>
      </c>
      <c r="T34" s="12">
        <v>3</v>
      </c>
      <c r="U34" s="12">
        <v>21</v>
      </c>
      <c r="V34" s="13">
        <v>2.2903225806451615</v>
      </c>
      <c r="W34" s="13">
        <v>114.51612903225808</v>
      </c>
      <c r="X34" s="13">
        <v>3.3809523809523809</v>
      </c>
      <c r="Y34" s="14">
        <v>-0.42857142857142883</v>
      </c>
      <c r="Z34" s="15">
        <v>10.5</v>
      </c>
    </row>
    <row r="35" spans="1:26" ht="15.75" x14ac:dyDescent="0.25">
      <c r="A35" s="263"/>
      <c r="B35" s="266"/>
      <c r="C35" s="11"/>
      <c r="D35" s="22" t="s">
        <v>38</v>
      </c>
      <c r="E35" s="10">
        <v>31</v>
      </c>
      <c r="F35" s="11">
        <v>4</v>
      </c>
      <c r="G35" s="28">
        <v>3</v>
      </c>
      <c r="H35" s="11">
        <v>23</v>
      </c>
      <c r="I35" s="11">
        <v>3</v>
      </c>
      <c r="J35" s="11">
        <v>29</v>
      </c>
      <c r="K35" s="11">
        <v>0</v>
      </c>
      <c r="L35" s="11">
        <v>23</v>
      </c>
      <c r="M35" s="12">
        <v>2</v>
      </c>
      <c r="N35" s="11">
        <v>0</v>
      </c>
      <c r="O35" s="11">
        <v>2</v>
      </c>
      <c r="P35" s="12">
        <v>25</v>
      </c>
      <c r="Q35" s="11">
        <v>99</v>
      </c>
      <c r="R35" s="11">
        <v>0</v>
      </c>
      <c r="S35" s="11">
        <v>103</v>
      </c>
      <c r="T35" s="12">
        <v>4</v>
      </c>
      <c r="U35" s="12">
        <v>25</v>
      </c>
      <c r="V35" s="13">
        <v>3.3225806451612905</v>
      </c>
      <c r="W35" s="13">
        <v>83.064516129032256</v>
      </c>
      <c r="X35" s="13">
        <v>4.12</v>
      </c>
      <c r="Y35" s="14">
        <v>0.83999999999999986</v>
      </c>
      <c r="Z35" s="15">
        <v>6.25</v>
      </c>
    </row>
    <row r="36" spans="1:26" ht="15.75" x14ac:dyDescent="0.25">
      <c r="A36" s="263"/>
      <c r="B36" s="266"/>
      <c r="C36" s="11"/>
      <c r="D36" s="22" t="s">
        <v>34</v>
      </c>
      <c r="E36" s="10">
        <v>31</v>
      </c>
      <c r="F36" s="11">
        <v>12</v>
      </c>
      <c r="G36" s="28">
        <v>8</v>
      </c>
      <c r="H36" s="11">
        <v>75</v>
      </c>
      <c r="I36" s="11">
        <v>6</v>
      </c>
      <c r="J36" s="11">
        <v>89</v>
      </c>
      <c r="K36" s="11">
        <v>1</v>
      </c>
      <c r="L36" s="11">
        <v>77</v>
      </c>
      <c r="M36" s="12">
        <v>4</v>
      </c>
      <c r="N36" s="11">
        <v>2</v>
      </c>
      <c r="O36" s="11">
        <v>2</v>
      </c>
      <c r="P36" s="12">
        <v>82</v>
      </c>
      <c r="Q36" s="11">
        <v>333</v>
      </c>
      <c r="R36" s="11">
        <v>0</v>
      </c>
      <c r="S36" s="11">
        <v>325</v>
      </c>
      <c r="T36" s="12">
        <v>7</v>
      </c>
      <c r="U36" s="12">
        <v>81</v>
      </c>
      <c r="V36" s="13">
        <v>10.483870967741936</v>
      </c>
      <c r="W36" s="13">
        <v>87.365591397849457</v>
      </c>
      <c r="X36" s="13">
        <v>4.0123456790123457</v>
      </c>
      <c r="Y36" s="14">
        <v>0.58024691358024671</v>
      </c>
      <c r="Z36" s="15">
        <v>6.75</v>
      </c>
    </row>
    <row r="37" spans="1:26" ht="15.75" x14ac:dyDescent="0.25">
      <c r="A37" s="264"/>
      <c r="B37" s="266"/>
      <c r="C37" s="17" t="s">
        <v>49</v>
      </c>
      <c r="D37" s="16"/>
      <c r="E37" s="10">
        <v>31</v>
      </c>
      <c r="F37" s="17">
        <v>19</v>
      </c>
      <c r="G37" s="17">
        <v>13</v>
      </c>
      <c r="H37" s="17">
        <v>115</v>
      </c>
      <c r="I37" s="17">
        <v>14</v>
      </c>
      <c r="J37" s="17">
        <v>142</v>
      </c>
      <c r="K37" s="17">
        <v>1</v>
      </c>
      <c r="L37" s="17">
        <v>121</v>
      </c>
      <c r="M37" s="18">
        <v>6</v>
      </c>
      <c r="N37" s="17">
        <v>2</v>
      </c>
      <c r="O37" s="17">
        <v>4</v>
      </c>
      <c r="P37" s="18">
        <v>128</v>
      </c>
      <c r="Q37" s="17">
        <v>506</v>
      </c>
      <c r="R37" s="17">
        <v>0</v>
      </c>
      <c r="S37" s="17">
        <v>499</v>
      </c>
      <c r="T37" s="18">
        <v>14</v>
      </c>
      <c r="U37" s="18">
        <v>127</v>
      </c>
      <c r="V37" s="19">
        <v>16.096774193548388</v>
      </c>
      <c r="W37" s="19">
        <v>84.719864176570454</v>
      </c>
      <c r="X37" s="19">
        <v>3.9291338582677167</v>
      </c>
      <c r="Y37" s="20">
        <v>0.70866141732283439</v>
      </c>
      <c r="Z37" s="20">
        <v>6.6842105263157894</v>
      </c>
    </row>
    <row r="38" spans="1:26" ht="15.75" x14ac:dyDescent="0.25">
      <c r="A38" s="231">
        <v>11</v>
      </c>
      <c r="B38" s="266"/>
      <c r="C38" s="254" t="s">
        <v>50</v>
      </c>
      <c r="D38" s="22" t="s">
        <v>51</v>
      </c>
      <c r="E38" s="10">
        <v>31</v>
      </c>
      <c r="F38" s="10">
        <v>6</v>
      </c>
      <c r="G38" s="28">
        <v>7</v>
      </c>
      <c r="H38" s="11">
        <v>45</v>
      </c>
      <c r="I38" s="11">
        <v>9</v>
      </c>
      <c r="J38" s="11">
        <v>61</v>
      </c>
      <c r="K38" s="11">
        <v>6</v>
      </c>
      <c r="L38" s="11">
        <v>50</v>
      </c>
      <c r="M38" s="12">
        <v>1</v>
      </c>
      <c r="N38" s="11">
        <v>0</v>
      </c>
      <c r="O38" s="11">
        <v>1</v>
      </c>
      <c r="P38" s="12">
        <v>57</v>
      </c>
      <c r="Q38" s="11">
        <v>152</v>
      </c>
      <c r="R38" s="11">
        <v>0</v>
      </c>
      <c r="S38" s="11">
        <v>196</v>
      </c>
      <c r="T38" s="12">
        <v>4</v>
      </c>
      <c r="U38" s="12">
        <v>51</v>
      </c>
      <c r="V38" s="13">
        <v>6.32258064516129</v>
      </c>
      <c r="W38" s="13">
        <v>105.3763440860215</v>
      </c>
      <c r="X38" s="13">
        <v>3.8431372549019609</v>
      </c>
      <c r="Y38" s="14">
        <v>-0.19607843137254885</v>
      </c>
      <c r="Z38" s="15">
        <v>8.5</v>
      </c>
    </row>
    <row r="39" spans="1:26" ht="15.75" x14ac:dyDescent="0.25">
      <c r="A39" s="231"/>
      <c r="B39" s="266"/>
      <c r="C39" s="254"/>
      <c r="D39" s="22" t="s">
        <v>52</v>
      </c>
      <c r="E39" s="10">
        <v>31</v>
      </c>
      <c r="F39" s="10">
        <v>8</v>
      </c>
      <c r="G39" s="28">
        <v>2</v>
      </c>
      <c r="H39" s="11">
        <v>47</v>
      </c>
      <c r="I39" s="11">
        <v>6</v>
      </c>
      <c r="J39" s="11">
        <v>55</v>
      </c>
      <c r="K39" s="11">
        <v>9</v>
      </c>
      <c r="L39" s="11">
        <v>40</v>
      </c>
      <c r="M39" s="12">
        <v>2</v>
      </c>
      <c r="N39" s="11">
        <v>1</v>
      </c>
      <c r="O39" s="11">
        <v>1</v>
      </c>
      <c r="P39" s="12">
        <v>51</v>
      </c>
      <c r="Q39" s="11">
        <v>157</v>
      </c>
      <c r="R39" s="11">
        <v>1</v>
      </c>
      <c r="S39" s="11">
        <v>145</v>
      </c>
      <c r="T39" s="12">
        <v>4</v>
      </c>
      <c r="U39" s="12">
        <v>42</v>
      </c>
      <c r="V39" s="13">
        <v>4.67741935483871</v>
      </c>
      <c r="W39" s="13">
        <v>58.467741935483872</v>
      </c>
      <c r="X39" s="13">
        <v>3.4523809523809526</v>
      </c>
      <c r="Y39" s="14">
        <v>2.4523809523809521</v>
      </c>
      <c r="Z39" s="15">
        <v>5.25</v>
      </c>
    </row>
    <row r="40" spans="1:26" ht="15.75" x14ac:dyDescent="0.25">
      <c r="A40" s="231"/>
      <c r="B40" s="266"/>
      <c r="C40" s="254"/>
      <c r="D40" s="22" t="s">
        <v>53</v>
      </c>
      <c r="E40" s="10">
        <v>31</v>
      </c>
      <c r="F40" s="10">
        <v>14</v>
      </c>
      <c r="G40" s="28">
        <v>6</v>
      </c>
      <c r="H40" s="11">
        <v>98</v>
      </c>
      <c r="I40" s="11">
        <v>9</v>
      </c>
      <c r="J40" s="11">
        <v>113</v>
      </c>
      <c r="K40" s="11">
        <v>21</v>
      </c>
      <c r="L40" s="11">
        <v>79</v>
      </c>
      <c r="M40" s="12">
        <v>5</v>
      </c>
      <c r="N40" s="11">
        <v>5</v>
      </c>
      <c r="O40" s="11">
        <v>0</v>
      </c>
      <c r="P40" s="12">
        <v>105</v>
      </c>
      <c r="Q40" s="11">
        <v>261</v>
      </c>
      <c r="R40" s="11">
        <v>6</v>
      </c>
      <c r="S40" s="11">
        <v>280</v>
      </c>
      <c r="T40" s="12">
        <v>8</v>
      </c>
      <c r="U40" s="12">
        <v>84</v>
      </c>
      <c r="V40" s="13">
        <v>9.0322580645161299</v>
      </c>
      <c r="W40" s="13">
        <v>64.516129032258078</v>
      </c>
      <c r="X40" s="13">
        <v>3.3333333333333335</v>
      </c>
      <c r="Y40" s="23">
        <v>1.833333333333333</v>
      </c>
      <c r="Z40" s="24">
        <v>6</v>
      </c>
    </row>
    <row r="41" spans="1:26" ht="15.75" x14ac:dyDescent="0.25">
      <c r="A41" s="231"/>
      <c r="B41" s="266"/>
      <c r="C41" s="254"/>
      <c r="D41" s="22"/>
      <c r="E41" s="10">
        <v>31</v>
      </c>
      <c r="F41" s="10"/>
      <c r="G41" s="11"/>
      <c r="H41" s="11"/>
      <c r="I41" s="11"/>
      <c r="J41" s="11">
        <v>0</v>
      </c>
      <c r="K41" s="11"/>
      <c r="L41" s="11"/>
      <c r="M41" s="12">
        <v>0</v>
      </c>
      <c r="N41" s="11"/>
      <c r="O41" s="11"/>
      <c r="P41" s="12">
        <v>0</v>
      </c>
      <c r="Q41" s="11"/>
      <c r="R41" s="11"/>
      <c r="S41" s="11"/>
      <c r="T41" s="12">
        <v>0</v>
      </c>
      <c r="U41" s="12">
        <v>0</v>
      </c>
      <c r="V41" s="13">
        <v>0</v>
      </c>
      <c r="W41" s="13" t="e">
        <v>#DIV/0!</v>
      </c>
      <c r="X41" s="13" t="e">
        <v>#DIV/0!</v>
      </c>
      <c r="Y41" s="23" t="e">
        <v>#DIV/0!</v>
      </c>
      <c r="Z41" s="24" t="e">
        <v>#DIV/0!</v>
      </c>
    </row>
    <row r="42" spans="1:26" ht="15.75" x14ac:dyDescent="0.25">
      <c r="A42" s="231"/>
      <c r="B42" s="266"/>
      <c r="C42" s="17" t="s">
        <v>50</v>
      </c>
      <c r="D42" s="16"/>
      <c r="E42" s="10">
        <v>31</v>
      </c>
      <c r="F42" s="17">
        <v>28</v>
      </c>
      <c r="G42" s="17">
        <v>15</v>
      </c>
      <c r="H42" s="17">
        <v>190</v>
      </c>
      <c r="I42" s="17">
        <v>24</v>
      </c>
      <c r="J42" s="17">
        <v>229</v>
      </c>
      <c r="K42" s="17">
        <v>36</v>
      </c>
      <c r="L42" s="17">
        <v>169</v>
      </c>
      <c r="M42" s="18">
        <v>8</v>
      </c>
      <c r="N42" s="17">
        <v>6</v>
      </c>
      <c r="O42" s="17">
        <v>2</v>
      </c>
      <c r="P42" s="18">
        <v>213</v>
      </c>
      <c r="Q42" s="17">
        <v>570</v>
      </c>
      <c r="R42" s="17">
        <v>7</v>
      </c>
      <c r="S42" s="17">
        <v>621</v>
      </c>
      <c r="T42" s="18">
        <v>16</v>
      </c>
      <c r="U42" s="18">
        <v>177</v>
      </c>
      <c r="V42" s="19">
        <v>20.032258064516128</v>
      </c>
      <c r="W42" s="19">
        <v>71.543778801843317</v>
      </c>
      <c r="X42" s="19">
        <v>3.5084745762711864</v>
      </c>
      <c r="Y42" s="20">
        <v>1.3954802259887007</v>
      </c>
      <c r="Z42" s="20">
        <v>6.3214285714285712</v>
      </c>
    </row>
    <row r="43" spans="1:26" ht="15.75" x14ac:dyDescent="0.25">
      <c r="A43" s="59"/>
      <c r="B43" s="266"/>
      <c r="C43" s="11"/>
      <c r="D43" s="22" t="s">
        <v>40</v>
      </c>
      <c r="E43" s="10">
        <v>31</v>
      </c>
      <c r="F43" s="11">
        <v>2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/>
      <c r="N43" s="11">
        <v>0</v>
      </c>
      <c r="O43" s="11">
        <v>0</v>
      </c>
      <c r="P43" s="12">
        <v>0</v>
      </c>
      <c r="Q43" s="11">
        <v>0</v>
      </c>
      <c r="R43" s="11">
        <v>0</v>
      </c>
      <c r="S43" s="11">
        <v>0</v>
      </c>
      <c r="T43" s="12">
        <v>0</v>
      </c>
      <c r="U43" s="12">
        <v>0</v>
      </c>
      <c r="V43" s="13">
        <v>0</v>
      </c>
      <c r="W43" s="13">
        <v>0</v>
      </c>
      <c r="X43" s="13" t="e">
        <v>#DIV/0!</v>
      </c>
      <c r="Y43" s="14" t="e">
        <v>#DIV/0!</v>
      </c>
      <c r="Z43" s="15">
        <v>0</v>
      </c>
    </row>
    <row r="44" spans="1:26" ht="15.75" x14ac:dyDescent="0.25">
      <c r="A44" s="231">
        <v>12</v>
      </c>
      <c r="B44" s="266"/>
      <c r="C44" s="10" t="s">
        <v>54</v>
      </c>
      <c r="D44" s="21" t="s">
        <v>48</v>
      </c>
      <c r="E44" s="10">
        <v>31</v>
      </c>
      <c r="F44" s="10">
        <v>13</v>
      </c>
      <c r="G44" s="28">
        <v>9</v>
      </c>
      <c r="H44" s="11">
        <v>102</v>
      </c>
      <c r="I44" s="11">
        <v>17</v>
      </c>
      <c r="J44" s="11">
        <v>128</v>
      </c>
      <c r="K44" s="11">
        <v>17</v>
      </c>
      <c r="L44" s="11">
        <v>88</v>
      </c>
      <c r="M44" s="12">
        <v>9</v>
      </c>
      <c r="N44" s="11">
        <v>6</v>
      </c>
      <c r="O44" s="11">
        <v>3</v>
      </c>
      <c r="P44" s="12">
        <v>114</v>
      </c>
      <c r="Q44" s="11">
        <v>332</v>
      </c>
      <c r="R44" s="11">
        <v>2</v>
      </c>
      <c r="S44" s="11">
        <v>393</v>
      </c>
      <c r="T44" s="12">
        <v>14</v>
      </c>
      <c r="U44" s="12">
        <v>97</v>
      </c>
      <c r="V44" s="13">
        <v>12.67741935483871</v>
      </c>
      <c r="W44" s="13">
        <v>97.518610421836229</v>
      </c>
      <c r="X44" s="13">
        <v>4.0515463917525771</v>
      </c>
      <c r="Y44" s="14">
        <v>0.10309278350515455</v>
      </c>
      <c r="Z44" s="15">
        <v>7.4615384615384617</v>
      </c>
    </row>
    <row r="45" spans="1:26" ht="15.75" x14ac:dyDescent="0.25">
      <c r="A45" s="231"/>
      <c r="B45" s="266"/>
      <c r="C45" s="10"/>
      <c r="D45" s="21" t="s">
        <v>55</v>
      </c>
      <c r="E45" s="10">
        <v>31</v>
      </c>
      <c r="F45" s="10">
        <v>2</v>
      </c>
      <c r="G45" s="28">
        <v>0</v>
      </c>
      <c r="H45" s="11">
        <v>3</v>
      </c>
      <c r="I45" s="11">
        <v>1</v>
      </c>
      <c r="J45" s="11">
        <v>4</v>
      </c>
      <c r="K45" s="11">
        <v>1</v>
      </c>
      <c r="L45" s="11">
        <v>3</v>
      </c>
      <c r="M45" s="12">
        <v>0</v>
      </c>
      <c r="N45" s="11">
        <v>0</v>
      </c>
      <c r="O45" s="11">
        <v>0</v>
      </c>
      <c r="P45" s="12">
        <v>4</v>
      </c>
      <c r="Q45" s="11">
        <v>8</v>
      </c>
      <c r="R45" s="11">
        <v>0</v>
      </c>
      <c r="S45" s="11">
        <v>9</v>
      </c>
      <c r="T45" s="12">
        <v>0</v>
      </c>
      <c r="U45" s="12">
        <v>3</v>
      </c>
      <c r="V45" s="13">
        <v>0.29032258064516131</v>
      </c>
      <c r="W45" s="13">
        <v>14.516129032258066</v>
      </c>
      <c r="X45" s="13">
        <v>3</v>
      </c>
      <c r="Y45" s="14">
        <v>17.666666666666668</v>
      </c>
      <c r="Z45" s="15">
        <v>1.5</v>
      </c>
    </row>
    <row r="46" spans="1:26" ht="15.75" x14ac:dyDescent="0.25">
      <c r="A46" s="231"/>
      <c r="B46" s="266"/>
      <c r="C46" s="17" t="s">
        <v>54</v>
      </c>
      <c r="D46" s="16"/>
      <c r="E46" s="10">
        <v>31</v>
      </c>
      <c r="F46" s="17">
        <v>17</v>
      </c>
      <c r="G46" s="17">
        <v>9</v>
      </c>
      <c r="H46" s="17">
        <v>105</v>
      </c>
      <c r="I46" s="17">
        <v>18</v>
      </c>
      <c r="J46" s="17">
        <v>132</v>
      </c>
      <c r="K46" s="17">
        <v>18</v>
      </c>
      <c r="L46" s="17">
        <v>91</v>
      </c>
      <c r="M46" s="18">
        <v>9</v>
      </c>
      <c r="N46" s="17">
        <v>6</v>
      </c>
      <c r="O46" s="17">
        <v>3</v>
      </c>
      <c r="P46" s="18">
        <v>118</v>
      </c>
      <c r="Q46" s="17">
        <v>340</v>
      </c>
      <c r="R46" s="17">
        <v>2</v>
      </c>
      <c r="S46" s="17">
        <v>402</v>
      </c>
      <c r="T46" s="18">
        <v>14</v>
      </c>
      <c r="U46" s="18">
        <v>100</v>
      </c>
      <c r="V46" s="25">
        <v>12.96774193548387</v>
      </c>
      <c r="W46" s="19">
        <v>76.280834914610992</v>
      </c>
      <c r="X46" s="19">
        <v>4.0199999999999996</v>
      </c>
      <c r="Y46" s="20">
        <v>1.2500000000000002</v>
      </c>
      <c r="Z46" s="20">
        <v>5.882352941176471</v>
      </c>
    </row>
    <row r="47" spans="1:26" ht="15.75" customHeight="1" x14ac:dyDescent="0.25">
      <c r="A47" s="245">
        <v>13</v>
      </c>
      <c r="B47" s="266"/>
      <c r="C47" s="257" t="s">
        <v>56</v>
      </c>
      <c r="D47" s="22" t="s">
        <v>57</v>
      </c>
      <c r="E47" s="10">
        <v>31</v>
      </c>
      <c r="F47" s="11">
        <v>2</v>
      </c>
      <c r="G47" s="28">
        <v>0</v>
      </c>
      <c r="H47" s="11">
        <v>2</v>
      </c>
      <c r="I47" s="11">
        <v>0</v>
      </c>
      <c r="J47" s="11">
        <v>2</v>
      </c>
      <c r="K47" s="11">
        <v>0</v>
      </c>
      <c r="L47" s="11">
        <v>1</v>
      </c>
      <c r="M47" s="12">
        <v>1</v>
      </c>
      <c r="N47" s="11">
        <v>1</v>
      </c>
      <c r="O47" s="11">
        <v>0</v>
      </c>
      <c r="P47" s="12">
        <v>2</v>
      </c>
      <c r="Q47" s="11">
        <v>5</v>
      </c>
      <c r="R47" s="11">
        <v>0</v>
      </c>
      <c r="S47" s="11">
        <v>4</v>
      </c>
      <c r="T47" s="12">
        <v>0</v>
      </c>
      <c r="U47" s="12">
        <v>2</v>
      </c>
      <c r="V47" s="13">
        <v>0.12903225806451613</v>
      </c>
      <c r="W47" s="13">
        <v>6.4516129032258061</v>
      </c>
      <c r="X47" s="13">
        <v>2</v>
      </c>
      <c r="Y47" s="14">
        <v>29</v>
      </c>
      <c r="Z47" s="15">
        <v>1</v>
      </c>
    </row>
    <row r="48" spans="1:26" ht="15.75" x14ac:dyDescent="0.25">
      <c r="A48" s="246"/>
      <c r="B48" s="266"/>
      <c r="C48" s="257"/>
      <c r="D48" s="99" t="s">
        <v>58</v>
      </c>
      <c r="E48" s="10">
        <v>31</v>
      </c>
      <c r="F48" s="26">
        <v>3</v>
      </c>
      <c r="G48" s="56">
        <v>0</v>
      </c>
      <c r="H48" s="26">
        <v>5</v>
      </c>
      <c r="I48" s="26">
        <v>0</v>
      </c>
      <c r="J48" s="11">
        <v>5</v>
      </c>
      <c r="K48" s="26">
        <v>0</v>
      </c>
      <c r="L48" s="26">
        <v>4</v>
      </c>
      <c r="M48" s="12">
        <v>0</v>
      </c>
      <c r="N48" s="26">
        <v>0</v>
      </c>
      <c r="O48" s="26">
        <v>0</v>
      </c>
      <c r="P48" s="12">
        <v>4</v>
      </c>
      <c r="Q48" s="26">
        <v>23</v>
      </c>
      <c r="R48" s="26">
        <v>0</v>
      </c>
      <c r="S48" s="26">
        <v>30</v>
      </c>
      <c r="T48" s="12">
        <v>1</v>
      </c>
      <c r="U48" s="12">
        <v>4</v>
      </c>
      <c r="V48" s="13">
        <v>0.967741935483871</v>
      </c>
      <c r="W48" s="13">
        <v>32.258064516129032</v>
      </c>
      <c r="X48" s="13">
        <v>7.5</v>
      </c>
      <c r="Y48" s="14">
        <v>15.75</v>
      </c>
      <c r="Z48" s="15">
        <v>1.3333333333333333</v>
      </c>
    </row>
    <row r="49" spans="1:26" ht="15.75" x14ac:dyDescent="0.25">
      <c r="A49" s="246"/>
      <c r="B49" s="266"/>
      <c r="C49" s="257"/>
      <c r="D49" s="99" t="s">
        <v>59</v>
      </c>
      <c r="E49" s="10">
        <v>31</v>
      </c>
      <c r="F49" s="26">
        <v>2</v>
      </c>
      <c r="G49" s="56">
        <v>1</v>
      </c>
      <c r="H49" s="26">
        <v>2</v>
      </c>
      <c r="I49" s="26">
        <v>1</v>
      </c>
      <c r="J49" s="11">
        <v>4</v>
      </c>
      <c r="K49" s="26">
        <v>0</v>
      </c>
      <c r="L49" s="26">
        <v>3</v>
      </c>
      <c r="M49" s="12">
        <v>1</v>
      </c>
      <c r="N49" s="26">
        <v>0</v>
      </c>
      <c r="O49" s="26">
        <v>1</v>
      </c>
      <c r="P49" s="12">
        <v>4</v>
      </c>
      <c r="Q49" s="26">
        <v>22</v>
      </c>
      <c r="R49" s="26">
        <v>0</v>
      </c>
      <c r="S49" s="26">
        <v>18</v>
      </c>
      <c r="T49" s="12">
        <v>0</v>
      </c>
      <c r="U49" s="12">
        <v>4</v>
      </c>
      <c r="V49" s="13">
        <v>0.58064516129032262</v>
      </c>
      <c r="W49" s="13">
        <v>29.032258064516132</v>
      </c>
      <c r="X49" s="13">
        <v>4.5</v>
      </c>
      <c r="Y49" s="14">
        <v>11</v>
      </c>
      <c r="Z49" s="15">
        <v>2</v>
      </c>
    </row>
    <row r="50" spans="1:26" ht="15.75" x14ac:dyDescent="0.25">
      <c r="A50" s="246"/>
      <c r="B50" s="266"/>
      <c r="C50" s="257"/>
      <c r="D50" s="99" t="s">
        <v>60</v>
      </c>
      <c r="E50" s="10">
        <v>31</v>
      </c>
      <c r="F50" s="26">
        <v>10</v>
      </c>
      <c r="G50" s="56">
        <v>10</v>
      </c>
      <c r="H50" s="26">
        <v>38</v>
      </c>
      <c r="I50" s="26">
        <v>7</v>
      </c>
      <c r="J50" s="11">
        <v>55</v>
      </c>
      <c r="K50" s="26">
        <v>1</v>
      </c>
      <c r="L50" s="26">
        <v>35</v>
      </c>
      <c r="M50" s="12">
        <v>17</v>
      </c>
      <c r="N50" s="26">
        <v>9</v>
      </c>
      <c r="O50" s="26">
        <v>8</v>
      </c>
      <c r="P50" s="12">
        <v>53</v>
      </c>
      <c r="Q50" s="26">
        <v>236</v>
      </c>
      <c r="R50" s="26">
        <v>1</v>
      </c>
      <c r="S50" s="26">
        <v>176</v>
      </c>
      <c r="T50" s="12">
        <v>2</v>
      </c>
      <c r="U50" s="12">
        <v>52</v>
      </c>
      <c r="V50" s="13">
        <v>5.67741935483871</v>
      </c>
      <c r="W50" s="13">
        <v>56.774193548387096</v>
      </c>
      <c r="X50" s="13">
        <v>3.3846153846153846</v>
      </c>
      <c r="Y50" s="14">
        <v>2.5769230769230771</v>
      </c>
      <c r="Z50" s="15">
        <v>5.2</v>
      </c>
    </row>
    <row r="51" spans="1:26" ht="15.75" x14ac:dyDescent="0.25">
      <c r="A51" s="247"/>
      <c r="B51" s="266"/>
      <c r="C51" s="17" t="s">
        <v>61</v>
      </c>
      <c r="D51" s="16"/>
      <c r="E51" s="10">
        <v>31</v>
      </c>
      <c r="F51" s="17">
        <v>17</v>
      </c>
      <c r="G51" s="17">
        <v>11</v>
      </c>
      <c r="H51" s="17">
        <v>47</v>
      </c>
      <c r="I51" s="17">
        <v>8</v>
      </c>
      <c r="J51" s="17">
        <v>66</v>
      </c>
      <c r="K51" s="17">
        <v>1</v>
      </c>
      <c r="L51" s="17">
        <v>43</v>
      </c>
      <c r="M51" s="18">
        <v>19</v>
      </c>
      <c r="N51" s="17">
        <v>10</v>
      </c>
      <c r="O51" s="17">
        <v>9</v>
      </c>
      <c r="P51" s="18">
        <v>63</v>
      </c>
      <c r="Q51" s="17">
        <v>286</v>
      </c>
      <c r="R51" s="17">
        <v>1</v>
      </c>
      <c r="S51" s="17">
        <v>228</v>
      </c>
      <c r="T51" s="18">
        <v>3</v>
      </c>
      <c r="U51" s="18">
        <v>62</v>
      </c>
      <c r="V51" s="19">
        <v>7.354838709677419</v>
      </c>
      <c r="W51" s="19">
        <v>43.263757115749527</v>
      </c>
      <c r="X51" s="19">
        <v>3.6774193548387095</v>
      </c>
      <c r="Y51" s="20">
        <v>4.82258064516129</v>
      </c>
      <c r="Z51" s="20">
        <v>3.6470588235294117</v>
      </c>
    </row>
    <row r="52" spans="1:26" ht="15.75" x14ac:dyDescent="0.25">
      <c r="A52" s="145"/>
      <c r="B52" s="266"/>
      <c r="C52" s="17"/>
      <c r="D52" s="16"/>
      <c r="E52" s="10"/>
      <c r="F52" s="17"/>
      <c r="G52" s="17"/>
      <c r="H52" s="17"/>
      <c r="I52" s="17"/>
      <c r="J52" s="17"/>
      <c r="K52" s="17"/>
      <c r="L52" s="17"/>
      <c r="M52" s="18"/>
      <c r="N52" s="17"/>
      <c r="O52" s="17"/>
      <c r="P52" s="18"/>
      <c r="Q52" s="17"/>
      <c r="R52" s="17"/>
      <c r="S52" s="17"/>
      <c r="T52" s="18"/>
      <c r="U52" s="18"/>
      <c r="V52" s="19"/>
      <c r="W52" s="19"/>
      <c r="X52" s="19"/>
      <c r="Y52" s="20"/>
      <c r="Z52" s="20"/>
    </row>
    <row r="53" spans="1:26" ht="15.75" x14ac:dyDescent="0.25">
      <c r="A53" s="231">
        <v>14</v>
      </c>
      <c r="B53" s="266"/>
      <c r="C53" s="11" t="s">
        <v>62</v>
      </c>
      <c r="D53" s="22" t="s">
        <v>55</v>
      </c>
      <c r="E53" s="10">
        <v>31</v>
      </c>
      <c r="F53" s="11">
        <v>8</v>
      </c>
      <c r="G53" s="28">
        <v>5</v>
      </c>
      <c r="H53" s="11">
        <v>30</v>
      </c>
      <c r="I53" s="11">
        <v>9</v>
      </c>
      <c r="J53" s="11">
        <v>44</v>
      </c>
      <c r="K53" s="11">
        <v>4</v>
      </c>
      <c r="L53" s="11">
        <v>35</v>
      </c>
      <c r="M53" s="12">
        <v>1</v>
      </c>
      <c r="N53" s="11">
        <v>0</v>
      </c>
      <c r="O53" s="11">
        <v>1</v>
      </c>
      <c r="P53" s="12">
        <v>40</v>
      </c>
      <c r="Q53" s="11">
        <v>122</v>
      </c>
      <c r="R53" s="11">
        <v>0</v>
      </c>
      <c r="S53" s="11">
        <v>120</v>
      </c>
      <c r="T53" s="12">
        <v>4</v>
      </c>
      <c r="U53" s="12">
        <v>36</v>
      </c>
      <c r="V53" s="13">
        <v>3.870967741935484</v>
      </c>
      <c r="W53" s="24">
        <v>48.387096774193552</v>
      </c>
      <c r="X53" s="24">
        <v>3.3333333333333335</v>
      </c>
      <c r="Y53" s="23">
        <v>3.5555555555555554</v>
      </c>
      <c r="Z53" s="24">
        <v>4.5</v>
      </c>
    </row>
    <row r="54" spans="1:26" ht="15.75" x14ac:dyDescent="0.25">
      <c r="A54" s="231"/>
      <c r="B54" s="266"/>
      <c r="C54" s="17" t="s">
        <v>62</v>
      </c>
      <c r="D54" s="16" t="s">
        <v>55</v>
      </c>
      <c r="E54" s="10">
        <v>31</v>
      </c>
      <c r="F54" s="17">
        <v>8</v>
      </c>
      <c r="G54" s="17">
        <v>5</v>
      </c>
      <c r="H54" s="17">
        <v>30</v>
      </c>
      <c r="I54" s="17">
        <v>9</v>
      </c>
      <c r="J54" s="17">
        <v>44</v>
      </c>
      <c r="K54" s="17">
        <v>4</v>
      </c>
      <c r="L54" s="17">
        <v>35</v>
      </c>
      <c r="M54" s="18">
        <v>1</v>
      </c>
      <c r="N54" s="17">
        <v>0</v>
      </c>
      <c r="O54" s="17">
        <v>1</v>
      </c>
      <c r="P54" s="18">
        <v>40</v>
      </c>
      <c r="Q54" s="17">
        <v>122</v>
      </c>
      <c r="R54" s="17">
        <v>0</v>
      </c>
      <c r="S54" s="17">
        <v>120</v>
      </c>
      <c r="T54" s="18">
        <v>4</v>
      </c>
      <c r="U54" s="18">
        <v>36</v>
      </c>
      <c r="V54" s="19">
        <v>3.870967741935484</v>
      </c>
      <c r="W54" s="27">
        <v>48.387096774193552</v>
      </c>
      <c r="X54" s="27">
        <v>3.3333333333333335</v>
      </c>
      <c r="Y54" s="27">
        <v>3.5555555555555554</v>
      </c>
      <c r="Z54" s="27">
        <v>4.5</v>
      </c>
    </row>
    <row r="55" spans="1:26" ht="15.75" x14ac:dyDescent="0.25">
      <c r="A55" s="59"/>
      <c r="B55" s="266"/>
      <c r="C55" s="262" t="s">
        <v>63</v>
      </c>
      <c r="D55" s="22" t="s">
        <v>40</v>
      </c>
      <c r="E55" s="10">
        <v>31</v>
      </c>
      <c r="F55" s="11">
        <v>4</v>
      </c>
      <c r="G55" s="11">
        <v>0</v>
      </c>
      <c r="H55" s="11">
        <v>0</v>
      </c>
      <c r="I55" s="11">
        <v>0</v>
      </c>
      <c r="J55" s="11"/>
      <c r="K55" s="11">
        <v>0</v>
      </c>
      <c r="L55" s="11">
        <v>0</v>
      </c>
      <c r="M55" s="12"/>
      <c r="N55" s="11">
        <v>0</v>
      </c>
      <c r="O55" s="11">
        <v>0</v>
      </c>
      <c r="P55" s="12"/>
      <c r="Q55" s="11">
        <v>0</v>
      </c>
      <c r="R55" s="11">
        <v>0</v>
      </c>
      <c r="S55" s="11">
        <v>0</v>
      </c>
      <c r="T55" s="12">
        <v>0</v>
      </c>
      <c r="U55" s="12">
        <v>0</v>
      </c>
      <c r="V55" s="13">
        <v>0</v>
      </c>
      <c r="W55" s="13">
        <v>0</v>
      </c>
      <c r="X55" s="13" t="e">
        <v>#DIV/0!</v>
      </c>
      <c r="Y55" s="14" t="e">
        <v>#DIV/0!</v>
      </c>
      <c r="Z55" s="15">
        <v>0</v>
      </c>
    </row>
    <row r="56" spans="1:26" ht="15.75" x14ac:dyDescent="0.25">
      <c r="A56" s="231">
        <v>15</v>
      </c>
      <c r="B56" s="266"/>
      <c r="C56" s="264"/>
      <c r="D56" s="22" t="s">
        <v>34</v>
      </c>
      <c r="E56" s="10">
        <v>31</v>
      </c>
      <c r="F56" s="11">
        <v>12</v>
      </c>
      <c r="G56" s="28">
        <v>9</v>
      </c>
      <c r="H56" s="11">
        <v>93</v>
      </c>
      <c r="I56" s="11">
        <v>15</v>
      </c>
      <c r="J56" s="11">
        <v>117</v>
      </c>
      <c r="K56" s="11">
        <v>9</v>
      </c>
      <c r="L56" s="11">
        <v>77</v>
      </c>
      <c r="M56" s="11">
        <v>14</v>
      </c>
      <c r="N56" s="11">
        <v>7</v>
      </c>
      <c r="O56" s="11">
        <v>7</v>
      </c>
      <c r="P56" s="11">
        <v>100</v>
      </c>
      <c r="Q56" s="11">
        <v>320</v>
      </c>
      <c r="R56" s="11">
        <v>0</v>
      </c>
      <c r="S56" s="11">
        <v>359</v>
      </c>
      <c r="T56" s="11">
        <v>17</v>
      </c>
      <c r="U56" s="11">
        <v>91</v>
      </c>
      <c r="V56" s="15">
        <v>11.580645161290322</v>
      </c>
      <c r="W56" s="15">
        <v>96.505376344086017</v>
      </c>
      <c r="X56" s="15">
        <v>3.9450549450549453</v>
      </c>
      <c r="Y56" s="14">
        <v>0.14285714285714304</v>
      </c>
      <c r="Z56" s="15">
        <v>7.583333333333333</v>
      </c>
    </row>
    <row r="57" spans="1:26" ht="15.75" x14ac:dyDescent="0.25">
      <c r="A57" s="231"/>
      <c r="B57" s="266"/>
      <c r="C57" s="17" t="s">
        <v>63</v>
      </c>
      <c r="D57" s="16"/>
      <c r="E57" s="10">
        <v>31</v>
      </c>
      <c r="F57" s="17">
        <v>16</v>
      </c>
      <c r="G57" s="17">
        <v>9</v>
      </c>
      <c r="H57" s="17">
        <v>93</v>
      </c>
      <c r="I57" s="17">
        <v>15</v>
      </c>
      <c r="J57" s="17">
        <v>117</v>
      </c>
      <c r="K57" s="17">
        <v>9</v>
      </c>
      <c r="L57" s="17">
        <v>77</v>
      </c>
      <c r="M57" s="17">
        <v>14</v>
      </c>
      <c r="N57" s="17">
        <v>7</v>
      </c>
      <c r="O57" s="17">
        <v>7</v>
      </c>
      <c r="P57" s="17">
        <v>100</v>
      </c>
      <c r="Q57" s="17">
        <v>320</v>
      </c>
      <c r="R57" s="17">
        <v>0</v>
      </c>
      <c r="S57" s="17">
        <v>359</v>
      </c>
      <c r="T57" s="17">
        <v>17</v>
      </c>
      <c r="U57" s="17">
        <v>91</v>
      </c>
      <c r="V57" s="20">
        <v>11.580645161290322</v>
      </c>
      <c r="W57" s="20">
        <v>72.379032258064512</v>
      </c>
      <c r="X57" s="20">
        <v>3.9450549450549453</v>
      </c>
      <c r="Y57" s="20">
        <v>1.5054945054945057</v>
      </c>
      <c r="Z57" s="20">
        <v>5.6875</v>
      </c>
    </row>
    <row r="58" spans="1:26" ht="15.75" x14ac:dyDescent="0.25">
      <c r="A58" s="59"/>
      <c r="B58" s="266"/>
      <c r="C58" s="248" t="s">
        <v>64</v>
      </c>
      <c r="D58" s="22" t="s">
        <v>112</v>
      </c>
      <c r="E58" s="10">
        <v>31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2">
        <v>0</v>
      </c>
      <c r="U58" s="12">
        <v>0</v>
      </c>
      <c r="V58" s="13">
        <v>0</v>
      </c>
      <c r="W58" s="13" t="e">
        <v>#DIV/0!</v>
      </c>
      <c r="X58" s="13" t="e">
        <v>#DIV/0!</v>
      </c>
      <c r="Y58" s="14" t="e">
        <v>#DIV/0!</v>
      </c>
      <c r="Z58" s="15" t="e">
        <v>#DIV/0!</v>
      </c>
    </row>
    <row r="59" spans="1:26" ht="15.75" x14ac:dyDescent="0.25">
      <c r="A59" s="253">
        <v>16</v>
      </c>
      <c r="B59" s="266"/>
      <c r="C59" s="249"/>
      <c r="D59" s="21" t="s">
        <v>48</v>
      </c>
      <c r="E59" s="10">
        <v>31</v>
      </c>
      <c r="F59" s="10">
        <v>2</v>
      </c>
      <c r="G59" s="28">
        <v>0</v>
      </c>
      <c r="H59" s="10">
        <v>4</v>
      </c>
      <c r="I59" s="10">
        <v>6</v>
      </c>
      <c r="J59" s="11">
        <v>10</v>
      </c>
      <c r="K59" s="10">
        <v>1</v>
      </c>
      <c r="L59" s="10">
        <v>9</v>
      </c>
      <c r="M59" s="11">
        <v>0</v>
      </c>
      <c r="N59" s="10">
        <v>0</v>
      </c>
      <c r="O59" s="10">
        <v>0</v>
      </c>
      <c r="P59" s="11">
        <v>10</v>
      </c>
      <c r="Q59" s="10">
        <v>26</v>
      </c>
      <c r="R59" s="10">
        <v>0</v>
      </c>
      <c r="S59" s="10">
        <v>19</v>
      </c>
      <c r="T59" s="12">
        <v>0</v>
      </c>
      <c r="U59" s="12">
        <v>9</v>
      </c>
      <c r="V59" s="13">
        <v>0.61290322580645162</v>
      </c>
      <c r="W59" s="24">
        <v>30.64516129032258</v>
      </c>
      <c r="X59" s="24">
        <v>2.1111111111111112</v>
      </c>
      <c r="Y59" s="23">
        <v>4.7777777777777777</v>
      </c>
      <c r="Z59" s="24">
        <v>4.5</v>
      </c>
    </row>
    <row r="60" spans="1:26" ht="15.75" x14ac:dyDescent="0.25">
      <c r="A60" s="253"/>
      <c r="B60" s="266"/>
      <c r="C60" s="249"/>
      <c r="D60" s="21" t="s">
        <v>38</v>
      </c>
      <c r="E60" s="10">
        <v>31</v>
      </c>
      <c r="F60" s="10">
        <v>8</v>
      </c>
      <c r="G60" s="28">
        <v>2</v>
      </c>
      <c r="H60" s="10">
        <v>35</v>
      </c>
      <c r="I60" s="10">
        <v>139</v>
      </c>
      <c r="J60" s="11">
        <v>176</v>
      </c>
      <c r="K60" s="10">
        <v>141</v>
      </c>
      <c r="L60" s="10">
        <v>26</v>
      </c>
      <c r="M60" s="11">
        <v>2</v>
      </c>
      <c r="N60" s="10">
        <v>1</v>
      </c>
      <c r="O60" s="10">
        <v>1</v>
      </c>
      <c r="P60" s="11">
        <v>169</v>
      </c>
      <c r="Q60" s="10">
        <v>68</v>
      </c>
      <c r="R60" s="10">
        <v>1</v>
      </c>
      <c r="S60" s="10">
        <v>202</v>
      </c>
      <c r="T60" s="12">
        <v>7</v>
      </c>
      <c r="U60" s="12">
        <v>28</v>
      </c>
      <c r="V60" s="13">
        <v>6.5161290322580649</v>
      </c>
      <c r="W60" s="24">
        <v>81.451612903225808</v>
      </c>
      <c r="X60" s="24">
        <v>7.2142857142857144</v>
      </c>
      <c r="Y60" s="23">
        <v>1.6428571428571423</v>
      </c>
      <c r="Z60" s="24">
        <v>3.5</v>
      </c>
    </row>
    <row r="61" spans="1:26" ht="15.75" x14ac:dyDescent="0.25">
      <c r="A61" s="253"/>
      <c r="B61" s="266"/>
      <c r="C61" s="250"/>
      <c r="D61" s="21" t="s">
        <v>34</v>
      </c>
      <c r="E61" s="10">
        <v>31</v>
      </c>
      <c r="F61" s="10">
        <v>21</v>
      </c>
      <c r="G61" s="28">
        <v>14</v>
      </c>
      <c r="H61" s="10">
        <v>136</v>
      </c>
      <c r="I61" s="10">
        <v>271</v>
      </c>
      <c r="J61" s="11">
        <v>421</v>
      </c>
      <c r="K61" s="10">
        <v>75</v>
      </c>
      <c r="L61" s="10">
        <v>337</v>
      </c>
      <c r="M61" s="11">
        <v>0</v>
      </c>
      <c r="N61" s="10">
        <v>0</v>
      </c>
      <c r="O61" s="10">
        <v>0</v>
      </c>
      <c r="P61" s="11">
        <v>412</v>
      </c>
      <c r="Q61" s="10">
        <v>809</v>
      </c>
      <c r="R61" s="10">
        <v>3</v>
      </c>
      <c r="S61" s="10">
        <v>511</v>
      </c>
      <c r="T61" s="12">
        <v>9</v>
      </c>
      <c r="U61" s="12">
        <v>337</v>
      </c>
      <c r="V61" s="13">
        <v>16.483870967741936</v>
      </c>
      <c r="W61" s="24">
        <v>78.494623655913969</v>
      </c>
      <c r="X61" s="24">
        <v>1.5163204747774481</v>
      </c>
      <c r="Y61" s="23">
        <v>0.41543026706231456</v>
      </c>
      <c r="Z61" s="24">
        <v>16.047619047619047</v>
      </c>
    </row>
    <row r="62" spans="1:26" ht="15.75" x14ac:dyDescent="0.25">
      <c r="A62" s="253"/>
      <c r="B62" s="266"/>
      <c r="C62" s="17" t="s">
        <v>64</v>
      </c>
      <c r="D62" s="16"/>
      <c r="E62" s="10">
        <v>31</v>
      </c>
      <c r="F62" s="17">
        <v>31</v>
      </c>
      <c r="G62" s="17">
        <v>16</v>
      </c>
      <c r="H62" s="17">
        <v>175</v>
      </c>
      <c r="I62" s="17">
        <v>416</v>
      </c>
      <c r="J62" s="17">
        <v>607</v>
      </c>
      <c r="K62" s="17">
        <v>217</v>
      </c>
      <c r="L62" s="17">
        <v>372</v>
      </c>
      <c r="M62" s="17">
        <v>2</v>
      </c>
      <c r="N62" s="17">
        <v>1</v>
      </c>
      <c r="O62" s="17">
        <v>1</v>
      </c>
      <c r="P62" s="17">
        <v>591</v>
      </c>
      <c r="Q62" s="17">
        <v>903</v>
      </c>
      <c r="R62" s="17">
        <v>4</v>
      </c>
      <c r="S62" s="17">
        <v>732</v>
      </c>
      <c r="T62" s="17">
        <v>16</v>
      </c>
      <c r="U62" s="17">
        <v>374</v>
      </c>
      <c r="V62" s="20">
        <v>23.612903225806452</v>
      </c>
      <c r="W62" s="20">
        <v>76.170655567117578</v>
      </c>
      <c r="X62" s="20">
        <v>1.9572192513368984</v>
      </c>
      <c r="Y62" s="20">
        <v>0.61229946524064172</v>
      </c>
      <c r="Z62" s="20">
        <v>12.064516129032258</v>
      </c>
    </row>
    <row r="63" spans="1:26" ht="15.75" x14ac:dyDescent="0.25">
      <c r="A63" s="253">
        <v>17</v>
      </c>
      <c r="B63" s="266"/>
      <c r="C63" s="11" t="s">
        <v>81</v>
      </c>
      <c r="D63" s="21" t="s">
        <v>38</v>
      </c>
      <c r="E63" s="10">
        <v>31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4"/>
      <c r="W63" s="14"/>
      <c r="X63" s="14"/>
      <c r="Y63" s="14"/>
      <c r="Z63" s="14"/>
    </row>
    <row r="64" spans="1:26" ht="15.75" x14ac:dyDescent="0.25">
      <c r="A64" s="253"/>
      <c r="B64" s="323"/>
      <c r="C64" s="17" t="s">
        <v>81</v>
      </c>
      <c r="D64" s="16" t="s">
        <v>38</v>
      </c>
      <c r="E64" s="10">
        <v>31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20">
        <v>0</v>
      </c>
      <c r="W64" s="20" t="e">
        <v>#DIV/0!</v>
      </c>
      <c r="X64" s="20" t="e">
        <v>#DIV/0!</v>
      </c>
      <c r="Y64" s="20" t="e">
        <v>#DIV/0!</v>
      </c>
      <c r="Z64" s="20" t="e">
        <v>#DIV/0!</v>
      </c>
    </row>
    <row r="65" spans="1:26" ht="15.75" x14ac:dyDescent="0.25">
      <c r="A65" s="255" t="s">
        <v>65</v>
      </c>
      <c r="B65" s="255"/>
      <c r="C65" s="255"/>
      <c r="D65" s="255"/>
      <c r="E65" s="10">
        <v>31</v>
      </c>
      <c r="F65" s="29">
        <v>309</v>
      </c>
      <c r="G65" s="29">
        <v>246</v>
      </c>
      <c r="H65" s="29">
        <v>2024</v>
      </c>
      <c r="I65" s="29">
        <v>718</v>
      </c>
      <c r="J65" s="28">
        <v>2988</v>
      </c>
      <c r="K65" s="29">
        <v>431</v>
      </c>
      <c r="L65" s="29">
        <v>2136</v>
      </c>
      <c r="M65" s="28">
        <v>173</v>
      </c>
      <c r="N65" s="29">
        <v>102</v>
      </c>
      <c r="O65" s="29">
        <v>71</v>
      </c>
      <c r="P65" s="28">
        <v>2740</v>
      </c>
      <c r="Q65" s="29">
        <v>7756</v>
      </c>
      <c r="R65" s="29">
        <v>34</v>
      </c>
      <c r="S65" s="29">
        <v>7802</v>
      </c>
      <c r="T65" s="28">
        <v>248</v>
      </c>
      <c r="U65" s="28">
        <v>2309</v>
      </c>
      <c r="V65" s="30">
        <v>251.67741935483872</v>
      </c>
      <c r="W65" s="30">
        <v>81.449003027455888</v>
      </c>
      <c r="X65" s="30">
        <v>3.3789519272412298</v>
      </c>
      <c r="Y65" s="30">
        <v>0.76959722823733212</v>
      </c>
      <c r="Z65" s="30">
        <v>7.4724919093851137</v>
      </c>
    </row>
    <row r="66" spans="1:26" ht="15.75" x14ac:dyDescent="0.25">
      <c r="A66" s="31"/>
      <c r="B66" s="108"/>
      <c r="C66" s="109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x14ac:dyDescent="0.25">
      <c r="A67" s="33" t="s">
        <v>66</v>
      </c>
      <c r="B67" s="34"/>
      <c r="C67" s="32"/>
      <c r="D67" s="32"/>
      <c r="E67" s="11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x14ac:dyDescent="0.25">
      <c r="A68" s="243" t="s">
        <v>1</v>
      </c>
      <c r="B68" s="243" t="s">
        <v>2</v>
      </c>
      <c r="C68" s="240" t="s">
        <v>3</v>
      </c>
      <c r="D68" s="240" t="s">
        <v>4</v>
      </c>
      <c r="E68" s="244" t="s">
        <v>5</v>
      </c>
      <c r="F68" s="240" t="s">
        <v>6</v>
      </c>
      <c r="G68" s="240" t="s">
        <v>7</v>
      </c>
      <c r="H68" s="240" t="s">
        <v>8</v>
      </c>
      <c r="I68" s="244" t="s">
        <v>9</v>
      </c>
      <c r="J68" s="240" t="s">
        <v>10</v>
      </c>
      <c r="K68" s="240" t="s">
        <v>11</v>
      </c>
      <c r="L68" s="240" t="s">
        <v>12</v>
      </c>
      <c r="M68" s="240" t="s">
        <v>13</v>
      </c>
      <c r="N68" s="240" t="s">
        <v>14</v>
      </c>
      <c r="O68" s="240" t="s">
        <v>15</v>
      </c>
      <c r="P68" s="240" t="s">
        <v>16</v>
      </c>
      <c r="Q68" s="240" t="s">
        <v>17</v>
      </c>
      <c r="R68" s="240" t="s">
        <v>18</v>
      </c>
      <c r="S68" s="240" t="s">
        <v>19</v>
      </c>
      <c r="T68" s="240" t="s">
        <v>20</v>
      </c>
      <c r="U68" s="241" t="s">
        <v>21</v>
      </c>
      <c r="V68" s="8" t="s">
        <v>22</v>
      </c>
      <c r="W68" s="8" t="s">
        <v>23</v>
      </c>
      <c r="X68" s="8" t="s">
        <v>24</v>
      </c>
      <c r="Y68" s="8" t="s">
        <v>25</v>
      </c>
      <c r="Z68" s="8" t="s">
        <v>26</v>
      </c>
    </row>
    <row r="69" spans="1:26" x14ac:dyDescent="0.25">
      <c r="A69" s="243"/>
      <c r="B69" s="243"/>
      <c r="C69" s="240"/>
      <c r="D69" s="240"/>
      <c r="E69" s="244"/>
      <c r="F69" s="240"/>
      <c r="G69" s="240"/>
      <c r="H69" s="240"/>
      <c r="I69" s="244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1"/>
      <c r="V69" s="238" t="s">
        <v>27</v>
      </c>
      <c r="W69" s="238" t="s">
        <v>28</v>
      </c>
      <c r="X69" s="238" t="s">
        <v>29</v>
      </c>
      <c r="Y69" s="238" t="s">
        <v>30</v>
      </c>
      <c r="Z69" s="238" t="s">
        <v>31</v>
      </c>
    </row>
    <row r="70" spans="1:26" x14ac:dyDescent="0.25">
      <c r="A70" s="243"/>
      <c r="B70" s="243"/>
      <c r="C70" s="240"/>
      <c r="D70" s="240"/>
      <c r="E70" s="244"/>
      <c r="F70" s="240"/>
      <c r="G70" s="240"/>
      <c r="H70" s="240"/>
      <c r="I70" s="244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1"/>
      <c r="V70" s="242"/>
      <c r="W70" s="238"/>
      <c r="X70" s="238"/>
      <c r="Y70" s="238"/>
      <c r="Z70" s="238"/>
    </row>
    <row r="71" spans="1:26" x14ac:dyDescent="0.25">
      <c r="A71" s="243"/>
      <c r="B71" s="243"/>
      <c r="C71" s="240"/>
      <c r="D71" s="240"/>
      <c r="E71" s="244"/>
      <c r="F71" s="240"/>
      <c r="G71" s="9">
        <v>1</v>
      </c>
      <c r="H71" s="9">
        <v>2</v>
      </c>
      <c r="I71" s="9">
        <v>3</v>
      </c>
      <c r="J71" s="9">
        <v>4</v>
      </c>
      <c r="K71" s="9">
        <v>5</v>
      </c>
      <c r="L71" s="9">
        <v>6</v>
      </c>
      <c r="M71" s="9">
        <v>7</v>
      </c>
      <c r="N71" s="9">
        <v>8</v>
      </c>
      <c r="O71" s="9">
        <v>9</v>
      </c>
      <c r="P71" s="9">
        <v>10</v>
      </c>
      <c r="Q71" s="9">
        <v>11</v>
      </c>
      <c r="R71" s="9">
        <v>12</v>
      </c>
      <c r="S71" s="9">
        <v>13</v>
      </c>
      <c r="T71" s="9">
        <v>14</v>
      </c>
      <c r="U71" s="241"/>
      <c r="V71" s="58">
        <v>15</v>
      </c>
      <c r="W71" s="58">
        <v>16</v>
      </c>
      <c r="X71" s="58">
        <v>17</v>
      </c>
      <c r="Y71" s="58">
        <v>18</v>
      </c>
      <c r="Z71" s="58">
        <v>19</v>
      </c>
    </row>
    <row r="72" spans="1:26" ht="15" customHeight="1" x14ac:dyDescent="0.25">
      <c r="A72" s="245">
        <v>1</v>
      </c>
      <c r="B72" s="245" t="s">
        <v>40</v>
      </c>
      <c r="C72" s="11" t="s">
        <v>69</v>
      </c>
      <c r="D72" s="11" t="s">
        <v>38</v>
      </c>
      <c r="E72" s="10">
        <v>31</v>
      </c>
      <c r="F72" s="11"/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5">
        <v>0</v>
      </c>
      <c r="W72" s="35" t="e">
        <v>#DIV/0!</v>
      </c>
      <c r="X72" s="35" t="e">
        <v>#DIV/0!</v>
      </c>
      <c r="Y72" s="36" t="e">
        <v>#DIV/0!</v>
      </c>
      <c r="Z72" s="35" t="e">
        <v>#DIV/0!</v>
      </c>
    </row>
    <row r="73" spans="1:26" ht="15.75" x14ac:dyDescent="0.25">
      <c r="A73" s="247"/>
      <c r="B73" s="246"/>
      <c r="C73" s="17" t="s">
        <v>69</v>
      </c>
      <c r="D73" s="17"/>
      <c r="E73" s="10">
        <v>31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20">
        <v>0</v>
      </c>
      <c r="W73" s="37">
        <v>0</v>
      </c>
      <c r="X73" s="37" t="e">
        <v>#DIV/0!</v>
      </c>
      <c r="Y73" s="37" t="e">
        <v>#DIV/0!</v>
      </c>
      <c r="Z73" s="37" t="e">
        <v>#DIV/0!</v>
      </c>
    </row>
    <row r="74" spans="1:26" ht="15.75" x14ac:dyDescent="0.25">
      <c r="A74" s="245">
        <v>2</v>
      </c>
      <c r="B74" s="246"/>
      <c r="C74" s="11" t="s">
        <v>70</v>
      </c>
      <c r="D74" s="11" t="s">
        <v>48</v>
      </c>
      <c r="E74" s="10">
        <v>31</v>
      </c>
      <c r="F74" s="11"/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5">
        <v>0</v>
      </c>
      <c r="W74" s="15" t="e">
        <v>#DIV/0!</v>
      </c>
      <c r="X74" s="15" t="e">
        <v>#DIV/0!</v>
      </c>
      <c r="Y74" s="14" t="e">
        <v>#DIV/0!</v>
      </c>
      <c r="Z74" s="15" t="e">
        <v>#DIV/0!</v>
      </c>
    </row>
    <row r="75" spans="1:26" ht="15.75" x14ac:dyDescent="0.25">
      <c r="A75" s="247"/>
      <c r="B75" s="246"/>
      <c r="C75" s="17" t="s">
        <v>70</v>
      </c>
      <c r="D75" s="17"/>
      <c r="E75" s="10">
        <v>31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0</v>
      </c>
      <c r="R75" s="17">
        <v>0</v>
      </c>
      <c r="S75" s="17">
        <v>0</v>
      </c>
      <c r="T75" s="17">
        <v>0</v>
      </c>
      <c r="U75" s="17">
        <v>0</v>
      </c>
      <c r="V75" s="20">
        <v>0</v>
      </c>
      <c r="W75" s="20" t="e">
        <v>#DIV/0!</v>
      </c>
      <c r="X75" s="20" t="e">
        <v>#DIV/0!</v>
      </c>
      <c r="Y75" s="20" t="e">
        <v>#DIV/0!</v>
      </c>
      <c r="Z75" s="20" t="e">
        <v>#DIV/0!</v>
      </c>
    </row>
    <row r="76" spans="1:26" ht="15.75" x14ac:dyDescent="0.25">
      <c r="A76" s="245">
        <v>3</v>
      </c>
      <c r="B76" s="246"/>
      <c r="C76" s="11" t="s">
        <v>63</v>
      </c>
      <c r="D76" s="11"/>
      <c r="E76" s="10">
        <v>31</v>
      </c>
      <c r="F76" s="11"/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5">
        <v>0</v>
      </c>
      <c r="W76" s="35" t="e">
        <v>#DIV/0!</v>
      </c>
      <c r="X76" s="35" t="e">
        <v>#DIV/0!</v>
      </c>
      <c r="Y76" s="36" t="e">
        <v>#DIV/0!</v>
      </c>
      <c r="Z76" s="35" t="e">
        <v>#DIV/0!</v>
      </c>
    </row>
    <row r="77" spans="1:26" ht="15.75" x14ac:dyDescent="0.25">
      <c r="A77" s="247"/>
      <c r="B77" s="247"/>
      <c r="C77" s="17" t="s">
        <v>63</v>
      </c>
      <c r="D77" s="17"/>
      <c r="E77" s="10">
        <v>31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20">
        <v>0</v>
      </c>
      <c r="W77" s="37" t="e">
        <v>#DIV/0!</v>
      </c>
      <c r="X77" s="37" t="e">
        <v>#DIV/0!</v>
      </c>
      <c r="Y77" s="37" t="e">
        <v>#DIV/0!</v>
      </c>
      <c r="Z77" s="37" t="e">
        <v>#DIV/0!</v>
      </c>
    </row>
    <row r="78" spans="1:26" ht="15.75" x14ac:dyDescent="0.25">
      <c r="A78" s="105" t="s">
        <v>71</v>
      </c>
      <c r="B78" s="105"/>
      <c r="C78" s="105"/>
      <c r="D78" s="105"/>
      <c r="E78" s="10">
        <v>31</v>
      </c>
      <c r="F78" s="29">
        <v>0</v>
      </c>
      <c r="G78" s="29">
        <v>0</v>
      </c>
      <c r="H78" s="29">
        <v>0</v>
      </c>
      <c r="I78" s="29">
        <v>0</v>
      </c>
      <c r="J78" s="28">
        <v>0</v>
      </c>
      <c r="K78" s="29">
        <v>0</v>
      </c>
      <c r="L78" s="29">
        <v>0</v>
      </c>
      <c r="M78" s="28">
        <v>0</v>
      </c>
      <c r="N78" s="29">
        <v>0</v>
      </c>
      <c r="O78" s="29">
        <v>0</v>
      </c>
      <c r="P78" s="28">
        <v>0</v>
      </c>
      <c r="Q78" s="29">
        <v>0</v>
      </c>
      <c r="R78" s="29">
        <v>0</v>
      </c>
      <c r="S78" s="29">
        <v>0</v>
      </c>
      <c r="T78" s="28">
        <v>0</v>
      </c>
      <c r="U78" s="28">
        <v>0</v>
      </c>
      <c r="V78" s="30">
        <v>0</v>
      </c>
      <c r="W78" s="30" t="e">
        <v>#DIV/0!</v>
      </c>
      <c r="X78" s="30" t="e">
        <v>#DIV/0!</v>
      </c>
      <c r="Y78" s="30" t="e">
        <v>#DIV/0!</v>
      </c>
      <c r="Z78" s="30" t="e">
        <v>#DIV/0!</v>
      </c>
    </row>
    <row r="79" spans="1:26" ht="18.75" x14ac:dyDescent="0.25">
      <c r="A79" s="106"/>
      <c r="B79" s="106"/>
      <c r="C79" s="106"/>
      <c r="D79" s="106"/>
      <c r="E79" s="1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9"/>
      <c r="W79" s="40"/>
      <c r="X79" s="40"/>
      <c r="Y79" s="40"/>
      <c r="Z79" s="40"/>
    </row>
    <row r="80" spans="1:26" x14ac:dyDescent="0.25">
      <c r="A80" s="243" t="s">
        <v>1</v>
      </c>
      <c r="B80" s="243" t="s">
        <v>2</v>
      </c>
      <c r="C80" s="240" t="s">
        <v>3</v>
      </c>
      <c r="D80" s="240" t="s">
        <v>4</v>
      </c>
      <c r="E80" s="244" t="s">
        <v>5</v>
      </c>
      <c r="F80" s="240" t="s">
        <v>6</v>
      </c>
      <c r="G80" s="240" t="s">
        <v>7</v>
      </c>
      <c r="H80" s="240" t="s">
        <v>8</v>
      </c>
      <c r="I80" s="244" t="s">
        <v>9</v>
      </c>
      <c r="J80" s="240" t="s">
        <v>10</v>
      </c>
      <c r="K80" s="240" t="s">
        <v>11</v>
      </c>
      <c r="L80" s="240" t="s">
        <v>12</v>
      </c>
      <c r="M80" s="240" t="s">
        <v>13</v>
      </c>
      <c r="N80" s="240" t="s">
        <v>14</v>
      </c>
      <c r="O80" s="240" t="s">
        <v>15</v>
      </c>
      <c r="P80" s="240" t="s">
        <v>16</v>
      </c>
      <c r="Q80" s="240" t="s">
        <v>17</v>
      </c>
      <c r="R80" s="240" t="s">
        <v>18</v>
      </c>
      <c r="S80" s="240" t="s">
        <v>19</v>
      </c>
      <c r="T80" s="240" t="s">
        <v>20</v>
      </c>
      <c r="U80" s="241" t="s">
        <v>21</v>
      </c>
      <c r="V80" s="8" t="s">
        <v>22</v>
      </c>
      <c r="W80" s="8" t="s">
        <v>23</v>
      </c>
      <c r="X80" s="8" t="s">
        <v>24</v>
      </c>
      <c r="Y80" s="8" t="s">
        <v>25</v>
      </c>
      <c r="Z80" s="8" t="s">
        <v>26</v>
      </c>
    </row>
    <row r="81" spans="1:26" x14ac:dyDescent="0.25">
      <c r="A81" s="243"/>
      <c r="B81" s="243"/>
      <c r="C81" s="240"/>
      <c r="D81" s="240"/>
      <c r="E81" s="244"/>
      <c r="F81" s="240"/>
      <c r="G81" s="240"/>
      <c r="H81" s="240"/>
      <c r="I81" s="244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1"/>
      <c r="V81" s="238" t="s">
        <v>27</v>
      </c>
      <c r="W81" s="238" t="s">
        <v>28</v>
      </c>
      <c r="X81" s="238" t="s">
        <v>29</v>
      </c>
      <c r="Y81" s="238" t="s">
        <v>30</v>
      </c>
      <c r="Z81" s="238" t="s">
        <v>31</v>
      </c>
    </row>
    <row r="82" spans="1:26" x14ac:dyDescent="0.25">
      <c r="A82" s="243"/>
      <c r="B82" s="243"/>
      <c r="C82" s="240"/>
      <c r="D82" s="240"/>
      <c r="E82" s="244"/>
      <c r="F82" s="240"/>
      <c r="G82" s="240"/>
      <c r="H82" s="240"/>
      <c r="I82" s="244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1"/>
      <c r="V82" s="242"/>
      <c r="W82" s="238"/>
      <c r="X82" s="238"/>
      <c r="Y82" s="238"/>
      <c r="Z82" s="238"/>
    </row>
    <row r="83" spans="1:26" x14ac:dyDescent="0.25">
      <c r="A83" s="243"/>
      <c r="B83" s="243"/>
      <c r="C83" s="240"/>
      <c r="D83" s="240"/>
      <c r="E83" s="244"/>
      <c r="F83" s="240"/>
      <c r="G83" s="9">
        <v>1</v>
      </c>
      <c r="H83" s="9">
        <v>2</v>
      </c>
      <c r="I83" s="9">
        <v>3</v>
      </c>
      <c r="J83" s="9">
        <v>4</v>
      </c>
      <c r="K83" s="9">
        <v>5</v>
      </c>
      <c r="L83" s="9">
        <v>6</v>
      </c>
      <c r="M83" s="9">
        <v>7</v>
      </c>
      <c r="N83" s="9">
        <v>8</v>
      </c>
      <c r="O83" s="9">
        <v>9</v>
      </c>
      <c r="P83" s="9">
        <v>10</v>
      </c>
      <c r="Q83" s="9">
        <v>11</v>
      </c>
      <c r="R83" s="9">
        <v>12</v>
      </c>
      <c r="S83" s="9">
        <v>13</v>
      </c>
      <c r="T83" s="9">
        <v>14</v>
      </c>
      <c r="U83" s="241"/>
      <c r="V83" s="58">
        <v>15</v>
      </c>
      <c r="W83" s="58">
        <v>16</v>
      </c>
      <c r="X83" s="58">
        <v>17</v>
      </c>
      <c r="Y83" s="58">
        <v>18</v>
      </c>
      <c r="Z83" s="58">
        <v>19</v>
      </c>
    </row>
    <row r="84" spans="1:26" ht="15" customHeight="1" x14ac:dyDescent="0.25">
      <c r="A84" s="245">
        <v>1</v>
      </c>
      <c r="B84" s="245" t="s">
        <v>72</v>
      </c>
      <c r="C84" s="10" t="s">
        <v>69</v>
      </c>
      <c r="D84" s="10" t="s">
        <v>38</v>
      </c>
      <c r="E84" s="10">
        <v>31</v>
      </c>
      <c r="F84" s="10">
        <v>30</v>
      </c>
      <c r="G84" s="10">
        <v>22</v>
      </c>
      <c r="H84" s="10">
        <v>175</v>
      </c>
      <c r="I84" s="10">
        <v>17</v>
      </c>
      <c r="J84" s="11">
        <v>214</v>
      </c>
      <c r="K84" s="10">
        <v>89</v>
      </c>
      <c r="L84" s="10">
        <v>97</v>
      </c>
      <c r="M84" s="11">
        <v>4</v>
      </c>
      <c r="N84" s="10">
        <v>2</v>
      </c>
      <c r="O84" s="10">
        <v>2</v>
      </c>
      <c r="P84" s="11">
        <v>190</v>
      </c>
      <c r="Q84" s="10">
        <v>608</v>
      </c>
      <c r="R84" s="10">
        <v>0</v>
      </c>
      <c r="S84" s="10">
        <v>762</v>
      </c>
      <c r="T84" s="11">
        <v>24</v>
      </c>
      <c r="U84" s="11">
        <v>101</v>
      </c>
      <c r="V84" s="15">
        <v>24.580645161290324</v>
      </c>
      <c r="W84" s="15">
        <v>81.935483870967758</v>
      </c>
      <c r="X84" s="15">
        <v>7.5445544554455441</v>
      </c>
      <c r="Y84" s="14">
        <v>1.6633663366336631</v>
      </c>
      <c r="Z84" s="15">
        <v>3.3666666666666667</v>
      </c>
    </row>
    <row r="85" spans="1:26" ht="15.75" x14ac:dyDescent="0.25">
      <c r="A85" s="247"/>
      <c r="B85" s="246"/>
      <c r="C85" s="17" t="s">
        <v>69</v>
      </c>
      <c r="D85" s="17"/>
      <c r="E85" s="10">
        <v>31</v>
      </c>
      <c r="F85" s="41">
        <v>30</v>
      </c>
      <c r="G85" s="17">
        <v>22</v>
      </c>
      <c r="H85" s="17">
        <v>175</v>
      </c>
      <c r="I85" s="17">
        <v>17</v>
      </c>
      <c r="J85" s="17">
        <v>214</v>
      </c>
      <c r="K85" s="17">
        <v>89</v>
      </c>
      <c r="L85" s="17">
        <v>97</v>
      </c>
      <c r="M85" s="17">
        <v>4</v>
      </c>
      <c r="N85" s="17">
        <v>2</v>
      </c>
      <c r="O85" s="17">
        <v>2</v>
      </c>
      <c r="P85" s="17">
        <v>190</v>
      </c>
      <c r="Q85" s="17">
        <v>608</v>
      </c>
      <c r="R85" s="17">
        <v>0</v>
      </c>
      <c r="S85" s="17">
        <v>762</v>
      </c>
      <c r="T85" s="17">
        <v>24</v>
      </c>
      <c r="U85" s="17">
        <v>101</v>
      </c>
      <c r="V85" s="20">
        <v>24.580645161290324</v>
      </c>
      <c r="W85" s="20">
        <v>81.935483870967758</v>
      </c>
      <c r="X85" s="20">
        <v>7.5445544554455441</v>
      </c>
      <c r="Y85" s="20">
        <v>1.6633663366336631</v>
      </c>
      <c r="Z85" s="20">
        <v>3.3666666666666667</v>
      </c>
    </row>
    <row r="86" spans="1:26" ht="15.75" x14ac:dyDescent="0.25">
      <c r="A86" s="141"/>
      <c r="B86" s="246"/>
      <c r="C86" s="144"/>
      <c r="D86" s="11" t="s">
        <v>55</v>
      </c>
      <c r="E86" s="10">
        <v>31</v>
      </c>
      <c r="F86" s="11"/>
      <c r="G86" s="11">
        <v>0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5"/>
      <c r="X86" s="15"/>
      <c r="Y86" s="15"/>
      <c r="Z86" s="15"/>
    </row>
    <row r="87" spans="1:26" ht="15.75" x14ac:dyDescent="0.25">
      <c r="A87" s="245">
        <v>2</v>
      </c>
      <c r="B87" s="246"/>
      <c r="C87" s="248" t="s">
        <v>73</v>
      </c>
      <c r="D87" s="10" t="s">
        <v>48</v>
      </c>
      <c r="E87" s="10">
        <v>31</v>
      </c>
      <c r="F87" s="10">
        <v>2</v>
      </c>
      <c r="G87" s="11">
        <v>0</v>
      </c>
      <c r="H87" s="11">
        <v>1</v>
      </c>
      <c r="I87" s="11">
        <v>1</v>
      </c>
      <c r="J87" s="11">
        <v>2</v>
      </c>
      <c r="K87" s="11">
        <v>0</v>
      </c>
      <c r="L87" s="11">
        <v>2</v>
      </c>
      <c r="M87" s="11">
        <v>0</v>
      </c>
      <c r="N87" s="11">
        <v>0</v>
      </c>
      <c r="O87" s="11">
        <v>0</v>
      </c>
      <c r="P87" s="11">
        <v>2</v>
      </c>
      <c r="Q87" s="11">
        <v>2</v>
      </c>
      <c r="R87" s="11">
        <v>0</v>
      </c>
      <c r="S87" s="11">
        <v>2</v>
      </c>
      <c r="T87" s="11">
        <v>0</v>
      </c>
      <c r="U87" s="11">
        <v>2</v>
      </c>
      <c r="V87" s="15">
        <v>6.4516129032258063E-2</v>
      </c>
      <c r="W87" s="15">
        <v>3.225806451612903</v>
      </c>
      <c r="X87" s="15">
        <v>1</v>
      </c>
      <c r="Y87" s="14">
        <v>30</v>
      </c>
      <c r="Z87" s="15">
        <v>1</v>
      </c>
    </row>
    <row r="88" spans="1:26" ht="15.75" x14ac:dyDescent="0.25">
      <c r="A88" s="246"/>
      <c r="B88" s="246"/>
      <c r="C88" s="249"/>
      <c r="D88" s="10" t="s">
        <v>38</v>
      </c>
      <c r="E88" s="10">
        <v>31</v>
      </c>
      <c r="F88" s="10">
        <v>4</v>
      </c>
      <c r="G88" s="11">
        <v>0</v>
      </c>
      <c r="H88" s="11">
        <v>1</v>
      </c>
      <c r="I88" s="11">
        <v>63</v>
      </c>
      <c r="J88" s="11">
        <v>64</v>
      </c>
      <c r="K88" s="11">
        <v>57</v>
      </c>
      <c r="L88" s="11">
        <v>5</v>
      </c>
      <c r="M88" s="11">
        <v>0</v>
      </c>
      <c r="N88" s="11">
        <v>0</v>
      </c>
      <c r="O88" s="11">
        <v>0</v>
      </c>
      <c r="P88" s="11">
        <v>62</v>
      </c>
      <c r="Q88" s="11">
        <v>6</v>
      </c>
      <c r="R88" s="11">
        <v>0</v>
      </c>
      <c r="S88" s="11">
        <v>65</v>
      </c>
      <c r="T88" s="11">
        <v>2</v>
      </c>
      <c r="U88" s="11">
        <v>5</v>
      </c>
      <c r="V88" s="15">
        <v>2.096774193548387</v>
      </c>
      <c r="W88" s="15">
        <v>52.419354838709673</v>
      </c>
      <c r="X88" s="15">
        <v>13</v>
      </c>
      <c r="Y88" s="14">
        <v>11.8</v>
      </c>
      <c r="Z88" s="15">
        <v>1.25</v>
      </c>
    </row>
    <row r="89" spans="1:26" ht="15.75" x14ac:dyDescent="0.25">
      <c r="A89" s="246"/>
      <c r="B89" s="246"/>
      <c r="C89" s="250"/>
      <c r="D89" s="10" t="s">
        <v>34</v>
      </c>
      <c r="E89" s="10">
        <v>31</v>
      </c>
      <c r="F89" s="10">
        <v>10</v>
      </c>
      <c r="G89" s="11">
        <v>6</v>
      </c>
      <c r="H89" s="11">
        <v>5</v>
      </c>
      <c r="I89" s="11">
        <v>140</v>
      </c>
      <c r="J89" s="11">
        <v>151</v>
      </c>
      <c r="K89" s="11">
        <v>1</v>
      </c>
      <c r="L89" s="11">
        <v>148</v>
      </c>
      <c r="M89" s="11">
        <v>0</v>
      </c>
      <c r="N89" s="11">
        <v>0</v>
      </c>
      <c r="O89" s="11">
        <v>0</v>
      </c>
      <c r="P89" s="11">
        <v>149</v>
      </c>
      <c r="Q89" s="11">
        <v>227</v>
      </c>
      <c r="R89" s="11">
        <v>0</v>
      </c>
      <c r="S89" s="11">
        <v>150</v>
      </c>
      <c r="T89" s="11">
        <v>2</v>
      </c>
      <c r="U89" s="11">
        <v>148</v>
      </c>
      <c r="V89" s="15">
        <v>4.838709677419355</v>
      </c>
      <c r="W89" s="15">
        <v>48.387096774193552</v>
      </c>
      <c r="X89" s="15">
        <v>1.0135135135135136</v>
      </c>
      <c r="Y89" s="14">
        <v>1.0810810810810811</v>
      </c>
      <c r="Z89" s="15">
        <v>14.8</v>
      </c>
    </row>
    <row r="90" spans="1:26" ht="15.75" x14ac:dyDescent="0.25">
      <c r="A90" s="247"/>
      <c r="B90" s="247"/>
      <c r="C90" s="17" t="s">
        <v>73</v>
      </c>
      <c r="D90" s="17"/>
      <c r="E90" s="10">
        <v>31</v>
      </c>
      <c r="F90" s="17">
        <v>16</v>
      </c>
      <c r="G90" s="17">
        <v>6</v>
      </c>
      <c r="H90" s="17">
        <v>7</v>
      </c>
      <c r="I90" s="17">
        <v>204</v>
      </c>
      <c r="J90" s="17">
        <v>217</v>
      </c>
      <c r="K90" s="17">
        <v>58</v>
      </c>
      <c r="L90" s="17">
        <v>155</v>
      </c>
      <c r="M90" s="17">
        <v>0</v>
      </c>
      <c r="N90" s="17">
        <v>0</v>
      </c>
      <c r="O90" s="17">
        <v>0</v>
      </c>
      <c r="P90" s="17">
        <v>213</v>
      </c>
      <c r="Q90" s="17">
        <v>235</v>
      </c>
      <c r="R90" s="17">
        <v>0</v>
      </c>
      <c r="S90" s="17">
        <v>217</v>
      </c>
      <c r="T90" s="17">
        <v>4</v>
      </c>
      <c r="U90" s="17">
        <v>155</v>
      </c>
      <c r="V90" s="20">
        <v>7</v>
      </c>
      <c r="W90" s="20">
        <v>43.75</v>
      </c>
      <c r="X90" s="20">
        <v>1.4</v>
      </c>
      <c r="Y90" s="20">
        <v>1.8</v>
      </c>
      <c r="Z90" s="20">
        <v>9.6875</v>
      </c>
    </row>
    <row r="91" spans="1:26" ht="15.75" x14ac:dyDescent="0.25">
      <c r="A91" s="105" t="s">
        <v>74</v>
      </c>
      <c r="B91" s="105"/>
      <c r="C91" s="105"/>
      <c r="D91" s="105"/>
      <c r="E91" s="10">
        <v>31</v>
      </c>
      <c r="F91" s="29">
        <v>46</v>
      </c>
      <c r="G91" s="29">
        <v>28</v>
      </c>
      <c r="H91" s="29">
        <v>182</v>
      </c>
      <c r="I91" s="29">
        <v>221</v>
      </c>
      <c r="J91" s="28">
        <v>431</v>
      </c>
      <c r="K91" s="29">
        <v>147</v>
      </c>
      <c r="L91" s="29">
        <v>252</v>
      </c>
      <c r="M91" s="28">
        <v>4</v>
      </c>
      <c r="N91" s="29">
        <v>2</v>
      </c>
      <c r="O91" s="29">
        <v>2</v>
      </c>
      <c r="P91" s="28">
        <v>403</v>
      </c>
      <c r="Q91" s="29">
        <v>843</v>
      </c>
      <c r="R91" s="29">
        <v>0</v>
      </c>
      <c r="S91" s="29">
        <v>979</v>
      </c>
      <c r="T91" s="28">
        <v>28</v>
      </c>
      <c r="U91" s="28">
        <v>256</v>
      </c>
      <c r="V91" s="29">
        <v>31.580645161290324</v>
      </c>
      <c r="W91" s="30">
        <v>68.65357643758766</v>
      </c>
      <c r="X91" s="30">
        <v>3.82421875</v>
      </c>
      <c r="Y91" s="30">
        <v>1.7460937499999998</v>
      </c>
      <c r="Z91" s="30">
        <v>5.5652173913043477</v>
      </c>
    </row>
    <row r="92" spans="1:26" ht="15.75" x14ac:dyDescent="0.25">
      <c r="A92" s="31"/>
      <c r="D92" s="32"/>
      <c r="E92" s="10"/>
      <c r="G92">
        <v>47</v>
      </c>
    </row>
    <row r="93" spans="1:26" x14ac:dyDescent="0.25">
      <c r="A93" s="243" t="s">
        <v>1</v>
      </c>
      <c r="B93" s="243" t="s">
        <v>2</v>
      </c>
      <c r="C93" s="240" t="s">
        <v>3</v>
      </c>
      <c r="D93" s="240" t="s">
        <v>4</v>
      </c>
      <c r="E93" s="244" t="s">
        <v>5</v>
      </c>
      <c r="F93" s="240" t="s">
        <v>6</v>
      </c>
      <c r="G93" s="240" t="s">
        <v>7</v>
      </c>
      <c r="H93" s="240" t="s">
        <v>8</v>
      </c>
      <c r="I93" s="244" t="s">
        <v>9</v>
      </c>
      <c r="J93" s="240" t="s">
        <v>10</v>
      </c>
      <c r="K93" s="240" t="s">
        <v>11</v>
      </c>
      <c r="L93" s="240" t="s">
        <v>12</v>
      </c>
      <c r="M93" s="240" t="s">
        <v>13</v>
      </c>
      <c r="N93" s="240" t="s">
        <v>14</v>
      </c>
      <c r="O93" s="240" t="s">
        <v>15</v>
      </c>
      <c r="P93" s="240" t="s">
        <v>16</v>
      </c>
      <c r="Q93" s="240" t="s">
        <v>17</v>
      </c>
      <c r="R93" s="240" t="s">
        <v>18</v>
      </c>
      <c r="S93" s="240" t="s">
        <v>19</v>
      </c>
      <c r="T93" s="240" t="s">
        <v>20</v>
      </c>
      <c r="U93" s="241" t="s">
        <v>21</v>
      </c>
      <c r="V93" s="8" t="s">
        <v>22</v>
      </c>
      <c r="W93" s="8" t="s">
        <v>23</v>
      </c>
      <c r="X93" s="8" t="s">
        <v>24</v>
      </c>
      <c r="Y93" s="8" t="s">
        <v>25</v>
      </c>
      <c r="Z93" s="8" t="s">
        <v>26</v>
      </c>
    </row>
    <row r="94" spans="1:26" x14ac:dyDescent="0.25">
      <c r="A94" s="243"/>
      <c r="B94" s="243"/>
      <c r="C94" s="240"/>
      <c r="D94" s="240"/>
      <c r="E94" s="244"/>
      <c r="F94" s="240"/>
      <c r="G94" s="240"/>
      <c r="H94" s="240"/>
      <c r="I94" s="244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1"/>
      <c r="V94" s="238" t="s">
        <v>27</v>
      </c>
      <c r="W94" s="238" t="s">
        <v>28</v>
      </c>
      <c r="X94" s="238" t="s">
        <v>29</v>
      </c>
      <c r="Y94" s="238" t="s">
        <v>30</v>
      </c>
      <c r="Z94" s="238" t="s">
        <v>31</v>
      </c>
    </row>
    <row r="95" spans="1:26" x14ac:dyDescent="0.25">
      <c r="A95" s="243"/>
      <c r="B95" s="243"/>
      <c r="C95" s="240"/>
      <c r="D95" s="240"/>
      <c r="E95" s="244"/>
      <c r="F95" s="240"/>
      <c r="G95" s="240"/>
      <c r="H95" s="240"/>
      <c r="I95" s="244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1"/>
      <c r="V95" s="242"/>
      <c r="W95" s="238"/>
      <c r="X95" s="238"/>
      <c r="Y95" s="238"/>
      <c r="Z95" s="238"/>
    </row>
    <row r="96" spans="1:26" x14ac:dyDescent="0.25">
      <c r="A96" s="243"/>
      <c r="B96" s="243"/>
      <c r="C96" s="240"/>
      <c r="D96" s="240"/>
      <c r="E96" s="244"/>
      <c r="F96" s="240"/>
      <c r="G96" s="9">
        <v>1</v>
      </c>
      <c r="H96" s="9">
        <v>2</v>
      </c>
      <c r="I96" s="9">
        <v>3</v>
      </c>
      <c r="J96" s="9">
        <v>4</v>
      </c>
      <c r="K96" s="9">
        <v>5</v>
      </c>
      <c r="L96" s="9">
        <v>6</v>
      </c>
      <c r="M96" s="9">
        <v>7</v>
      </c>
      <c r="N96" s="9">
        <v>8</v>
      </c>
      <c r="O96" s="9">
        <v>9</v>
      </c>
      <c r="P96" s="9">
        <v>10</v>
      </c>
      <c r="Q96" s="9">
        <v>11</v>
      </c>
      <c r="R96" s="9">
        <v>12</v>
      </c>
      <c r="S96" s="9">
        <v>13</v>
      </c>
      <c r="T96" s="9">
        <v>14</v>
      </c>
      <c r="U96" s="241"/>
      <c r="V96" s="58">
        <v>15</v>
      </c>
      <c r="W96" s="58">
        <v>16</v>
      </c>
      <c r="X96" s="58">
        <v>17</v>
      </c>
      <c r="Y96" s="58">
        <v>18</v>
      </c>
      <c r="Z96" s="58">
        <v>19</v>
      </c>
    </row>
    <row r="97" spans="1:26" ht="15" customHeight="1" x14ac:dyDescent="0.25">
      <c r="A97" s="245">
        <v>1</v>
      </c>
      <c r="B97" s="259" t="s">
        <v>75</v>
      </c>
      <c r="C97" s="10" t="s">
        <v>76</v>
      </c>
      <c r="D97" s="10" t="s">
        <v>48</v>
      </c>
      <c r="E97" s="10">
        <v>31</v>
      </c>
      <c r="F97" s="10">
        <v>14</v>
      </c>
      <c r="G97" s="11">
        <v>12</v>
      </c>
      <c r="H97" s="11">
        <v>20</v>
      </c>
      <c r="I97" s="11">
        <v>111</v>
      </c>
      <c r="J97" s="11">
        <v>143</v>
      </c>
      <c r="K97" s="11">
        <v>110</v>
      </c>
      <c r="L97" s="11">
        <v>1</v>
      </c>
      <c r="M97" s="11">
        <v>15</v>
      </c>
      <c r="N97" s="11">
        <v>2</v>
      </c>
      <c r="O97" s="11">
        <v>13</v>
      </c>
      <c r="P97" s="11">
        <v>126</v>
      </c>
      <c r="Q97" s="11">
        <v>120</v>
      </c>
      <c r="R97" s="11">
        <v>0</v>
      </c>
      <c r="S97" s="11">
        <v>339</v>
      </c>
      <c r="T97" s="11">
        <v>17</v>
      </c>
      <c r="U97" s="11">
        <v>16</v>
      </c>
      <c r="V97" s="15">
        <v>10.935483870967742</v>
      </c>
      <c r="W97" s="15">
        <v>78.110599078341011</v>
      </c>
      <c r="X97" s="15">
        <v>21.1875</v>
      </c>
      <c r="Y97" s="14">
        <v>5.9375</v>
      </c>
      <c r="Z97" s="15">
        <v>1.1428571428571428</v>
      </c>
    </row>
    <row r="98" spans="1:26" ht="15.75" x14ac:dyDescent="0.25">
      <c r="A98" s="247"/>
      <c r="B98" s="260"/>
      <c r="C98" s="17" t="s">
        <v>76</v>
      </c>
      <c r="D98" s="17" t="s">
        <v>48</v>
      </c>
      <c r="E98" s="10">
        <v>31</v>
      </c>
      <c r="F98" s="17">
        <v>14</v>
      </c>
      <c r="G98" s="17">
        <v>12</v>
      </c>
      <c r="H98" s="17">
        <v>20</v>
      </c>
      <c r="I98" s="17">
        <v>111</v>
      </c>
      <c r="J98" s="17">
        <v>143</v>
      </c>
      <c r="K98" s="17">
        <v>110</v>
      </c>
      <c r="L98" s="17">
        <v>1</v>
      </c>
      <c r="M98" s="17">
        <v>15</v>
      </c>
      <c r="N98" s="17">
        <v>2</v>
      </c>
      <c r="O98" s="17">
        <v>13</v>
      </c>
      <c r="P98" s="17">
        <v>126</v>
      </c>
      <c r="Q98" s="17">
        <v>120</v>
      </c>
      <c r="R98" s="17">
        <v>0</v>
      </c>
      <c r="S98" s="17">
        <v>339</v>
      </c>
      <c r="T98" s="17">
        <v>17</v>
      </c>
      <c r="U98" s="17">
        <v>16</v>
      </c>
      <c r="V98" s="20">
        <v>10.935483870967742</v>
      </c>
      <c r="W98" s="20">
        <v>78.110599078341011</v>
      </c>
      <c r="X98" s="20">
        <v>21.1875</v>
      </c>
      <c r="Y98" s="20">
        <v>5.9375</v>
      </c>
      <c r="Z98" s="20">
        <v>1.1428571428571428</v>
      </c>
    </row>
    <row r="99" spans="1:26" ht="15.75" x14ac:dyDescent="0.25">
      <c r="A99" s="245">
        <v>2</v>
      </c>
      <c r="B99" s="260"/>
      <c r="C99" s="10" t="s">
        <v>77</v>
      </c>
      <c r="D99" s="10" t="s">
        <v>48</v>
      </c>
      <c r="E99" s="10">
        <v>31</v>
      </c>
      <c r="F99" s="10">
        <v>5</v>
      </c>
      <c r="G99" s="11">
        <v>5</v>
      </c>
      <c r="H99" s="11">
        <v>59</v>
      </c>
      <c r="I99" s="11">
        <v>9</v>
      </c>
      <c r="J99" s="11">
        <v>73</v>
      </c>
      <c r="K99" s="11">
        <v>63</v>
      </c>
      <c r="L99" s="11">
        <v>0</v>
      </c>
      <c r="M99" s="11">
        <v>8</v>
      </c>
      <c r="N99" s="11">
        <v>8</v>
      </c>
      <c r="O99" s="11">
        <v>0</v>
      </c>
      <c r="P99" s="11">
        <v>71</v>
      </c>
      <c r="Q99" s="11">
        <v>9</v>
      </c>
      <c r="R99" s="11">
        <v>2</v>
      </c>
      <c r="S99" s="11">
        <v>108</v>
      </c>
      <c r="T99" s="11">
        <v>2</v>
      </c>
      <c r="U99" s="11">
        <v>8</v>
      </c>
      <c r="V99" s="15">
        <v>3.4838709677419355</v>
      </c>
      <c r="W99" s="15">
        <v>69.677419354838705</v>
      </c>
      <c r="X99" s="15">
        <v>13.5</v>
      </c>
      <c r="Y99" s="14">
        <v>5.875</v>
      </c>
      <c r="Z99" s="15">
        <v>1.6</v>
      </c>
    </row>
    <row r="100" spans="1:26" ht="15.75" x14ac:dyDescent="0.25">
      <c r="A100" s="247"/>
      <c r="B100" s="260"/>
      <c r="C100" s="17" t="s">
        <v>77</v>
      </c>
      <c r="D100" s="17" t="s">
        <v>48</v>
      </c>
      <c r="E100" s="10">
        <v>31</v>
      </c>
      <c r="F100" s="17">
        <v>5</v>
      </c>
      <c r="G100" s="17">
        <v>5</v>
      </c>
      <c r="H100" s="17">
        <v>59</v>
      </c>
      <c r="I100" s="17">
        <v>9</v>
      </c>
      <c r="J100" s="17">
        <v>73</v>
      </c>
      <c r="K100" s="17">
        <v>63</v>
      </c>
      <c r="L100" s="17">
        <v>0</v>
      </c>
      <c r="M100" s="17">
        <v>8</v>
      </c>
      <c r="N100" s="17">
        <v>8</v>
      </c>
      <c r="O100" s="17">
        <v>0</v>
      </c>
      <c r="P100" s="17">
        <v>71</v>
      </c>
      <c r="Q100" s="17">
        <v>9</v>
      </c>
      <c r="R100" s="17">
        <v>2</v>
      </c>
      <c r="S100" s="17">
        <v>108</v>
      </c>
      <c r="T100" s="17">
        <v>2</v>
      </c>
      <c r="U100" s="17">
        <v>8</v>
      </c>
      <c r="V100" s="20">
        <v>3.4838709677419355</v>
      </c>
      <c r="W100" s="20">
        <v>69.677419354838705</v>
      </c>
      <c r="X100" s="20">
        <v>13.5</v>
      </c>
      <c r="Y100" s="20">
        <v>5.875</v>
      </c>
      <c r="Z100" s="20">
        <v>1.6</v>
      </c>
    </row>
    <row r="101" spans="1:26" ht="15.75" x14ac:dyDescent="0.25">
      <c r="A101" s="245">
        <v>3</v>
      </c>
      <c r="B101" s="260"/>
      <c r="C101" s="10" t="s">
        <v>78</v>
      </c>
      <c r="D101" s="10" t="s">
        <v>48</v>
      </c>
      <c r="E101" s="10">
        <v>31</v>
      </c>
      <c r="F101" s="10">
        <v>3</v>
      </c>
      <c r="G101" s="43">
        <v>2</v>
      </c>
      <c r="H101" s="43">
        <v>4</v>
      </c>
      <c r="I101" s="43">
        <v>12</v>
      </c>
      <c r="J101" s="11">
        <v>18</v>
      </c>
      <c r="K101" s="43">
        <v>14</v>
      </c>
      <c r="L101" s="43">
        <v>0</v>
      </c>
      <c r="M101" s="11">
        <v>2</v>
      </c>
      <c r="N101" s="43">
        <v>0</v>
      </c>
      <c r="O101" s="43">
        <v>2</v>
      </c>
      <c r="P101" s="11">
        <v>16</v>
      </c>
      <c r="Q101" s="43">
        <v>31</v>
      </c>
      <c r="R101" s="43">
        <v>0</v>
      </c>
      <c r="S101" s="43">
        <v>73</v>
      </c>
      <c r="T101" s="11">
        <v>2</v>
      </c>
      <c r="U101" s="11">
        <v>2</v>
      </c>
      <c r="V101" s="15">
        <v>2.3548387096774195</v>
      </c>
      <c r="W101" s="15">
        <v>78.494623655913983</v>
      </c>
      <c r="X101" s="15">
        <v>36.5</v>
      </c>
      <c r="Y101" s="14">
        <v>9.9999999999999982</v>
      </c>
      <c r="Z101" s="15">
        <v>0.66666666666666663</v>
      </c>
    </row>
    <row r="102" spans="1:26" ht="15.75" x14ac:dyDescent="0.25">
      <c r="A102" s="247"/>
      <c r="B102" s="260"/>
      <c r="C102" s="17" t="s">
        <v>78</v>
      </c>
      <c r="D102" s="17" t="s">
        <v>48</v>
      </c>
      <c r="E102" s="10">
        <v>31</v>
      </c>
      <c r="F102" s="17">
        <v>3</v>
      </c>
      <c r="G102" s="17">
        <v>2</v>
      </c>
      <c r="H102" s="17">
        <v>4</v>
      </c>
      <c r="I102" s="17">
        <v>12</v>
      </c>
      <c r="J102" s="17">
        <v>18</v>
      </c>
      <c r="K102" s="17">
        <v>14</v>
      </c>
      <c r="L102" s="17">
        <v>0</v>
      </c>
      <c r="M102" s="17">
        <v>2</v>
      </c>
      <c r="N102" s="17">
        <v>0</v>
      </c>
      <c r="O102" s="17">
        <v>2</v>
      </c>
      <c r="P102" s="17">
        <v>16</v>
      </c>
      <c r="Q102" s="17">
        <v>31</v>
      </c>
      <c r="R102" s="17">
        <v>0</v>
      </c>
      <c r="S102" s="17">
        <v>73</v>
      </c>
      <c r="T102" s="17">
        <v>2</v>
      </c>
      <c r="U102" s="17">
        <v>2</v>
      </c>
      <c r="V102" s="20">
        <v>2.3548387096774195</v>
      </c>
      <c r="W102" s="20">
        <v>78.494623655913983</v>
      </c>
      <c r="X102" s="20">
        <v>36.5</v>
      </c>
      <c r="Y102" s="20">
        <v>9.9999999999999982</v>
      </c>
      <c r="Z102" s="20">
        <v>0.66666666666666663</v>
      </c>
    </row>
    <row r="103" spans="1:26" ht="15.75" x14ac:dyDescent="0.25">
      <c r="A103" s="245">
        <v>4</v>
      </c>
      <c r="B103" s="260"/>
      <c r="C103" s="11" t="s">
        <v>79</v>
      </c>
      <c r="D103" s="11" t="s">
        <v>48</v>
      </c>
      <c r="E103" s="10">
        <v>31</v>
      </c>
      <c r="F103" s="11">
        <v>5</v>
      </c>
      <c r="G103" s="11">
        <v>4</v>
      </c>
      <c r="H103" s="11">
        <v>11</v>
      </c>
      <c r="I103" s="11">
        <v>24</v>
      </c>
      <c r="J103" s="11">
        <v>39</v>
      </c>
      <c r="K103" s="11">
        <v>24</v>
      </c>
      <c r="L103" s="11">
        <v>0</v>
      </c>
      <c r="M103" s="11">
        <v>10</v>
      </c>
      <c r="N103" s="11">
        <v>8</v>
      </c>
      <c r="O103" s="11">
        <v>2</v>
      </c>
      <c r="P103" s="11">
        <v>34</v>
      </c>
      <c r="Q103" s="11">
        <v>28</v>
      </c>
      <c r="R103" s="11">
        <v>2</v>
      </c>
      <c r="S103" s="11">
        <v>139</v>
      </c>
      <c r="T103" s="11">
        <v>5</v>
      </c>
      <c r="U103" s="11">
        <v>10</v>
      </c>
      <c r="V103" s="15">
        <v>4.4838709677419351</v>
      </c>
      <c r="W103" s="15">
        <v>89.677419354838705</v>
      </c>
      <c r="X103" s="15">
        <v>13.9</v>
      </c>
      <c r="Y103" s="14">
        <v>1.6000000000000014</v>
      </c>
      <c r="Z103" s="15">
        <v>2</v>
      </c>
    </row>
    <row r="104" spans="1:26" ht="15.75" x14ac:dyDescent="0.25">
      <c r="A104" s="247"/>
      <c r="B104" s="260"/>
      <c r="C104" s="17" t="s">
        <v>79</v>
      </c>
      <c r="D104" s="17" t="s">
        <v>48</v>
      </c>
      <c r="E104" s="10">
        <v>31</v>
      </c>
      <c r="F104" s="17">
        <v>5</v>
      </c>
      <c r="G104" s="17">
        <v>4</v>
      </c>
      <c r="H104" s="17">
        <v>11</v>
      </c>
      <c r="I104" s="17">
        <v>24</v>
      </c>
      <c r="J104" s="17">
        <v>39</v>
      </c>
      <c r="K104" s="17">
        <v>24</v>
      </c>
      <c r="L104" s="17">
        <v>0</v>
      </c>
      <c r="M104" s="17">
        <v>10</v>
      </c>
      <c r="N104" s="17">
        <v>8</v>
      </c>
      <c r="O104" s="17">
        <v>2</v>
      </c>
      <c r="P104" s="17">
        <v>34</v>
      </c>
      <c r="Q104" s="17">
        <v>28</v>
      </c>
      <c r="R104" s="17">
        <v>2</v>
      </c>
      <c r="S104" s="17">
        <v>139</v>
      </c>
      <c r="T104" s="17">
        <v>5</v>
      </c>
      <c r="U104" s="17">
        <v>10</v>
      </c>
      <c r="V104" s="20">
        <v>4.4838709677419351</v>
      </c>
      <c r="W104" s="20">
        <v>89.677419354838705</v>
      </c>
      <c r="X104" s="20">
        <v>13.9</v>
      </c>
      <c r="Y104" s="20">
        <v>1.6000000000000014</v>
      </c>
      <c r="Z104" s="20">
        <v>2</v>
      </c>
    </row>
    <row r="105" spans="1:26" ht="15.75" x14ac:dyDescent="0.25">
      <c r="A105" s="245">
        <v>5</v>
      </c>
      <c r="B105" s="260"/>
      <c r="C105" s="11" t="s">
        <v>80</v>
      </c>
      <c r="D105" s="11" t="s">
        <v>48</v>
      </c>
      <c r="E105" s="10">
        <v>31</v>
      </c>
      <c r="F105" s="11">
        <v>4</v>
      </c>
      <c r="G105" s="11">
        <v>0</v>
      </c>
      <c r="H105" s="11">
        <v>34</v>
      </c>
      <c r="I105" s="11">
        <v>12</v>
      </c>
      <c r="J105" s="11">
        <v>46</v>
      </c>
      <c r="K105" s="11">
        <v>32</v>
      </c>
      <c r="L105" s="11">
        <v>1</v>
      </c>
      <c r="M105" s="11">
        <v>10</v>
      </c>
      <c r="N105" s="11">
        <v>9</v>
      </c>
      <c r="O105" s="11">
        <v>1</v>
      </c>
      <c r="P105" s="11">
        <v>43</v>
      </c>
      <c r="Q105" s="11">
        <v>20</v>
      </c>
      <c r="R105" s="11">
        <v>6</v>
      </c>
      <c r="S105" s="11">
        <v>88</v>
      </c>
      <c r="T105" s="11">
        <v>3</v>
      </c>
      <c r="U105" s="11">
        <v>11</v>
      </c>
      <c r="V105" s="15">
        <v>2.838709677419355</v>
      </c>
      <c r="W105" s="15">
        <v>70.967741935483872</v>
      </c>
      <c r="X105" s="15">
        <v>8</v>
      </c>
      <c r="Y105" s="14">
        <v>3.272727272727272</v>
      </c>
      <c r="Z105" s="15">
        <v>2.75</v>
      </c>
    </row>
    <row r="106" spans="1:26" ht="15.75" x14ac:dyDescent="0.25">
      <c r="A106" s="247"/>
      <c r="B106" s="260"/>
      <c r="C106" s="17" t="s">
        <v>80</v>
      </c>
      <c r="D106" s="17" t="s">
        <v>48</v>
      </c>
      <c r="E106" s="10">
        <v>31</v>
      </c>
      <c r="F106" s="17">
        <v>4</v>
      </c>
      <c r="G106" s="17">
        <v>0</v>
      </c>
      <c r="H106" s="17">
        <v>34</v>
      </c>
      <c r="I106" s="17">
        <v>12</v>
      </c>
      <c r="J106" s="17">
        <v>46</v>
      </c>
      <c r="K106" s="17">
        <v>32</v>
      </c>
      <c r="L106" s="17">
        <v>1</v>
      </c>
      <c r="M106" s="17">
        <v>10</v>
      </c>
      <c r="N106" s="17">
        <v>9</v>
      </c>
      <c r="O106" s="17">
        <v>1</v>
      </c>
      <c r="P106" s="17">
        <v>43</v>
      </c>
      <c r="Q106" s="17">
        <v>20</v>
      </c>
      <c r="R106" s="17">
        <v>6</v>
      </c>
      <c r="S106" s="17">
        <v>88</v>
      </c>
      <c r="T106" s="17">
        <v>3</v>
      </c>
      <c r="U106" s="17">
        <v>11</v>
      </c>
      <c r="V106" s="20">
        <v>2.838709677419355</v>
      </c>
      <c r="W106" s="20">
        <v>70.967741935483872</v>
      </c>
      <c r="X106" s="20">
        <v>8</v>
      </c>
      <c r="Y106" s="20">
        <v>3.272727272727272</v>
      </c>
      <c r="Z106" s="20">
        <v>2.75</v>
      </c>
    </row>
    <row r="107" spans="1:26" ht="15.75" x14ac:dyDescent="0.25">
      <c r="A107" s="245">
        <v>6</v>
      </c>
      <c r="B107" s="260"/>
      <c r="C107" s="11" t="s">
        <v>70</v>
      </c>
      <c r="D107" s="11" t="s">
        <v>48</v>
      </c>
      <c r="E107" s="10">
        <v>31</v>
      </c>
      <c r="F107" s="11">
        <v>2</v>
      </c>
      <c r="G107" s="11">
        <v>1</v>
      </c>
      <c r="H107" s="11">
        <v>7</v>
      </c>
      <c r="I107" s="11">
        <v>4</v>
      </c>
      <c r="J107" s="11">
        <v>12</v>
      </c>
      <c r="K107" s="11">
        <v>7</v>
      </c>
      <c r="L107" s="11">
        <v>0</v>
      </c>
      <c r="M107" s="11">
        <v>5</v>
      </c>
      <c r="N107" s="11">
        <v>2</v>
      </c>
      <c r="O107" s="11">
        <v>3</v>
      </c>
      <c r="P107" s="11">
        <v>12</v>
      </c>
      <c r="Q107" s="11">
        <v>15</v>
      </c>
      <c r="R107" s="11">
        <v>0</v>
      </c>
      <c r="S107" s="11">
        <v>28</v>
      </c>
      <c r="T107" s="11">
        <v>0</v>
      </c>
      <c r="U107" s="11">
        <v>5</v>
      </c>
      <c r="V107" s="44">
        <v>0.90322580645161288</v>
      </c>
      <c r="W107" s="44">
        <v>45.161290322580641</v>
      </c>
      <c r="X107" s="44">
        <v>5.6</v>
      </c>
      <c r="Y107" s="45">
        <v>6.8</v>
      </c>
      <c r="Z107" s="44">
        <v>2.5</v>
      </c>
    </row>
    <row r="108" spans="1:26" ht="15.75" x14ac:dyDescent="0.25">
      <c r="A108" s="247"/>
      <c r="B108" s="260"/>
      <c r="C108" s="17" t="s">
        <v>70</v>
      </c>
      <c r="D108" s="17"/>
      <c r="E108" s="10">
        <v>31</v>
      </c>
      <c r="F108" s="17">
        <v>2</v>
      </c>
      <c r="G108" s="17">
        <v>1</v>
      </c>
      <c r="H108" s="17">
        <v>7</v>
      </c>
      <c r="I108" s="17">
        <v>4</v>
      </c>
      <c r="J108" s="17">
        <v>12</v>
      </c>
      <c r="K108" s="17">
        <v>7</v>
      </c>
      <c r="L108" s="17">
        <v>0</v>
      </c>
      <c r="M108" s="17">
        <v>5</v>
      </c>
      <c r="N108" s="17">
        <v>2</v>
      </c>
      <c r="O108" s="17">
        <v>3</v>
      </c>
      <c r="P108" s="17">
        <v>12</v>
      </c>
      <c r="Q108" s="17">
        <v>15</v>
      </c>
      <c r="R108" s="17">
        <v>0</v>
      </c>
      <c r="S108" s="17">
        <v>28</v>
      </c>
      <c r="T108" s="17">
        <v>0</v>
      </c>
      <c r="U108" s="17">
        <v>5</v>
      </c>
      <c r="V108" s="46">
        <v>0.90322580645161288</v>
      </c>
      <c r="W108" s="46">
        <v>45.161290322580641</v>
      </c>
      <c r="X108" s="46">
        <v>5.6</v>
      </c>
      <c r="Y108" s="46">
        <v>6.8</v>
      </c>
      <c r="Z108" s="46">
        <v>2.5</v>
      </c>
    </row>
    <row r="109" spans="1:26" ht="15.75" x14ac:dyDescent="0.25">
      <c r="A109" s="245">
        <v>7</v>
      </c>
      <c r="B109" s="260"/>
      <c r="C109" s="11" t="s">
        <v>81</v>
      </c>
      <c r="D109" s="11" t="s">
        <v>48</v>
      </c>
      <c r="E109" s="10">
        <v>31</v>
      </c>
      <c r="F109" s="11"/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5">
        <v>0</v>
      </c>
      <c r="W109" s="15" t="e">
        <v>#DIV/0!</v>
      </c>
      <c r="X109" s="15" t="e">
        <v>#DIV/0!</v>
      </c>
      <c r="Y109" s="14" t="e">
        <v>#DIV/0!</v>
      </c>
      <c r="Z109" s="15" t="e">
        <v>#DIV/0!</v>
      </c>
    </row>
    <row r="110" spans="1:26" ht="15.75" x14ac:dyDescent="0.25">
      <c r="A110" s="247"/>
      <c r="B110" s="260"/>
      <c r="C110" s="17" t="s">
        <v>81</v>
      </c>
      <c r="D110" s="17" t="s">
        <v>48</v>
      </c>
      <c r="E110" s="10">
        <v>31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20">
        <v>0</v>
      </c>
      <c r="W110" s="20" t="e">
        <v>#DIV/0!</v>
      </c>
      <c r="X110" s="20" t="e">
        <v>#DIV/0!</v>
      </c>
      <c r="Y110" s="20" t="e">
        <v>#DIV/0!</v>
      </c>
      <c r="Z110" s="20" t="e">
        <v>#DIV/0!</v>
      </c>
    </row>
    <row r="111" spans="1:26" ht="15.75" x14ac:dyDescent="0.25">
      <c r="A111" s="245">
        <v>8</v>
      </c>
      <c r="B111" s="260"/>
      <c r="C111" s="11" t="s">
        <v>82</v>
      </c>
      <c r="D111" s="11" t="s">
        <v>38</v>
      </c>
      <c r="E111" s="10">
        <v>31</v>
      </c>
      <c r="F111" s="11"/>
      <c r="G111" s="11">
        <v>3</v>
      </c>
      <c r="H111" s="11">
        <v>270</v>
      </c>
      <c r="I111" s="11">
        <v>2</v>
      </c>
      <c r="J111" s="11">
        <v>275</v>
      </c>
      <c r="K111" s="11">
        <v>270</v>
      </c>
      <c r="L111" s="11">
        <v>0</v>
      </c>
      <c r="M111" s="11">
        <v>5</v>
      </c>
      <c r="N111" s="11">
        <v>5</v>
      </c>
      <c r="O111" s="11">
        <v>0</v>
      </c>
      <c r="P111" s="11">
        <v>275</v>
      </c>
      <c r="Q111" s="11">
        <v>5</v>
      </c>
      <c r="R111" s="11">
        <v>5</v>
      </c>
      <c r="S111" s="11">
        <v>127</v>
      </c>
      <c r="T111" s="11">
        <v>0</v>
      </c>
      <c r="U111" s="11">
        <v>5</v>
      </c>
      <c r="V111" s="15">
        <v>4.096774193548387</v>
      </c>
      <c r="W111" s="15" t="e">
        <v>#DIV/0!</v>
      </c>
      <c r="X111" s="15">
        <v>25.4</v>
      </c>
      <c r="Y111" s="14">
        <v>-25.4</v>
      </c>
      <c r="Z111" s="15" t="e">
        <v>#DIV/0!</v>
      </c>
    </row>
    <row r="112" spans="1:26" ht="15.75" x14ac:dyDescent="0.25">
      <c r="A112" s="247"/>
      <c r="B112" s="260"/>
      <c r="C112" s="17" t="s">
        <v>82</v>
      </c>
      <c r="D112" s="17" t="s">
        <v>38</v>
      </c>
      <c r="E112" s="10">
        <v>31</v>
      </c>
      <c r="F112" s="17">
        <v>0</v>
      </c>
      <c r="G112" s="17">
        <v>3</v>
      </c>
      <c r="H112" s="17">
        <v>270</v>
      </c>
      <c r="I112" s="17">
        <v>2</v>
      </c>
      <c r="J112" s="17">
        <v>275</v>
      </c>
      <c r="K112" s="17">
        <v>270</v>
      </c>
      <c r="L112" s="17">
        <v>0</v>
      </c>
      <c r="M112" s="17">
        <v>5</v>
      </c>
      <c r="N112" s="17">
        <v>5</v>
      </c>
      <c r="O112" s="17">
        <v>0</v>
      </c>
      <c r="P112" s="17">
        <v>275</v>
      </c>
      <c r="Q112" s="17">
        <v>5</v>
      </c>
      <c r="R112" s="17">
        <v>5</v>
      </c>
      <c r="S112" s="17">
        <v>127</v>
      </c>
      <c r="T112" s="17">
        <v>0</v>
      </c>
      <c r="U112" s="17">
        <v>5</v>
      </c>
      <c r="V112" s="20">
        <v>4.096774193548387</v>
      </c>
      <c r="W112" s="20" t="e">
        <v>#DIV/0!</v>
      </c>
      <c r="X112" s="20">
        <v>25.4</v>
      </c>
      <c r="Y112" s="20">
        <v>-25.4</v>
      </c>
      <c r="Z112" s="20" t="e">
        <v>#DIV/0!</v>
      </c>
    </row>
    <row r="113" spans="1:26" ht="15.75" x14ac:dyDescent="0.25">
      <c r="A113" s="245">
        <v>9</v>
      </c>
      <c r="B113" s="260"/>
      <c r="C113" s="11" t="s">
        <v>64</v>
      </c>
      <c r="D113" s="11" t="s">
        <v>83</v>
      </c>
      <c r="E113" s="10">
        <v>31</v>
      </c>
      <c r="F113" s="11"/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5">
        <v>0</v>
      </c>
      <c r="W113" s="35" t="e">
        <v>#DIV/0!</v>
      </c>
      <c r="X113" s="35" t="e">
        <v>#DIV/0!</v>
      </c>
      <c r="Y113" s="36" t="e">
        <v>#DIV/0!</v>
      </c>
      <c r="Z113" s="35" t="e">
        <v>#DIV/0!</v>
      </c>
    </row>
    <row r="114" spans="1:26" ht="15.75" x14ac:dyDescent="0.25">
      <c r="A114" s="247"/>
      <c r="B114" s="260"/>
      <c r="C114" s="17" t="s">
        <v>64</v>
      </c>
      <c r="D114" s="17" t="s">
        <v>83</v>
      </c>
      <c r="E114" s="10">
        <v>31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20">
        <v>0</v>
      </c>
      <c r="W114" s="20" t="e">
        <v>#DIV/0!</v>
      </c>
      <c r="X114" s="20" t="e">
        <v>#DIV/0!</v>
      </c>
      <c r="Y114" s="20" t="e">
        <v>#DIV/0!</v>
      </c>
      <c r="Z114" s="20" t="e">
        <v>#DIV/0!</v>
      </c>
    </row>
    <row r="115" spans="1:26" ht="15.75" x14ac:dyDescent="0.25">
      <c r="A115" s="245">
        <v>10</v>
      </c>
      <c r="B115" s="260"/>
      <c r="C115" s="10" t="s">
        <v>73</v>
      </c>
      <c r="D115" s="10" t="s">
        <v>83</v>
      </c>
      <c r="E115" s="10">
        <v>31</v>
      </c>
      <c r="F115" s="10"/>
      <c r="G115" s="10">
        <v>0</v>
      </c>
      <c r="H115" s="10">
        <v>0</v>
      </c>
      <c r="I115" s="10">
        <v>0</v>
      </c>
      <c r="J115" s="11">
        <v>0</v>
      </c>
      <c r="K115" s="10">
        <v>0</v>
      </c>
      <c r="L115" s="10">
        <v>0</v>
      </c>
      <c r="M115" s="11">
        <v>0</v>
      </c>
      <c r="N115" s="10">
        <v>0</v>
      </c>
      <c r="O115" s="10">
        <v>0</v>
      </c>
      <c r="P115" s="11">
        <v>0</v>
      </c>
      <c r="Q115" s="10">
        <v>0</v>
      </c>
      <c r="R115" s="10">
        <v>0</v>
      </c>
      <c r="S115" s="10">
        <v>0</v>
      </c>
      <c r="T115" s="11">
        <v>0</v>
      </c>
      <c r="U115" s="11">
        <v>0</v>
      </c>
      <c r="V115" s="15">
        <v>0</v>
      </c>
      <c r="W115" s="35" t="e">
        <v>#DIV/0!</v>
      </c>
      <c r="X115" s="35" t="e">
        <v>#DIV/0!</v>
      </c>
      <c r="Y115" s="36" t="e">
        <v>#DIV/0!</v>
      </c>
      <c r="Z115" s="35" t="e">
        <v>#DIV/0!</v>
      </c>
    </row>
    <row r="116" spans="1:26" ht="15.75" x14ac:dyDescent="0.25">
      <c r="A116" s="247"/>
      <c r="B116" s="261"/>
      <c r="C116" s="17" t="s">
        <v>73</v>
      </c>
      <c r="D116" s="17" t="s">
        <v>83</v>
      </c>
      <c r="E116" s="10">
        <v>31</v>
      </c>
      <c r="F116" s="17"/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20">
        <v>0</v>
      </c>
      <c r="W116" s="20" t="e">
        <v>#DIV/0!</v>
      </c>
      <c r="X116" s="20" t="e">
        <v>#DIV/0!</v>
      </c>
      <c r="Y116" s="20" t="e">
        <v>#DIV/0!</v>
      </c>
      <c r="Z116" s="20" t="e">
        <v>#DIV/0!</v>
      </c>
    </row>
    <row r="117" spans="1:26" ht="15.75" x14ac:dyDescent="0.25">
      <c r="A117" s="232" t="s">
        <v>84</v>
      </c>
      <c r="B117" s="233"/>
      <c r="C117" s="233"/>
      <c r="D117" s="234"/>
      <c r="E117" s="10">
        <v>31</v>
      </c>
      <c r="F117" s="29">
        <v>33</v>
      </c>
      <c r="G117" s="29">
        <v>27</v>
      </c>
      <c r="H117" s="29">
        <v>405</v>
      </c>
      <c r="I117" s="29">
        <v>174</v>
      </c>
      <c r="J117" s="28">
        <v>606</v>
      </c>
      <c r="K117" s="29">
        <v>520</v>
      </c>
      <c r="L117" s="29">
        <v>2</v>
      </c>
      <c r="M117" s="28">
        <v>55</v>
      </c>
      <c r="N117" s="29">
        <v>34</v>
      </c>
      <c r="O117" s="29">
        <v>21</v>
      </c>
      <c r="P117" s="28">
        <v>577</v>
      </c>
      <c r="Q117" s="29">
        <v>228</v>
      </c>
      <c r="R117" s="29">
        <v>15</v>
      </c>
      <c r="S117" s="29">
        <v>902</v>
      </c>
      <c r="T117" s="28">
        <v>29</v>
      </c>
      <c r="U117" s="28">
        <v>57</v>
      </c>
      <c r="V117" s="47">
        <v>29.096774193548388</v>
      </c>
      <c r="W117" s="30">
        <v>88.172043010752688</v>
      </c>
      <c r="X117" s="30">
        <v>15.824561403508772</v>
      </c>
      <c r="Y117" s="30">
        <v>2.1228070175438591</v>
      </c>
      <c r="Z117" s="30">
        <v>1.7272727272727273</v>
      </c>
    </row>
    <row r="118" spans="1:26" ht="15.75" x14ac:dyDescent="0.25">
      <c r="A118" s="235" t="s">
        <v>85</v>
      </c>
      <c r="B118" s="236"/>
      <c r="C118" s="236"/>
      <c r="D118" s="237"/>
      <c r="E118" s="10">
        <v>31</v>
      </c>
      <c r="F118" s="49">
        <v>388</v>
      </c>
      <c r="G118" s="49">
        <v>301</v>
      </c>
      <c r="H118" s="49">
        <v>2619</v>
      </c>
      <c r="I118" s="49">
        <v>1116</v>
      </c>
      <c r="J118" s="48">
        <v>4036</v>
      </c>
      <c r="K118" s="49">
        <v>1109</v>
      </c>
      <c r="L118" s="49">
        <v>2402</v>
      </c>
      <c r="M118" s="48">
        <v>233</v>
      </c>
      <c r="N118" s="49">
        <v>138</v>
      </c>
      <c r="O118" s="49">
        <v>95</v>
      </c>
      <c r="P118" s="48">
        <v>3744</v>
      </c>
      <c r="Q118" s="49">
        <v>8922</v>
      </c>
      <c r="R118" s="49">
        <v>49</v>
      </c>
      <c r="S118" s="49">
        <v>9640</v>
      </c>
      <c r="T118" s="49">
        <v>292</v>
      </c>
      <c r="U118" s="48">
        <v>2635</v>
      </c>
      <c r="V118" s="50">
        <v>310.96774193548384</v>
      </c>
      <c r="W118" s="51">
        <v>80.146325241104094</v>
      </c>
      <c r="X118" s="51">
        <v>3.6584440227703983</v>
      </c>
      <c r="Y118" s="51">
        <v>0.90626185958254302</v>
      </c>
      <c r="Z118" s="51">
        <v>6.7912371134020617</v>
      </c>
    </row>
  </sheetData>
  <mergeCells count="152">
    <mergeCell ref="A118:D118"/>
    <mergeCell ref="A65:D65"/>
    <mergeCell ref="A68:A71"/>
    <mergeCell ref="B68:B71"/>
    <mergeCell ref="C68:C71"/>
    <mergeCell ref="D68:D71"/>
    <mergeCell ref="E68:E71"/>
    <mergeCell ref="F68:F71"/>
    <mergeCell ref="G68:G70"/>
    <mergeCell ref="E93:E96"/>
    <mergeCell ref="F93:F96"/>
    <mergeCell ref="G93:G95"/>
    <mergeCell ref="A117:D117"/>
    <mergeCell ref="A33:A37"/>
    <mergeCell ref="A38:A42"/>
    <mergeCell ref="C38:C41"/>
    <mergeCell ref="A44:A46"/>
    <mergeCell ref="A47:A51"/>
    <mergeCell ref="C47:C50"/>
    <mergeCell ref="C18:C20"/>
    <mergeCell ref="A22:A23"/>
    <mergeCell ref="A24:A26"/>
    <mergeCell ref="C24:C25"/>
    <mergeCell ref="A27:A28"/>
    <mergeCell ref="A30:A32"/>
    <mergeCell ref="B7:B64"/>
    <mergeCell ref="A53:A54"/>
    <mergeCell ref="C55:C56"/>
    <mergeCell ref="A56:A57"/>
    <mergeCell ref="C58:C61"/>
    <mergeCell ref="A59:A62"/>
    <mergeCell ref="A63:A64"/>
    <mergeCell ref="Y4:Y5"/>
    <mergeCell ref="Z4:Z5"/>
    <mergeCell ref="A7:A8"/>
    <mergeCell ref="A9:A10"/>
    <mergeCell ref="A11:A13"/>
    <mergeCell ref="C11:C12"/>
    <mergeCell ref="A14:A17"/>
    <mergeCell ref="C14:C16"/>
    <mergeCell ref="A18:A21"/>
    <mergeCell ref="S3:S5"/>
    <mergeCell ref="T3:T5"/>
    <mergeCell ref="U3:U6"/>
    <mergeCell ref="V4:V5"/>
    <mergeCell ref="W4:W5"/>
    <mergeCell ref="X4:X5"/>
    <mergeCell ref="M3:M5"/>
    <mergeCell ref="N3:N5"/>
    <mergeCell ref="O3:O5"/>
    <mergeCell ref="P3:P5"/>
    <mergeCell ref="Q3:Q5"/>
    <mergeCell ref="R3:R5"/>
    <mergeCell ref="G3:G5"/>
    <mergeCell ref="H3:H5"/>
    <mergeCell ref="I3:I5"/>
    <mergeCell ref="J3:J5"/>
    <mergeCell ref="K3:K5"/>
    <mergeCell ref="L3:L5"/>
    <mergeCell ref="A3:A6"/>
    <mergeCell ref="B3:B6"/>
    <mergeCell ref="C3:C6"/>
    <mergeCell ref="D3:D6"/>
    <mergeCell ref="E3:E6"/>
    <mergeCell ref="F3:F6"/>
    <mergeCell ref="T68:T70"/>
    <mergeCell ref="U68:U71"/>
    <mergeCell ref="V69:V70"/>
    <mergeCell ref="W69:W70"/>
    <mergeCell ref="X69:X70"/>
    <mergeCell ref="Y69:Y70"/>
    <mergeCell ref="Z69:Z70"/>
    <mergeCell ref="A72:A73"/>
    <mergeCell ref="B72:B77"/>
    <mergeCell ref="A74:A75"/>
    <mergeCell ref="A76:A77"/>
    <mergeCell ref="K68:K70"/>
    <mergeCell ref="L68:L70"/>
    <mergeCell ref="M68:M70"/>
    <mergeCell ref="N68:N70"/>
    <mergeCell ref="O68:O70"/>
    <mergeCell ref="P68:P70"/>
    <mergeCell ref="Q68:Q70"/>
    <mergeCell ref="R68:R70"/>
    <mergeCell ref="S68:S70"/>
    <mergeCell ref="I68:I70"/>
    <mergeCell ref="J68:J70"/>
    <mergeCell ref="H68:H70"/>
    <mergeCell ref="Z81:Z82"/>
    <mergeCell ref="A84:A85"/>
    <mergeCell ref="B84:B90"/>
    <mergeCell ref="A87:A90"/>
    <mergeCell ref="C87:C89"/>
    <mergeCell ref="M80:M82"/>
    <mergeCell ref="N80:N82"/>
    <mergeCell ref="O80:O82"/>
    <mergeCell ref="P80:P82"/>
    <mergeCell ref="Q80:Q82"/>
    <mergeCell ref="R80:R82"/>
    <mergeCell ref="S80:S82"/>
    <mergeCell ref="T80:T82"/>
    <mergeCell ref="U80:U83"/>
    <mergeCell ref="A80:A83"/>
    <mergeCell ref="B80:B83"/>
    <mergeCell ref="C80:C83"/>
    <mergeCell ref="D80:D83"/>
    <mergeCell ref="E80:E83"/>
    <mergeCell ref="F80:F83"/>
    <mergeCell ref="G80:G82"/>
    <mergeCell ref="H80:H82"/>
    <mergeCell ref="I80:I82"/>
    <mergeCell ref="J80:J82"/>
    <mergeCell ref="V81:V82"/>
    <mergeCell ref="W81:W82"/>
    <mergeCell ref="X81:X82"/>
    <mergeCell ref="Y81:Y82"/>
    <mergeCell ref="K80:K82"/>
    <mergeCell ref="L80:L82"/>
    <mergeCell ref="J93:J95"/>
    <mergeCell ref="K93:K95"/>
    <mergeCell ref="L93:L95"/>
    <mergeCell ref="M93:M95"/>
    <mergeCell ref="N93:N95"/>
    <mergeCell ref="O93:O95"/>
    <mergeCell ref="P93:P95"/>
    <mergeCell ref="Q93:Q95"/>
    <mergeCell ref="R93:R95"/>
    <mergeCell ref="S93:S95"/>
    <mergeCell ref="T93:T95"/>
    <mergeCell ref="U93:U96"/>
    <mergeCell ref="V94:V95"/>
    <mergeCell ref="W94:W95"/>
    <mergeCell ref="X94:X95"/>
    <mergeCell ref="Y94:Y95"/>
    <mergeCell ref="Z94:Z95"/>
    <mergeCell ref="A97:A98"/>
    <mergeCell ref="B97:B116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93:A96"/>
    <mergeCell ref="B93:B96"/>
    <mergeCell ref="C93:C96"/>
    <mergeCell ref="D93:D96"/>
    <mergeCell ref="H93:H95"/>
    <mergeCell ref="I93:I9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5305-AD3F-4D7D-B04D-1DA93ED9013E}">
  <dimension ref="A1:Z118"/>
  <sheetViews>
    <sheetView topLeftCell="A7" zoomScale="70" zoomScaleNormal="70" workbookViewId="0">
      <selection activeCell="G28" sqref="G28"/>
    </sheetView>
  </sheetViews>
  <sheetFormatPr defaultRowHeight="15" x14ac:dyDescent="0.25"/>
  <cols>
    <col min="1" max="1" width="5.140625" customWidth="1"/>
    <col min="2" max="2" width="10.140625" customWidth="1"/>
    <col min="3" max="3" width="16" bestFit="1" customWidth="1"/>
    <col min="4" max="4" width="16.7109375" customWidth="1"/>
    <col min="6" max="12" width="9.140625" customWidth="1"/>
    <col min="13" max="13" width="6" customWidth="1"/>
    <col min="14" max="19" width="9.140625" customWidth="1"/>
    <col min="20" max="20" width="6.5703125" customWidth="1"/>
    <col min="21" max="21" width="9.140625" customWidth="1"/>
  </cols>
  <sheetData>
    <row r="1" spans="1:26" ht="15.75" x14ac:dyDescent="0.25">
      <c r="A1" s="113" t="s">
        <v>0</v>
      </c>
      <c r="B1" s="114"/>
      <c r="C1" s="115"/>
      <c r="D1" s="116"/>
      <c r="E1" s="116"/>
      <c r="F1" s="116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7"/>
      <c r="T1" s="115"/>
      <c r="U1" s="118"/>
      <c r="V1" s="119"/>
      <c r="W1" s="119"/>
      <c r="X1" s="119"/>
      <c r="Y1" s="119"/>
      <c r="Z1" s="119"/>
    </row>
    <row r="2" spans="1:26" ht="15.75" x14ac:dyDescent="0.25">
      <c r="A2" s="113" t="s">
        <v>122</v>
      </c>
      <c r="B2" s="114"/>
      <c r="C2" s="115"/>
      <c r="D2" s="116"/>
      <c r="E2" s="116"/>
      <c r="F2" s="116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7"/>
      <c r="T2" s="115"/>
      <c r="U2" s="120"/>
      <c r="V2" s="121" t="s">
        <v>91</v>
      </c>
      <c r="W2" s="121" t="s">
        <v>92</v>
      </c>
      <c r="X2" s="122" t="s">
        <v>93</v>
      </c>
      <c r="Y2" s="122" t="s">
        <v>94</v>
      </c>
      <c r="Z2" s="122" t="s">
        <v>95</v>
      </c>
    </row>
    <row r="3" spans="1:26" ht="15" customHeight="1" x14ac:dyDescent="0.25">
      <c r="A3" s="269" t="s">
        <v>1</v>
      </c>
      <c r="B3" s="269" t="s">
        <v>2</v>
      </c>
      <c r="C3" s="267" t="s">
        <v>3</v>
      </c>
      <c r="D3" s="267" t="s">
        <v>4</v>
      </c>
      <c r="E3" s="268" t="s">
        <v>5</v>
      </c>
      <c r="F3" s="267" t="s">
        <v>6</v>
      </c>
      <c r="G3" s="267" t="s">
        <v>7</v>
      </c>
      <c r="H3" s="267" t="s">
        <v>8</v>
      </c>
      <c r="I3" s="268" t="s">
        <v>9</v>
      </c>
      <c r="J3" s="267" t="s">
        <v>10</v>
      </c>
      <c r="K3" s="267" t="s">
        <v>11</v>
      </c>
      <c r="L3" s="267" t="s">
        <v>12</v>
      </c>
      <c r="M3" s="267" t="s">
        <v>13</v>
      </c>
      <c r="N3" s="267" t="s">
        <v>14</v>
      </c>
      <c r="O3" s="267" t="s">
        <v>15</v>
      </c>
      <c r="P3" s="267" t="s">
        <v>16</v>
      </c>
      <c r="Q3" s="267" t="s">
        <v>17</v>
      </c>
      <c r="R3" s="267" t="s">
        <v>18</v>
      </c>
      <c r="S3" s="267" t="s">
        <v>19</v>
      </c>
      <c r="T3" s="267" t="s">
        <v>20</v>
      </c>
      <c r="U3" s="279" t="s">
        <v>21</v>
      </c>
      <c r="V3" s="76" t="s">
        <v>22</v>
      </c>
      <c r="W3" s="76" t="s">
        <v>23</v>
      </c>
      <c r="X3" s="76" t="s">
        <v>24</v>
      </c>
      <c r="Y3" s="76" t="s">
        <v>25</v>
      </c>
      <c r="Z3" s="76" t="s">
        <v>26</v>
      </c>
    </row>
    <row r="4" spans="1:26" ht="15" customHeight="1" x14ac:dyDescent="0.25">
      <c r="A4" s="269"/>
      <c r="B4" s="269"/>
      <c r="C4" s="267"/>
      <c r="D4" s="267"/>
      <c r="E4" s="268"/>
      <c r="F4" s="267"/>
      <c r="G4" s="267"/>
      <c r="H4" s="267"/>
      <c r="I4" s="268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79"/>
      <c r="V4" s="278" t="s">
        <v>27</v>
      </c>
      <c r="W4" s="278" t="s">
        <v>28</v>
      </c>
      <c r="X4" s="278" t="s">
        <v>29</v>
      </c>
      <c r="Y4" s="278" t="s">
        <v>30</v>
      </c>
      <c r="Z4" s="278" t="s">
        <v>31</v>
      </c>
    </row>
    <row r="5" spans="1:26" x14ac:dyDescent="0.25">
      <c r="A5" s="269"/>
      <c r="B5" s="269"/>
      <c r="C5" s="267"/>
      <c r="D5" s="267"/>
      <c r="E5" s="268"/>
      <c r="F5" s="267"/>
      <c r="G5" s="267"/>
      <c r="H5" s="267"/>
      <c r="I5" s="268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79"/>
      <c r="V5" s="280"/>
      <c r="W5" s="278"/>
      <c r="X5" s="278"/>
      <c r="Y5" s="278"/>
      <c r="Z5" s="278"/>
    </row>
    <row r="6" spans="1:26" x14ac:dyDescent="0.25">
      <c r="A6" s="269"/>
      <c r="B6" s="269"/>
      <c r="C6" s="267"/>
      <c r="D6" s="267"/>
      <c r="E6" s="268"/>
      <c r="F6" s="267"/>
      <c r="G6" s="124">
        <v>1</v>
      </c>
      <c r="H6" s="124">
        <v>2</v>
      </c>
      <c r="I6" s="124">
        <v>3</v>
      </c>
      <c r="J6" s="124">
        <v>4</v>
      </c>
      <c r="K6" s="124">
        <v>5</v>
      </c>
      <c r="L6" s="124">
        <v>6</v>
      </c>
      <c r="M6" s="124">
        <v>7</v>
      </c>
      <c r="N6" s="124">
        <v>8</v>
      </c>
      <c r="O6" s="124">
        <v>9</v>
      </c>
      <c r="P6" s="124">
        <v>10</v>
      </c>
      <c r="Q6" s="124">
        <v>11</v>
      </c>
      <c r="R6" s="124">
        <v>12</v>
      </c>
      <c r="S6" s="124">
        <v>13</v>
      </c>
      <c r="T6" s="124">
        <v>14</v>
      </c>
      <c r="U6" s="279"/>
      <c r="V6" s="123">
        <v>15</v>
      </c>
      <c r="W6" s="123">
        <v>16</v>
      </c>
      <c r="X6" s="123">
        <v>17</v>
      </c>
      <c r="Y6" s="123">
        <v>18</v>
      </c>
      <c r="Z6" s="123">
        <v>19</v>
      </c>
    </row>
    <row r="7" spans="1:26" s="31" customFormat="1" ht="31.5" x14ac:dyDescent="0.25">
      <c r="A7" s="152"/>
      <c r="B7" s="162"/>
      <c r="C7" s="125" t="s">
        <v>33</v>
      </c>
      <c r="D7" s="151" t="s">
        <v>34</v>
      </c>
      <c r="E7" s="87">
        <v>365</v>
      </c>
      <c r="F7" s="87">
        <v>20</v>
      </c>
      <c r="G7" s="83">
        <v>12</v>
      </c>
      <c r="H7" s="83">
        <v>1413</v>
      </c>
      <c r="I7" s="83">
        <v>169</v>
      </c>
      <c r="J7" s="83">
        <v>1594</v>
      </c>
      <c r="K7" s="83">
        <v>108</v>
      </c>
      <c r="L7" s="83">
        <v>1351</v>
      </c>
      <c r="M7" s="84">
        <v>113</v>
      </c>
      <c r="N7" s="83">
        <v>57</v>
      </c>
      <c r="O7" s="83">
        <v>56</v>
      </c>
      <c r="P7" s="84">
        <v>1572</v>
      </c>
      <c r="Q7" s="83">
        <v>5270</v>
      </c>
      <c r="R7" s="83">
        <v>28</v>
      </c>
      <c r="S7" s="83">
        <v>5477</v>
      </c>
      <c r="T7" s="84">
        <v>22</v>
      </c>
      <c r="U7" s="84">
        <v>1464</v>
      </c>
      <c r="V7" s="63">
        <v>15.005479452054795</v>
      </c>
      <c r="W7" s="63">
        <v>75.027397260273972</v>
      </c>
      <c r="X7" s="63">
        <v>3.7411202185792352</v>
      </c>
      <c r="Y7" s="64">
        <v>1.2452185792349726</v>
      </c>
      <c r="Z7" s="65">
        <v>73.2</v>
      </c>
    </row>
    <row r="8" spans="1:26" ht="15.75" x14ac:dyDescent="0.25">
      <c r="A8" s="154"/>
      <c r="B8" s="162"/>
      <c r="C8" s="85" t="s">
        <v>36</v>
      </c>
      <c r="D8" s="126" t="s">
        <v>34</v>
      </c>
      <c r="E8" s="82">
        <v>365</v>
      </c>
      <c r="F8" s="85">
        <v>16</v>
      </c>
      <c r="G8" s="85">
        <v>15</v>
      </c>
      <c r="H8" s="85">
        <v>1006</v>
      </c>
      <c r="I8" s="85">
        <v>435</v>
      </c>
      <c r="J8" s="85">
        <v>1456</v>
      </c>
      <c r="K8" s="85">
        <v>102</v>
      </c>
      <c r="L8" s="85">
        <v>1189</v>
      </c>
      <c r="M8" s="127">
        <v>151</v>
      </c>
      <c r="N8" s="85">
        <v>83</v>
      </c>
      <c r="O8" s="85">
        <v>68</v>
      </c>
      <c r="P8" s="127">
        <v>1442</v>
      </c>
      <c r="Q8" s="85">
        <v>4980</v>
      </c>
      <c r="R8" s="85">
        <v>16</v>
      </c>
      <c r="S8" s="85">
        <v>5196</v>
      </c>
      <c r="T8" s="127">
        <v>14</v>
      </c>
      <c r="U8" s="127">
        <v>1340</v>
      </c>
      <c r="V8" s="68">
        <v>14.235616438356164</v>
      </c>
      <c r="W8" s="68">
        <v>88.972602739726028</v>
      </c>
      <c r="X8" s="68">
        <v>3.8776119402985074</v>
      </c>
      <c r="Y8" s="69">
        <v>0.48059701492537321</v>
      </c>
      <c r="Z8" s="70">
        <v>83.75</v>
      </c>
    </row>
    <row r="9" spans="1:26" ht="15.75" x14ac:dyDescent="0.25">
      <c r="A9" s="155"/>
      <c r="B9" s="162"/>
      <c r="C9" s="85" t="s">
        <v>37</v>
      </c>
      <c r="D9" s="131" t="s">
        <v>34</v>
      </c>
      <c r="E9" s="85">
        <v>365</v>
      </c>
      <c r="F9" s="85">
        <v>12</v>
      </c>
      <c r="G9" s="85">
        <v>8</v>
      </c>
      <c r="H9" s="85">
        <v>860</v>
      </c>
      <c r="I9" s="85">
        <v>57</v>
      </c>
      <c r="J9" s="85">
        <v>925</v>
      </c>
      <c r="K9" s="85">
        <v>78</v>
      </c>
      <c r="L9" s="85">
        <v>742</v>
      </c>
      <c r="M9" s="127">
        <v>95</v>
      </c>
      <c r="N9" s="85">
        <v>48</v>
      </c>
      <c r="O9" s="85">
        <v>47</v>
      </c>
      <c r="P9" s="127">
        <v>915</v>
      </c>
      <c r="Q9" s="85">
        <v>3234</v>
      </c>
      <c r="R9" s="85">
        <v>20</v>
      </c>
      <c r="S9" s="85">
        <v>3367</v>
      </c>
      <c r="T9" s="127">
        <v>10</v>
      </c>
      <c r="U9" s="127">
        <v>837</v>
      </c>
      <c r="V9" s="68">
        <v>9.2246575342465746</v>
      </c>
      <c r="W9" s="68">
        <v>76.872146118721446</v>
      </c>
      <c r="X9" s="68">
        <v>4.0227001194743126</v>
      </c>
      <c r="Y9" s="70">
        <v>1.2102747909199525</v>
      </c>
      <c r="Z9" s="70">
        <v>69.75</v>
      </c>
    </row>
    <row r="10" spans="1:26" ht="15.75" x14ac:dyDescent="0.25">
      <c r="A10" s="154"/>
      <c r="B10" s="162"/>
      <c r="C10" s="176" t="s">
        <v>39</v>
      </c>
      <c r="D10" s="131" t="s">
        <v>34</v>
      </c>
      <c r="E10" s="85">
        <v>365</v>
      </c>
      <c r="F10" s="85">
        <v>17</v>
      </c>
      <c r="G10" s="85">
        <v>10</v>
      </c>
      <c r="H10" s="85">
        <v>1149</v>
      </c>
      <c r="I10" s="85">
        <v>159</v>
      </c>
      <c r="J10" s="85">
        <v>1318</v>
      </c>
      <c r="K10" s="85">
        <v>160</v>
      </c>
      <c r="L10" s="85">
        <v>1092</v>
      </c>
      <c r="M10" s="127">
        <v>51</v>
      </c>
      <c r="N10" s="85">
        <v>34</v>
      </c>
      <c r="O10" s="85">
        <v>17</v>
      </c>
      <c r="P10" s="127">
        <v>1303</v>
      </c>
      <c r="Q10" s="85">
        <v>4973</v>
      </c>
      <c r="R10" s="85">
        <v>11</v>
      </c>
      <c r="S10" s="85">
        <v>4678</v>
      </c>
      <c r="T10" s="127">
        <v>15</v>
      </c>
      <c r="U10" s="127">
        <v>1143</v>
      </c>
      <c r="V10" s="68">
        <v>12.816438356164383</v>
      </c>
      <c r="W10" s="68">
        <v>75.390813859790484</v>
      </c>
      <c r="X10" s="68">
        <v>4.0927384076990379</v>
      </c>
      <c r="Y10" s="70">
        <v>1.335958005249344</v>
      </c>
      <c r="Z10" s="70">
        <v>67.235294117647058</v>
      </c>
    </row>
    <row r="11" spans="1:26" ht="15.75" x14ac:dyDescent="0.25">
      <c r="A11" s="155"/>
      <c r="B11" s="162"/>
      <c r="C11" s="153" t="s">
        <v>39</v>
      </c>
      <c r="D11" s="131" t="s">
        <v>40</v>
      </c>
      <c r="E11" s="85">
        <v>365</v>
      </c>
      <c r="F11" s="85">
        <v>5</v>
      </c>
      <c r="G11" s="85">
        <v>2</v>
      </c>
      <c r="H11" s="85">
        <v>188</v>
      </c>
      <c r="I11" s="85">
        <v>66</v>
      </c>
      <c r="J11" s="85">
        <v>256</v>
      </c>
      <c r="K11" s="85">
        <v>38</v>
      </c>
      <c r="L11" s="85">
        <v>211</v>
      </c>
      <c r="M11" s="127">
        <v>3</v>
      </c>
      <c r="N11" s="85">
        <v>2</v>
      </c>
      <c r="O11" s="85">
        <v>1</v>
      </c>
      <c r="P11" s="127">
        <v>252</v>
      </c>
      <c r="Q11" s="85">
        <v>946</v>
      </c>
      <c r="R11" s="85">
        <v>1</v>
      </c>
      <c r="S11" s="85">
        <v>856</v>
      </c>
      <c r="T11" s="127">
        <v>4</v>
      </c>
      <c r="U11" s="127">
        <v>214</v>
      </c>
      <c r="V11" s="68">
        <v>2.3452054794520549</v>
      </c>
      <c r="W11" s="68">
        <v>46.904109589041099</v>
      </c>
      <c r="X11" s="68">
        <v>4</v>
      </c>
      <c r="Y11" s="70">
        <v>4.52803738317757</v>
      </c>
      <c r="Z11" s="70">
        <v>42.8</v>
      </c>
    </row>
    <row r="12" spans="1:26" ht="15.75" x14ac:dyDescent="0.25">
      <c r="A12" s="156"/>
      <c r="B12" s="162"/>
      <c r="C12" s="156" t="s">
        <v>41</v>
      </c>
      <c r="D12" s="131" t="s">
        <v>42</v>
      </c>
      <c r="E12" s="85">
        <v>365</v>
      </c>
      <c r="F12" s="85">
        <v>19</v>
      </c>
      <c r="G12" s="85">
        <v>13</v>
      </c>
      <c r="H12" s="85">
        <v>1659</v>
      </c>
      <c r="I12" s="85">
        <v>186</v>
      </c>
      <c r="J12" s="85">
        <v>1858</v>
      </c>
      <c r="K12" s="85">
        <v>203</v>
      </c>
      <c r="L12" s="85">
        <v>1287</v>
      </c>
      <c r="M12" s="127">
        <v>347</v>
      </c>
      <c r="N12" s="85">
        <v>227</v>
      </c>
      <c r="O12" s="85">
        <v>120</v>
      </c>
      <c r="P12" s="127">
        <v>1837</v>
      </c>
      <c r="Q12" s="85">
        <v>5721</v>
      </c>
      <c r="R12" s="85">
        <v>73</v>
      </c>
      <c r="S12" s="85">
        <v>6168</v>
      </c>
      <c r="T12" s="127">
        <v>21</v>
      </c>
      <c r="U12" s="127">
        <v>1634</v>
      </c>
      <c r="V12" s="68">
        <v>16.898630136986302</v>
      </c>
      <c r="W12" s="68">
        <v>88.94015861571738</v>
      </c>
      <c r="X12" s="68">
        <v>3.7747858017135862</v>
      </c>
      <c r="Y12" s="70">
        <v>0.46940024479804149</v>
      </c>
      <c r="Z12" s="70">
        <v>86</v>
      </c>
    </row>
    <row r="13" spans="1:26" ht="15.75" x14ac:dyDescent="0.25">
      <c r="A13" s="156"/>
      <c r="B13" s="162"/>
      <c r="C13" s="156"/>
      <c r="D13" s="131" t="s">
        <v>43</v>
      </c>
      <c r="E13" s="85">
        <v>365</v>
      </c>
      <c r="F13" s="85">
        <v>12</v>
      </c>
      <c r="G13" s="85">
        <v>3</v>
      </c>
      <c r="H13" s="85">
        <v>832</v>
      </c>
      <c r="I13" s="85">
        <v>305</v>
      </c>
      <c r="J13" s="85">
        <v>1140</v>
      </c>
      <c r="K13" s="85">
        <v>226</v>
      </c>
      <c r="L13" s="85">
        <v>704</v>
      </c>
      <c r="M13" s="127">
        <v>198</v>
      </c>
      <c r="N13" s="85">
        <v>124</v>
      </c>
      <c r="O13" s="85">
        <v>74</v>
      </c>
      <c r="P13" s="127">
        <v>1128</v>
      </c>
      <c r="Q13" s="85">
        <v>3300</v>
      </c>
      <c r="R13" s="85">
        <v>44</v>
      </c>
      <c r="S13" s="85">
        <v>3769</v>
      </c>
      <c r="T13" s="127">
        <v>12</v>
      </c>
      <c r="U13" s="127">
        <v>902</v>
      </c>
      <c r="V13" s="68">
        <v>10.326027397260274</v>
      </c>
      <c r="W13" s="68">
        <v>86.050228310502291</v>
      </c>
      <c r="X13" s="68">
        <v>4.1784922394678494</v>
      </c>
      <c r="Y13" s="70">
        <v>0.67738359201773823</v>
      </c>
      <c r="Z13" s="70">
        <v>75.166666666666671</v>
      </c>
    </row>
    <row r="14" spans="1:26" ht="15.75" x14ac:dyDescent="0.25">
      <c r="A14" s="156"/>
      <c r="B14" s="162"/>
      <c r="C14" s="156" t="s">
        <v>44</v>
      </c>
      <c r="D14" s="131" t="s">
        <v>34</v>
      </c>
      <c r="E14" s="85">
        <v>365</v>
      </c>
      <c r="F14" s="85">
        <v>18</v>
      </c>
      <c r="G14" s="85">
        <v>12</v>
      </c>
      <c r="H14" s="85">
        <v>1599</v>
      </c>
      <c r="I14" s="85">
        <v>140</v>
      </c>
      <c r="J14" s="85">
        <v>1751</v>
      </c>
      <c r="K14" s="85">
        <v>136</v>
      </c>
      <c r="L14" s="85">
        <v>1531</v>
      </c>
      <c r="M14" s="127">
        <v>66</v>
      </c>
      <c r="N14" s="85">
        <v>31</v>
      </c>
      <c r="O14" s="85">
        <v>35</v>
      </c>
      <c r="P14" s="127">
        <v>1733</v>
      </c>
      <c r="Q14" s="85">
        <v>5055</v>
      </c>
      <c r="R14" s="85">
        <v>32</v>
      </c>
      <c r="S14" s="85">
        <v>5432</v>
      </c>
      <c r="T14" s="127">
        <v>18</v>
      </c>
      <c r="U14" s="127">
        <v>1597</v>
      </c>
      <c r="V14" s="68">
        <v>14.882191780821918</v>
      </c>
      <c r="W14" s="68">
        <v>82.67884322678843</v>
      </c>
      <c r="X14" s="68">
        <v>3.401377582968065</v>
      </c>
      <c r="Y14" s="70">
        <v>0.71258609893550406</v>
      </c>
      <c r="Z14" s="70">
        <v>88.722222222222229</v>
      </c>
    </row>
    <row r="15" spans="1:26" ht="15.75" x14ac:dyDescent="0.25">
      <c r="A15" s="156"/>
      <c r="B15" s="162"/>
      <c r="C15" s="85" t="s">
        <v>45</v>
      </c>
      <c r="D15" s="131" t="s">
        <v>34</v>
      </c>
      <c r="E15" s="85">
        <v>365</v>
      </c>
      <c r="F15" s="85">
        <v>20</v>
      </c>
      <c r="G15" s="85">
        <v>17</v>
      </c>
      <c r="H15" s="85">
        <v>1436</v>
      </c>
      <c r="I15" s="85">
        <v>208</v>
      </c>
      <c r="J15" s="85">
        <v>1661</v>
      </c>
      <c r="K15" s="85">
        <v>165</v>
      </c>
      <c r="L15" s="85">
        <v>1368</v>
      </c>
      <c r="M15" s="127">
        <v>111</v>
      </c>
      <c r="N15" s="85">
        <v>46</v>
      </c>
      <c r="O15" s="85">
        <v>65</v>
      </c>
      <c r="P15" s="127">
        <v>1644</v>
      </c>
      <c r="Q15" s="85">
        <v>5484</v>
      </c>
      <c r="R15" s="85">
        <v>22</v>
      </c>
      <c r="S15" s="85">
        <v>5879</v>
      </c>
      <c r="T15" s="127">
        <v>17</v>
      </c>
      <c r="U15" s="127">
        <v>1479</v>
      </c>
      <c r="V15" s="68">
        <v>16.106849315068494</v>
      </c>
      <c r="W15" s="68">
        <v>80.534246575342479</v>
      </c>
      <c r="X15" s="68">
        <v>3.9749830966869508</v>
      </c>
      <c r="Y15" s="70">
        <v>0.96078431372548989</v>
      </c>
      <c r="Z15" s="70">
        <v>73.95</v>
      </c>
    </row>
    <row r="16" spans="1:26" ht="15.75" x14ac:dyDescent="0.25">
      <c r="A16" s="83"/>
      <c r="B16" s="162"/>
      <c r="C16" s="154" t="s">
        <v>46</v>
      </c>
      <c r="D16" s="131" t="s">
        <v>34</v>
      </c>
      <c r="E16" s="85">
        <v>365</v>
      </c>
      <c r="F16" s="85">
        <v>20</v>
      </c>
      <c r="G16" s="85">
        <v>12</v>
      </c>
      <c r="H16" s="85">
        <v>1592</v>
      </c>
      <c r="I16" s="85">
        <v>112</v>
      </c>
      <c r="J16" s="85">
        <v>1716</v>
      </c>
      <c r="K16" s="85">
        <v>105</v>
      </c>
      <c r="L16" s="85">
        <v>1461</v>
      </c>
      <c r="M16" s="127">
        <v>133</v>
      </c>
      <c r="N16" s="85">
        <v>68</v>
      </c>
      <c r="O16" s="85">
        <v>65</v>
      </c>
      <c r="P16" s="127">
        <v>1699</v>
      </c>
      <c r="Q16" s="85">
        <v>5239</v>
      </c>
      <c r="R16" s="85">
        <v>33</v>
      </c>
      <c r="S16" s="85">
        <v>5469</v>
      </c>
      <c r="T16" s="127">
        <v>17</v>
      </c>
      <c r="U16" s="127">
        <v>1594</v>
      </c>
      <c r="V16" s="68">
        <v>14.983561643835616</v>
      </c>
      <c r="W16" s="68">
        <v>74.917808219178085</v>
      </c>
      <c r="X16" s="68">
        <v>3.43099121706399</v>
      </c>
      <c r="Y16" s="70">
        <v>1.1486825595984944</v>
      </c>
      <c r="Z16" s="70">
        <v>79.7</v>
      </c>
    </row>
    <row r="17" spans="1:26" ht="15.75" x14ac:dyDescent="0.25">
      <c r="A17" s="152"/>
      <c r="B17" s="162"/>
      <c r="C17" s="175" t="s">
        <v>49</v>
      </c>
      <c r="D17" s="177" t="s">
        <v>34</v>
      </c>
      <c r="E17" s="85">
        <v>258</v>
      </c>
      <c r="F17" s="85">
        <v>12</v>
      </c>
      <c r="G17" s="85">
        <v>0</v>
      </c>
      <c r="H17" s="85">
        <v>590</v>
      </c>
      <c r="I17" s="85">
        <v>97</v>
      </c>
      <c r="J17" s="85">
        <v>687</v>
      </c>
      <c r="K17" s="85">
        <v>33</v>
      </c>
      <c r="L17" s="85">
        <v>620</v>
      </c>
      <c r="M17" s="127">
        <v>27</v>
      </c>
      <c r="N17" s="85">
        <v>16</v>
      </c>
      <c r="O17" s="85">
        <v>11</v>
      </c>
      <c r="P17" s="127">
        <v>680</v>
      </c>
      <c r="Q17" s="85">
        <v>2381</v>
      </c>
      <c r="R17" s="85">
        <v>7</v>
      </c>
      <c r="S17" s="85">
        <v>2431</v>
      </c>
      <c r="T17" s="127">
        <v>7</v>
      </c>
      <c r="U17" s="127">
        <v>647</v>
      </c>
      <c r="V17" s="68">
        <v>9.4224806201550386</v>
      </c>
      <c r="W17" s="68">
        <v>78.520671834625318</v>
      </c>
      <c r="X17" s="68">
        <v>3.7573415765069553</v>
      </c>
      <c r="Y17" s="70">
        <v>1.027820710973725</v>
      </c>
      <c r="Z17" s="70">
        <v>53.916666666666664</v>
      </c>
    </row>
    <row r="18" spans="1:26" ht="15.75" x14ac:dyDescent="0.25">
      <c r="A18" s="152"/>
      <c r="B18" s="162"/>
      <c r="C18" s="155" t="s">
        <v>61</v>
      </c>
      <c r="D18" s="177" t="s">
        <v>58</v>
      </c>
      <c r="E18" s="85">
        <v>365</v>
      </c>
      <c r="F18" s="85">
        <v>3</v>
      </c>
      <c r="G18" s="85">
        <v>1</v>
      </c>
      <c r="H18" s="85">
        <v>92</v>
      </c>
      <c r="I18" s="85">
        <v>12</v>
      </c>
      <c r="J18" s="85">
        <v>105</v>
      </c>
      <c r="K18" s="85">
        <v>13</v>
      </c>
      <c r="L18" s="85">
        <v>72</v>
      </c>
      <c r="M18" s="127">
        <v>19</v>
      </c>
      <c r="N18" s="85">
        <v>13</v>
      </c>
      <c r="O18" s="85">
        <v>6</v>
      </c>
      <c r="P18" s="127">
        <v>104</v>
      </c>
      <c r="Q18" s="85">
        <v>388</v>
      </c>
      <c r="R18" s="85">
        <v>2</v>
      </c>
      <c r="S18" s="85">
        <v>376</v>
      </c>
      <c r="T18" s="127">
        <v>1</v>
      </c>
      <c r="U18" s="127">
        <v>91</v>
      </c>
      <c r="V18" s="68">
        <v>1.0301369863013699</v>
      </c>
      <c r="W18" s="68">
        <v>34.337899543378995</v>
      </c>
      <c r="X18" s="68">
        <v>4.1318681318681323</v>
      </c>
      <c r="Y18" s="70">
        <v>7.9010989010989015</v>
      </c>
      <c r="Z18" s="70">
        <v>30.333333333333332</v>
      </c>
    </row>
    <row r="19" spans="1:26" ht="15.75" x14ac:dyDescent="0.25">
      <c r="A19" s="152"/>
      <c r="B19" s="162"/>
      <c r="C19" s="153" t="s">
        <v>61</v>
      </c>
      <c r="D19" s="131" t="s">
        <v>60</v>
      </c>
      <c r="E19" s="85">
        <v>365</v>
      </c>
      <c r="F19" s="85">
        <v>10</v>
      </c>
      <c r="G19" s="85">
        <v>6</v>
      </c>
      <c r="H19" s="85">
        <v>549</v>
      </c>
      <c r="I19" s="85">
        <v>78</v>
      </c>
      <c r="J19" s="85">
        <v>633</v>
      </c>
      <c r="K19" s="85">
        <v>40</v>
      </c>
      <c r="L19" s="85">
        <v>409</v>
      </c>
      <c r="M19" s="127">
        <v>182</v>
      </c>
      <c r="N19" s="85">
        <v>84</v>
      </c>
      <c r="O19" s="85">
        <v>98</v>
      </c>
      <c r="P19" s="127">
        <v>631</v>
      </c>
      <c r="Q19" s="85">
        <v>2714</v>
      </c>
      <c r="R19" s="85">
        <v>14</v>
      </c>
      <c r="S19" s="85">
        <v>2371</v>
      </c>
      <c r="T19" s="127">
        <v>2</v>
      </c>
      <c r="U19" s="127">
        <v>591</v>
      </c>
      <c r="V19" s="68">
        <v>6.4958904109589044</v>
      </c>
      <c r="W19" s="68">
        <v>64.958904109589042</v>
      </c>
      <c r="X19" s="68">
        <v>4.011844331641286</v>
      </c>
      <c r="Y19" s="70">
        <v>2.1641285956006766</v>
      </c>
      <c r="Z19" s="70">
        <v>59.1</v>
      </c>
    </row>
    <row r="20" spans="1:26" ht="15.75" x14ac:dyDescent="0.25">
      <c r="A20" s="152"/>
      <c r="B20" s="162"/>
      <c r="C20" s="153" t="s">
        <v>63</v>
      </c>
      <c r="D20" s="131" t="s">
        <v>34</v>
      </c>
      <c r="E20" s="85">
        <v>365</v>
      </c>
      <c r="F20" s="85">
        <v>16</v>
      </c>
      <c r="G20" s="85">
        <v>15</v>
      </c>
      <c r="H20" s="85">
        <v>1211</v>
      </c>
      <c r="I20" s="85">
        <v>229</v>
      </c>
      <c r="J20" s="85">
        <v>1455</v>
      </c>
      <c r="K20" s="85">
        <v>108</v>
      </c>
      <c r="L20" s="85">
        <v>1159</v>
      </c>
      <c r="M20" s="127">
        <v>171</v>
      </c>
      <c r="N20" s="85">
        <v>84</v>
      </c>
      <c r="O20" s="85">
        <v>87</v>
      </c>
      <c r="P20" s="127">
        <v>1438</v>
      </c>
      <c r="Q20" s="85">
        <v>5003</v>
      </c>
      <c r="R20" s="85">
        <v>20</v>
      </c>
      <c r="S20" s="85">
        <v>5216</v>
      </c>
      <c r="T20" s="127">
        <v>17</v>
      </c>
      <c r="U20" s="127">
        <v>1330</v>
      </c>
      <c r="V20" s="68">
        <v>14.29041095890411</v>
      </c>
      <c r="W20" s="68">
        <v>89.31506849315069</v>
      </c>
      <c r="X20" s="68">
        <v>3.9218045112781956</v>
      </c>
      <c r="Y20" s="70">
        <v>0.46917293233082707</v>
      </c>
      <c r="Z20" s="70">
        <v>83.125</v>
      </c>
    </row>
    <row r="21" spans="1:26" ht="15.75" x14ac:dyDescent="0.25">
      <c r="A21" s="330" t="s">
        <v>124</v>
      </c>
      <c r="B21" s="331"/>
      <c r="C21" s="331"/>
      <c r="D21" s="332"/>
      <c r="E21" s="88">
        <f>+JAN!E21+FEB!E21+MAR!E21+APR!E21+MEI!E21+JUN!E21+JUL!E21+AGS!E21+SEP!E21+OKT!E21+NOV!E21+DES!E21</f>
        <v>365</v>
      </c>
      <c r="F21" s="88">
        <f>SUM(F7:F20)</f>
        <v>200</v>
      </c>
      <c r="G21" s="88">
        <f>SUM(G7:G20)</f>
        <v>126</v>
      </c>
      <c r="H21" s="88">
        <f>SUM(H7:H20)</f>
        <v>14176</v>
      </c>
      <c r="I21" s="88">
        <f>SUM(I7:I20)</f>
        <v>2253</v>
      </c>
      <c r="J21" s="88">
        <f t="shared" ref="J21" si="0">+G21+H21+I21</f>
        <v>16555</v>
      </c>
      <c r="K21" s="88">
        <f>SUM(K7:K20)</f>
        <v>1515</v>
      </c>
      <c r="L21" s="88">
        <f>SUM(L7:L20)</f>
        <v>13196</v>
      </c>
      <c r="M21" s="134">
        <f t="shared" ref="M21" si="1">+N21+O21</f>
        <v>1667</v>
      </c>
      <c r="N21" s="88">
        <f>SUM(N7:N20)</f>
        <v>917</v>
      </c>
      <c r="O21" s="88">
        <f>SUM(O7:O20)</f>
        <v>750</v>
      </c>
      <c r="P21" s="134">
        <f t="shared" ref="P21" si="2">+K21+L21+M21</f>
        <v>16378</v>
      </c>
      <c r="Q21" s="88">
        <f>SUM(Q7:Q20)</f>
        <v>54688</v>
      </c>
      <c r="R21" s="88">
        <f>SUM(R7:R20)</f>
        <v>323</v>
      </c>
      <c r="S21" s="88">
        <f>SUM(S7:S20)</f>
        <v>56685</v>
      </c>
      <c r="T21" s="134">
        <f t="shared" ref="T21" si="3">J21-P21</f>
        <v>177</v>
      </c>
      <c r="U21" s="134">
        <f t="shared" ref="U21" si="4">+L21+M21</f>
        <v>14863</v>
      </c>
      <c r="V21" s="75">
        <f t="shared" ref="V21" si="5">$S21/$E21</f>
        <v>155.30136986301369</v>
      </c>
      <c r="W21" s="75">
        <f t="shared" ref="W21" si="6">$V21/$F21*100</f>
        <v>77.650684931506845</v>
      </c>
      <c r="X21" s="75">
        <f t="shared" ref="X21" si="7">$S21/($L21+$M21)</f>
        <v>3.8138330081410214</v>
      </c>
      <c r="Y21" s="75">
        <f t="shared" ref="Y21" si="8">(($F21-$V21)*$E21)/($L21+$M21)</f>
        <v>1.0976922559375633</v>
      </c>
      <c r="Z21" s="75">
        <f t="shared" ref="Z21" si="9">($L21+$M21)/$F21</f>
        <v>74.314999999999998</v>
      </c>
    </row>
    <row r="22" spans="1:26" ht="15.75" x14ac:dyDescent="0.25">
      <c r="A22" s="83"/>
      <c r="B22" s="162"/>
      <c r="C22" s="85" t="s">
        <v>49</v>
      </c>
      <c r="D22" s="131" t="s">
        <v>38</v>
      </c>
      <c r="E22" s="82">
        <v>258</v>
      </c>
      <c r="F22" s="85">
        <v>4</v>
      </c>
      <c r="G22" s="85">
        <v>0</v>
      </c>
      <c r="H22" s="85">
        <v>229</v>
      </c>
      <c r="I22" s="85">
        <v>41</v>
      </c>
      <c r="J22" s="85">
        <v>270</v>
      </c>
      <c r="K22" s="85">
        <v>46</v>
      </c>
      <c r="L22" s="85">
        <v>207</v>
      </c>
      <c r="M22" s="127">
        <v>13</v>
      </c>
      <c r="N22" s="85">
        <v>6</v>
      </c>
      <c r="O22" s="85">
        <v>7</v>
      </c>
      <c r="P22" s="127">
        <v>266</v>
      </c>
      <c r="Q22" s="85">
        <v>722</v>
      </c>
      <c r="R22" s="85">
        <v>2</v>
      </c>
      <c r="S22" s="85">
        <v>818</v>
      </c>
      <c r="T22" s="127">
        <v>4</v>
      </c>
      <c r="U22" s="127">
        <v>220</v>
      </c>
      <c r="V22" s="68">
        <v>3.1705426356589146</v>
      </c>
      <c r="W22" s="68">
        <v>79.263565891472865</v>
      </c>
      <c r="X22" s="68">
        <v>3.7181818181818183</v>
      </c>
      <c r="Y22" s="70">
        <v>0.97272727272727288</v>
      </c>
      <c r="Z22" s="70">
        <v>55</v>
      </c>
    </row>
    <row r="23" spans="1:26" ht="15.75" x14ac:dyDescent="0.25">
      <c r="A23" s="152"/>
      <c r="B23" s="162"/>
      <c r="C23" s="275" t="s">
        <v>50</v>
      </c>
      <c r="D23" s="131" t="s">
        <v>51</v>
      </c>
      <c r="E23" s="85">
        <v>365</v>
      </c>
      <c r="F23" s="85">
        <v>6</v>
      </c>
      <c r="G23" s="85">
        <v>3</v>
      </c>
      <c r="H23" s="85">
        <v>486</v>
      </c>
      <c r="I23" s="85">
        <v>65</v>
      </c>
      <c r="J23" s="85">
        <v>554</v>
      </c>
      <c r="K23" s="85">
        <v>75</v>
      </c>
      <c r="L23" s="85">
        <v>452</v>
      </c>
      <c r="M23" s="127">
        <v>23</v>
      </c>
      <c r="N23" s="85">
        <v>10</v>
      </c>
      <c r="O23" s="85">
        <v>13</v>
      </c>
      <c r="P23" s="127">
        <v>550</v>
      </c>
      <c r="Q23" s="85">
        <v>1503</v>
      </c>
      <c r="R23" s="85">
        <v>10</v>
      </c>
      <c r="S23" s="85">
        <v>1946</v>
      </c>
      <c r="T23" s="127">
        <v>4</v>
      </c>
      <c r="U23" s="127">
        <v>475</v>
      </c>
      <c r="V23" s="68">
        <v>5.3315068493150681</v>
      </c>
      <c r="W23" s="68">
        <v>88.858447488584474</v>
      </c>
      <c r="X23" s="68">
        <v>4.0968421052631578</v>
      </c>
      <c r="Y23" s="70">
        <v>0.51368421052631608</v>
      </c>
      <c r="Z23" s="70">
        <v>79.166666666666671</v>
      </c>
    </row>
    <row r="24" spans="1:26" ht="15.75" x14ac:dyDescent="0.25">
      <c r="A24" s="152"/>
      <c r="B24" s="162"/>
      <c r="C24" s="276"/>
      <c r="D24" s="131" t="s">
        <v>52</v>
      </c>
      <c r="E24" s="85">
        <v>365</v>
      </c>
      <c r="F24" s="85">
        <v>6</v>
      </c>
      <c r="G24" s="85">
        <v>6</v>
      </c>
      <c r="H24" s="85">
        <v>507</v>
      </c>
      <c r="I24" s="85">
        <v>70</v>
      </c>
      <c r="J24" s="85">
        <v>583</v>
      </c>
      <c r="K24" s="85">
        <v>76</v>
      </c>
      <c r="L24" s="85">
        <v>487</v>
      </c>
      <c r="M24" s="127">
        <v>16</v>
      </c>
      <c r="N24" s="85">
        <v>9</v>
      </c>
      <c r="O24" s="85">
        <v>7</v>
      </c>
      <c r="P24" s="127">
        <v>579</v>
      </c>
      <c r="Q24" s="85">
        <v>1621</v>
      </c>
      <c r="R24" s="85">
        <v>9</v>
      </c>
      <c r="S24" s="85">
        <v>1412</v>
      </c>
      <c r="T24" s="127">
        <v>4</v>
      </c>
      <c r="U24" s="127">
        <v>503</v>
      </c>
      <c r="V24" s="68">
        <v>3.8684931506849316</v>
      </c>
      <c r="W24" s="68">
        <v>64.474885844748869</v>
      </c>
      <c r="X24" s="68">
        <v>2.8071570576540754</v>
      </c>
      <c r="Y24" s="70">
        <v>1.5467196819085487</v>
      </c>
      <c r="Z24" s="70">
        <v>83.833333333333329</v>
      </c>
    </row>
    <row r="25" spans="1:26" ht="15.75" x14ac:dyDescent="0.25">
      <c r="A25" s="156"/>
      <c r="B25" s="162"/>
      <c r="C25" s="276" t="s">
        <v>61</v>
      </c>
      <c r="D25" s="131" t="s">
        <v>57</v>
      </c>
      <c r="E25" s="82">
        <v>365</v>
      </c>
      <c r="F25" s="85">
        <v>2</v>
      </c>
      <c r="G25" s="85">
        <v>0</v>
      </c>
      <c r="H25" s="85">
        <v>21</v>
      </c>
      <c r="I25" s="85">
        <v>7</v>
      </c>
      <c r="J25" s="85">
        <v>28</v>
      </c>
      <c r="K25" s="85">
        <v>12</v>
      </c>
      <c r="L25" s="85">
        <v>13</v>
      </c>
      <c r="M25" s="127">
        <v>3</v>
      </c>
      <c r="N25" s="85">
        <v>2</v>
      </c>
      <c r="O25" s="85">
        <v>1</v>
      </c>
      <c r="P25" s="127">
        <v>28</v>
      </c>
      <c r="Q25" s="85">
        <v>80</v>
      </c>
      <c r="R25" s="85">
        <v>0</v>
      </c>
      <c r="S25" s="85">
        <v>93</v>
      </c>
      <c r="T25" s="127">
        <v>0</v>
      </c>
      <c r="U25" s="127">
        <v>16</v>
      </c>
      <c r="V25" s="68">
        <v>0.25479452054794521</v>
      </c>
      <c r="W25" s="68">
        <v>12.739726027397261</v>
      </c>
      <c r="X25" s="68">
        <v>5.8125</v>
      </c>
      <c r="Y25" s="69">
        <v>39.8125</v>
      </c>
      <c r="Z25" s="70">
        <v>8</v>
      </c>
    </row>
    <row r="26" spans="1:26" ht="15.75" x14ac:dyDescent="0.25">
      <c r="A26" s="156"/>
      <c r="B26" s="162"/>
      <c r="C26" s="277"/>
      <c r="D26" s="132" t="s">
        <v>59</v>
      </c>
      <c r="E26" s="82">
        <v>365</v>
      </c>
      <c r="F26" s="133">
        <v>2</v>
      </c>
      <c r="G26" s="85">
        <v>0</v>
      </c>
      <c r="H26" s="85">
        <v>51</v>
      </c>
      <c r="I26" s="85">
        <v>19</v>
      </c>
      <c r="J26" s="85">
        <v>70</v>
      </c>
      <c r="K26" s="85">
        <v>11</v>
      </c>
      <c r="L26" s="85">
        <v>45</v>
      </c>
      <c r="M26" s="127">
        <v>14</v>
      </c>
      <c r="N26" s="85">
        <v>9</v>
      </c>
      <c r="O26" s="85">
        <v>5</v>
      </c>
      <c r="P26" s="127">
        <v>70</v>
      </c>
      <c r="Q26" s="85">
        <v>261</v>
      </c>
      <c r="R26" s="85">
        <v>4</v>
      </c>
      <c r="S26" s="85">
        <v>245</v>
      </c>
      <c r="T26" s="127">
        <v>0</v>
      </c>
      <c r="U26" s="127">
        <v>59</v>
      </c>
      <c r="V26" s="68">
        <v>0.67123287671232879</v>
      </c>
      <c r="W26" s="68">
        <v>33.561643835616437</v>
      </c>
      <c r="X26" s="68">
        <v>4.1525423728813555</v>
      </c>
      <c r="Y26" s="69">
        <v>8.2203389830508478</v>
      </c>
      <c r="Z26" s="70">
        <v>29.5</v>
      </c>
    </row>
    <row r="27" spans="1:26" ht="15.75" x14ac:dyDescent="0.25">
      <c r="A27" s="330" t="s">
        <v>125</v>
      </c>
      <c r="B27" s="331"/>
      <c r="C27" s="331"/>
      <c r="D27" s="332"/>
      <c r="E27" s="88">
        <f>+JAN!E27+FEB!E27+MAR!E27+APR!E27+MEI!E27+JUN!E27+JUL!E27+AGS!E27+SEP!E27+OKT!E27+NOV!E27+DES!E27</f>
        <v>365</v>
      </c>
      <c r="F27" s="88">
        <f>SUM(F22:F26)</f>
        <v>20</v>
      </c>
      <c r="G27" s="88">
        <f>SUM(G22:G26)</f>
        <v>9</v>
      </c>
      <c r="H27" s="88">
        <f>SUM(H22:H26)</f>
        <v>1294</v>
      </c>
      <c r="I27" s="88">
        <f>SUM(I22:I26)</f>
        <v>202</v>
      </c>
      <c r="J27" s="88">
        <f t="shared" ref="J27" si="10">+G27+H27+I27</f>
        <v>1505</v>
      </c>
      <c r="K27" s="88">
        <f>SUM(K22:K26)</f>
        <v>220</v>
      </c>
      <c r="L27" s="88">
        <f>SUM(L22:L26)</f>
        <v>1204</v>
      </c>
      <c r="M27" s="134">
        <f t="shared" ref="M27" si="11">+N27+O27</f>
        <v>69</v>
      </c>
      <c r="N27" s="88">
        <f>SUM(N22:N26)</f>
        <v>36</v>
      </c>
      <c r="O27" s="88">
        <f>SUM(O22:O26)</f>
        <v>33</v>
      </c>
      <c r="P27" s="134">
        <f t="shared" ref="P27" si="12">+K27+L27+M27</f>
        <v>1493</v>
      </c>
      <c r="Q27" s="88">
        <f>SUM(Q22:Q26)</f>
        <v>4187</v>
      </c>
      <c r="R27" s="88">
        <f>SUM(R22:R26)</f>
        <v>25</v>
      </c>
      <c r="S27" s="88">
        <f>SUM(S22:S26)</f>
        <v>4514</v>
      </c>
      <c r="T27" s="134">
        <f t="shared" ref="T27" si="13">J27-P27</f>
        <v>12</v>
      </c>
      <c r="U27" s="134">
        <f t="shared" ref="U27" si="14">+L27+M27</f>
        <v>1273</v>
      </c>
      <c r="V27" s="75">
        <f t="shared" ref="V27" si="15">$S27/$E27</f>
        <v>12.367123287671232</v>
      </c>
      <c r="W27" s="75">
        <f t="shared" ref="W27" si="16">$V27/$F27*100</f>
        <v>61.835616438356155</v>
      </c>
      <c r="X27" s="75">
        <f t="shared" ref="X27" si="17">$S27/($L27+$M27)</f>
        <v>3.5459544383346424</v>
      </c>
      <c r="Y27" s="75">
        <f t="shared" ref="Y27" si="18">(($F27-$V27)*$E27)/($L27+$M27)</f>
        <v>2.1885310290652007</v>
      </c>
      <c r="Z27" s="75">
        <f t="shared" ref="Z27" si="19">($L27+$M27)/$F27</f>
        <v>63.65</v>
      </c>
    </row>
    <row r="28" spans="1:26" ht="15.75" x14ac:dyDescent="0.25">
      <c r="A28" s="156"/>
      <c r="B28" s="162"/>
      <c r="C28" s="178" t="s">
        <v>47</v>
      </c>
      <c r="D28" s="22" t="s">
        <v>48</v>
      </c>
      <c r="E28" s="85">
        <v>365</v>
      </c>
      <c r="F28" s="85">
        <v>3</v>
      </c>
      <c r="G28" s="85">
        <v>10</v>
      </c>
      <c r="H28" s="85">
        <v>674</v>
      </c>
      <c r="I28" s="85">
        <v>192</v>
      </c>
      <c r="J28" s="85">
        <v>876</v>
      </c>
      <c r="K28" s="85">
        <v>107</v>
      </c>
      <c r="L28" s="85">
        <v>734</v>
      </c>
      <c r="M28" s="127">
        <v>31</v>
      </c>
      <c r="N28" s="85">
        <v>13</v>
      </c>
      <c r="O28" s="85">
        <v>18</v>
      </c>
      <c r="P28" s="127">
        <v>872</v>
      </c>
      <c r="Q28" s="85">
        <v>2466</v>
      </c>
      <c r="R28" s="85">
        <v>7</v>
      </c>
      <c r="S28" s="85">
        <v>2576</v>
      </c>
      <c r="T28" s="127">
        <v>4</v>
      </c>
      <c r="U28" s="127">
        <v>765</v>
      </c>
      <c r="V28" s="68">
        <v>7.0575342465753428</v>
      </c>
      <c r="W28" s="68">
        <v>235.2511415525114</v>
      </c>
      <c r="X28" s="68">
        <v>3.3673202614379085</v>
      </c>
      <c r="Y28" s="70">
        <v>-1.9359477124183009</v>
      </c>
      <c r="Z28" s="70">
        <v>255</v>
      </c>
    </row>
    <row r="29" spans="1:26" ht="15.75" hidden="1" customHeight="1" x14ac:dyDescent="0.25">
      <c r="A29" s="156"/>
      <c r="B29" s="162"/>
      <c r="C29" s="179"/>
      <c r="D29" s="22"/>
      <c r="E29" s="85"/>
      <c r="F29" s="85"/>
      <c r="G29" s="85"/>
      <c r="H29" s="85"/>
      <c r="I29" s="85"/>
      <c r="J29" s="85"/>
      <c r="K29" s="85"/>
      <c r="L29" s="85"/>
      <c r="M29" s="127"/>
      <c r="N29" s="85"/>
      <c r="O29" s="85"/>
      <c r="P29" s="127"/>
      <c r="Q29" s="85"/>
      <c r="R29" s="85"/>
      <c r="S29" s="85"/>
      <c r="T29" s="127"/>
      <c r="U29" s="127"/>
      <c r="V29" s="68"/>
      <c r="W29" s="68"/>
      <c r="X29" s="68"/>
      <c r="Y29" s="70"/>
      <c r="Z29" s="70"/>
    </row>
    <row r="30" spans="1:26" ht="15.75" x14ac:dyDescent="0.25">
      <c r="A30" s="156"/>
      <c r="B30" s="162"/>
      <c r="C30" s="85" t="s">
        <v>49</v>
      </c>
      <c r="D30" s="131" t="s">
        <v>48</v>
      </c>
      <c r="E30" s="85">
        <v>365</v>
      </c>
      <c r="F30" s="85">
        <v>19</v>
      </c>
      <c r="G30" s="85">
        <v>3</v>
      </c>
      <c r="H30" s="85">
        <v>319</v>
      </c>
      <c r="I30" s="85">
        <v>83</v>
      </c>
      <c r="J30" s="85">
        <v>405</v>
      </c>
      <c r="K30" s="85">
        <v>48</v>
      </c>
      <c r="L30" s="85">
        <v>340</v>
      </c>
      <c r="M30" s="127">
        <v>14</v>
      </c>
      <c r="N30" s="85">
        <v>7</v>
      </c>
      <c r="O30" s="85">
        <v>7</v>
      </c>
      <c r="P30" s="127">
        <v>402</v>
      </c>
      <c r="Q30" s="85">
        <v>1145</v>
      </c>
      <c r="R30" s="85">
        <v>7</v>
      </c>
      <c r="S30" s="85">
        <v>1198</v>
      </c>
      <c r="T30" s="127">
        <v>3</v>
      </c>
      <c r="U30" s="127">
        <v>354</v>
      </c>
      <c r="V30" s="68">
        <v>3.2821917808219179</v>
      </c>
      <c r="W30" s="68">
        <v>17.274693583273251</v>
      </c>
      <c r="X30" s="68">
        <v>3.384180790960452</v>
      </c>
      <c r="Y30" s="70">
        <v>16.206214689265536</v>
      </c>
      <c r="Z30" s="70">
        <v>18.631578947368421</v>
      </c>
    </row>
    <row r="31" spans="1:26" ht="15.75" x14ac:dyDescent="0.25">
      <c r="A31" s="143"/>
      <c r="B31" s="162"/>
      <c r="C31" s="156" t="s">
        <v>126</v>
      </c>
      <c r="D31" s="131" t="s">
        <v>48</v>
      </c>
      <c r="E31" s="85">
        <v>365</v>
      </c>
      <c r="F31" s="85">
        <v>14</v>
      </c>
      <c r="G31" s="85">
        <v>12</v>
      </c>
      <c r="H31" s="85">
        <v>1019</v>
      </c>
      <c r="I31" s="85">
        <v>97</v>
      </c>
      <c r="J31" s="85">
        <v>1128</v>
      </c>
      <c r="K31" s="85">
        <v>184</v>
      </c>
      <c r="L31" s="85">
        <v>852</v>
      </c>
      <c r="M31" s="127">
        <v>84</v>
      </c>
      <c r="N31" s="85">
        <v>52</v>
      </c>
      <c r="O31" s="85">
        <v>32</v>
      </c>
      <c r="P31" s="127">
        <v>1120</v>
      </c>
      <c r="Q31" s="85">
        <v>3138</v>
      </c>
      <c r="R31" s="85">
        <v>34</v>
      </c>
      <c r="S31" s="85">
        <v>3372</v>
      </c>
      <c r="T31" s="127">
        <v>8</v>
      </c>
      <c r="U31" s="127">
        <v>936</v>
      </c>
      <c r="V31" s="68">
        <v>9.2383561643835623</v>
      </c>
      <c r="W31" s="68">
        <v>65.988258317025455</v>
      </c>
      <c r="X31" s="68">
        <v>3.6025641025641026</v>
      </c>
      <c r="Y31" s="70">
        <v>1.8568376068376067</v>
      </c>
      <c r="Z31" s="70">
        <v>66.857142857142861</v>
      </c>
    </row>
    <row r="32" spans="1:26" ht="15" customHeight="1" x14ac:dyDescent="0.25">
      <c r="A32" s="154"/>
      <c r="B32" s="162"/>
      <c r="C32" s="156" t="s">
        <v>54</v>
      </c>
      <c r="D32" s="131" t="s">
        <v>48</v>
      </c>
      <c r="E32" s="85">
        <v>365</v>
      </c>
      <c r="F32" s="85">
        <v>15</v>
      </c>
      <c r="G32" s="85">
        <v>10</v>
      </c>
      <c r="H32" s="85">
        <v>1052</v>
      </c>
      <c r="I32" s="85">
        <v>176</v>
      </c>
      <c r="J32" s="85">
        <v>1238</v>
      </c>
      <c r="K32" s="85">
        <v>167</v>
      </c>
      <c r="L32" s="85">
        <v>966</v>
      </c>
      <c r="M32" s="127">
        <v>91</v>
      </c>
      <c r="N32" s="85">
        <v>45</v>
      </c>
      <c r="O32" s="85">
        <v>46</v>
      </c>
      <c r="P32" s="127">
        <v>1224</v>
      </c>
      <c r="Q32" s="85">
        <v>3615</v>
      </c>
      <c r="R32" s="85">
        <v>23</v>
      </c>
      <c r="S32" s="85">
        <v>3830</v>
      </c>
      <c r="T32" s="127">
        <v>14</v>
      </c>
      <c r="U32" s="127">
        <v>1057</v>
      </c>
      <c r="V32" s="68">
        <v>10.493150684931507</v>
      </c>
      <c r="W32" s="68">
        <v>69.95433789954339</v>
      </c>
      <c r="X32" s="68">
        <v>3.6234626300851467</v>
      </c>
      <c r="Y32" s="70">
        <v>1.5562913907284768</v>
      </c>
      <c r="Z32" s="70">
        <v>70.466666666666669</v>
      </c>
    </row>
    <row r="33" spans="1:26" ht="15.75" x14ac:dyDescent="0.25">
      <c r="A33" s="330" t="s">
        <v>127</v>
      </c>
      <c r="B33" s="331"/>
      <c r="C33" s="331"/>
      <c r="D33" s="332"/>
      <c r="E33" s="88">
        <v>365</v>
      </c>
      <c r="F33" s="88">
        <f>SUM(F28:F32)</f>
        <v>51</v>
      </c>
      <c r="G33" s="88">
        <f>SUM(G28:G32)</f>
        <v>35</v>
      </c>
      <c r="H33" s="88">
        <f>SUM(H28:H32)</f>
        <v>3064</v>
      </c>
      <c r="I33" s="88">
        <f>SUM(I28:I32)</f>
        <v>548</v>
      </c>
      <c r="J33" s="88">
        <f t="shared" ref="J33" si="20">+G33+H33+I33</f>
        <v>3647</v>
      </c>
      <c r="K33" s="88">
        <f>SUM(K28:K32)</f>
        <v>506</v>
      </c>
      <c r="L33" s="88">
        <f>SUM(L28:L32)</f>
        <v>2892</v>
      </c>
      <c r="M33" s="134">
        <f t="shared" ref="M33" si="21">+N33+O33</f>
        <v>220</v>
      </c>
      <c r="N33" s="88">
        <f>SUM(N28:N32)</f>
        <v>117</v>
      </c>
      <c r="O33" s="88">
        <f>SUM(O28:O32)</f>
        <v>103</v>
      </c>
      <c r="P33" s="134">
        <f t="shared" ref="P33" si="22">+K33+L33+M33</f>
        <v>3618</v>
      </c>
      <c r="Q33" s="88">
        <f>SUM(Q28:Q32)</f>
        <v>10364</v>
      </c>
      <c r="R33" s="88">
        <f>SUM(R28:R32)</f>
        <v>71</v>
      </c>
      <c r="S33" s="88">
        <f>SUM(S28:S32)</f>
        <v>10976</v>
      </c>
      <c r="T33" s="134">
        <f t="shared" ref="T33" si="23">J33-P33</f>
        <v>29</v>
      </c>
      <c r="U33" s="134">
        <f t="shared" ref="U33" si="24">+L33+M33</f>
        <v>3112</v>
      </c>
      <c r="V33" s="75">
        <f t="shared" ref="V33" si="25">$S33/$E33</f>
        <v>30.07123287671233</v>
      </c>
      <c r="W33" s="75">
        <f t="shared" ref="W33" si="26">$V33/$F33*100</f>
        <v>58.963201719043781</v>
      </c>
      <c r="X33" s="75">
        <f t="shared" ref="X33" si="27">$S33/($L33+$M33)</f>
        <v>3.526992287917738</v>
      </c>
      <c r="Y33" s="75">
        <f t="shared" ref="Y33" si="28">(($F33-$V33)*$E33)/($L33+$M33)</f>
        <v>2.4546915167095116</v>
      </c>
      <c r="Z33" s="75">
        <f t="shared" ref="Z33" si="29">($L33+$M33)/$F33</f>
        <v>61.019607843137258</v>
      </c>
    </row>
    <row r="34" spans="1:26" ht="15.75" hidden="1" x14ac:dyDescent="0.25">
      <c r="A34" s="175"/>
      <c r="B34" s="162"/>
      <c r="C34" s="156"/>
      <c r="D34" s="131"/>
      <c r="E34" s="82"/>
      <c r="F34" s="82"/>
      <c r="G34" s="82"/>
      <c r="H34" s="85"/>
      <c r="I34" s="85"/>
      <c r="J34" s="85"/>
      <c r="K34" s="85"/>
      <c r="L34" s="85"/>
      <c r="M34" s="127"/>
      <c r="N34" s="85"/>
      <c r="O34" s="85"/>
      <c r="P34" s="127"/>
      <c r="Q34" s="85"/>
      <c r="R34" s="85"/>
      <c r="S34" s="85"/>
      <c r="T34" s="127"/>
      <c r="U34" s="127"/>
      <c r="V34" s="68"/>
      <c r="W34" s="68"/>
      <c r="X34" s="68"/>
      <c r="Y34" s="69"/>
      <c r="Z34" s="70"/>
    </row>
    <row r="35" spans="1:26" ht="15.75" x14ac:dyDescent="0.25">
      <c r="A35" s="333" t="s">
        <v>65</v>
      </c>
      <c r="B35" s="334"/>
      <c r="C35" s="334"/>
      <c r="D35" s="335"/>
      <c r="E35" s="129">
        <v>365</v>
      </c>
      <c r="F35" s="129">
        <f>+F21+F27+F33</f>
        <v>271</v>
      </c>
      <c r="G35" s="129">
        <f>+G21+G27+G33</f>
        <v>170</v>
      </c>
      <c r="H35" s="129">
        <f>+H21+H27+H33</f>
        <v>18534</v>
      </c>
      <c r="I35" s="129">
        <f>+I21+I27+I33</f>
        <v>3003</v>
      </c>
      <c r="J35" s="129">
        <f t="shared" ref="J35" si="30">+G35+H35+I35</f>
        <v>21707</v>
      </c>
      <c r="K35" s="129">
        <f>+K21+K27+K33</f>
        <v>2241</v>
      </c>
      <c r="L35" s="129">
        <f>+L21+L27+L33</f>
        <v>17292</v>
      </c>
      <c r="M35" s="130">
        <f t="shared" ref="M35" si="31">+N35+O35</f>
        <v>1956</v>
      </c>
      <c r="N35" s="129">
        <f>+N21+N27+N33</f>
        <v>1070</v>
      </c>
      <c r="O35" s="129">
        <f>+O21+O27+O33</f>
        <v>886</v>
      </c>
      <c r="P35" s="130">
        <f t="shared" ref="P35" si="32">+K35+L35+M35</f>
        <v>21489</v>
      </c>
      <c r="Q35" s="129">
        <f>+Q21+Q27+Q33</f>
        <v>69239</v>
      </c>
      <c r="R35" s="129">
        <f>+R21+R27+R33</f>
        <v>419</v>
      </c>
      <c r="S35" s="129">
        <f>+S21+S27+S33</f>
        <v>72175</v>
      </c>
      <c r="T35" s="130">
        <f t="shared" ref="T35" si="33">J35-P35</f>
        <v>218</v>
      </c>
      <c r="U35" s="130">
        <f t="shared" ref="U35" si="34">+L35+M35</f>
        <v>19248</v>
      </c>
      <c r="V35" s="146">
        <f t="shared" ref="V35" si="35">$S35/$E35</f>
        <v>197.73972602739727</v>
      </c>
      <c r="W35" s="146">
        <f t="shared" ref="W35" si="36">$V35/$F35*100</f>
        <v>72.966688570995302</v>
      </c>
      <c r="X35" s="146">
        <f t="shared" ref="X35" si="37">$S35/($L35+$M35)</f>
        <v>3.7497402327514546</v>
      </c>
      <c r="Y35" s="146">
        <f t="shared" ref="Y35" si="38">(($F35-$V35)*$E35)/($L35+$M35)</f>
        <v>1.3892352452202825</v>
      </c>
      <c r="Z35" s="146">
        <f t="shared" ref="Z35" si="39">($L35+$M35)/$F35</f>
        <v>71.025830258302577</v>
      </c>
    </row>
    <row r="36" spans="1:26" ht="15.75" hidden="1" x14ac:dyDescent="0.25">
      <c r="A36" s="149"/>
      <c r="B36" s="162"/>
      <c r="C36" s="152"/>
    </row>
    <row r="37" spans="1:26" ht="15.75" hidden="1" x14ac:dyDescent="0.25">
      <c r="A37" s="149"/>
      <c r="B37" s="162"/>
      <c r="C37" s="152"/>
      <c r="D37" s="131"/>
      <c r="E37" s="82"/>
      <c r="F37" s="82"/>
      <c r="G37" s="85"/>
      <c r="H37" s="85"/>
      <c r="I37" s="85"/>
      <c r="J37" s="85"/>
      <c r="K37" s="85"/>
      <c r="L37" s="85"/>
      <c r="M37" s="127"/>
      <c r="N37" s="85"/>
      <c r="O37" s="85"/>
      <c r="P37" s="127"/>
      <c r="Q37" s="85"/>
      <c r="R37" s="85"/>
      <c r="S37" s="85"/>
      <c r="T37" s="127"/>
      <c r="U37" s="127"/>
      <c r="V37" s="68"/>
      <c r="W37" s="68"/>
      <c r="X37" s="68"/>
      <c r="Y37" s="69"/>
      <c r="Z37" s="70"/>
    </row>
    <row r="38" spans="1:26" ht="15.75" hidden="1" x14ac:dyDescent="0.25">
      <c r="A38" s="149"/>
      <c r="B38" s="162"/>
      <c r="C38" s="152"/>
      <c r="D38" s="131"/>
      <c r="E38" s="82"/>
      <c r="F38" s="82"/>
      <c r="G38" s="85"/>
      <c r="H38" s="85"/>
      <c r="I38" s="85"/>
      <c r="J38" s="85"/>
      <c r="K38" s="85"/>
      <c r="L38" s="85"/>
      <c r="M38" s="127"/>
      <c r="N38" s="85"/>
      <c r="O38" s="85"/>
      <c r="P38" s="127"/>
      <c r="Q38" s="85"/>
      <c r="R38" s="85"/>
      <c r="S38" s="85"/>
      <c r="T38" s="127"/>
      <c r="U38" s="127"/>
      <c r="V38" s="68"/>
      <c r="W38" s="68"/>
      <c r="X38" s="68"/>
      <c r="Y38" s="71"/>
      <c r="Z38" s="72"/>
    </row>
    <row r="39" spans="1:26" ht="15.75" hidden="1" x14ac:dyDescent="0.25">
      <c r="A39" s="149"/>
      <c r="B39" s="162"/>
      <c r="C39" s="152"/>
      <c r="D39" s="131"/>
      <c r="E39" s="82"/>
      <c r="F39" s="82"/>
      <c r="G39" s="85"/>
      <c r="H39" s="85"/>
      <c r="I39" s="85"/>
      <c r="J39" s="85"/>
      <c r="K39" s="85"/>
      <c r="L39" s="85"/>
      <c r="M39" s="127"/>
      <c r="N39" s="85"/>
      <c r="O39" s="85"/>
      <c r="P39" s="127"/>
      <c r="Q39" s="85"/>
      <c r="R39" s="85"/>
      <c r="S39" s="85"/>
      <c r="T39" s="127"/>
      <c r="U39" s="127"/>
      <c r="V39" s="68"/>
      <c r="W39" s="68"/>
      <c r="X39" s="68"/>
      <c r="Y39" s="71"/>
      <c r="Z39" s="72"/>
    </row>
    <row r="40" spans="1:26" ht="15.75" hidden="1" x14ac:dyDescent="0.25">
      <c r="A40" s="149"/>
      <c r="B40" s="162"/>
      <c r="C40" s="160"/>
      <c r="D40" s="148"/>
      <c r="E40" s="129"/>
      <c r="F40" s="129"/>
      <c r="G40" s="129"/>
      <c r="H40" s="129"/>
      <c r="I40" s="129"/>
      <c r="J40" s="129"/>
      <c r="K40" s="129"/>
      <c r="L40" s="129"/>
      <c r="M40" s="130"/>
      <c r="N40" s="129"/>
      <c r="O40" s="129"/>
      <c r="P40" s="130"/>
      <c r="Q40" s="129"/>
      <c r="R40" s="129"/>
      <c r="S40" s="129"/>
      <c r="T40" s="130"/>
      <c r="U40" s="130"/>
      <c r="V40" s="73"/>
      <c r="W40" s="73"/>
      <c r="X40" s="73"/>
      <c r="Y40" s="146"/>
      <c r="Z40" s="146"/>
    </row>
    <row r="41" spans="1:26" ht="15.75" hidden="1" x14ac:dyDescent="0.25">
      <c r="A41" s="91"/>
      <c r="B41" s="162"/>
      <c r="C41" s="157"/>
      <c r="D41" s="131"/>
      <c r="E41" s="82"/>
      <c r="F41" s="85"/>
      <c r="G41" s="85"/>
      <c r="H41" s="85"/>
      <c r="I41" s="85"/>
      <c r="J41" s="85"/>
      <c r="K41" s="85"/>
      <c r="L41" s="85"/>
      <c r="M41" s="127"/>
      <c r="N41" s="85"/>
      <c r="O41" s="85"/>
      <c r="P41" s="127"/>
      <c r="Q41" s="85"/>
      <c r="R41" s="85"/>
      <c r="S41" s="85"/>
      <c r="T41" s="127"/>
      <c r="U41" s="127"/>
      <c r="V41" s="68"/>
      <c r="W41" s="68"/>
      <c r="X41" s="68"/>
      <c r="Y41" s="70"/>
      <c r="Z41" s="70"/>
    </row>
    <row r="42" spans="1:26" ht="15" hidden="1" customHeight="1" x14ac:dyDescent="0.25">
      <c r="A42" s="149"/>
      <c r="B42" s="162"/>
      <c r="C42" s="158"/>
      <c r="D42" s="126"/>
      <c r="E42" s="82"/>
      <c r="F42" s="82"/>
      <c r="G42" s="85"/>
      <c r="H42" s="85"/>
      <c r="I42" s="85"/>
      <c r="J42" s="85"/>
      <c r="K42" s="85"/>
      <c r="L42" s="85"/>
      <c r="M42" s="127"/>
      <c r="N42" s="85"/>
      <c r="O42" s="85"/>
      <c r="P42" s="127"/>
      <c r="Q42" s="85"/>
      <c r="R42" s="85"/>
      <c r="S42" s="85"/>
      <c r="T42" s="127"/>
      <c r="U42" s="127"/>
      <c r="V42" s="68"/>
      <c r="W42" s="68"/>
      <c r="X42" s="68"/>
      <c r="Y42" s="69"/>
      <c r="Z42" s="70"/>
    </row>
    <row r="43" spans="1:26" ht="15.75" hidden="1" customHeight="1" x14ac:dyDescent="0.25">
      <c r="A43" s="149"/>
      <c r="B43" s="162"/>
      <c r="C43" s="159"/>
      <c r="D43" s="126"/>
      <c r="E43" s="82"/>
      <c r="F43" s="82"/>
      <c r="G43" s="85"/>
      <c r="H43" s="85"/>
      <c r="I43" s="85"/>
      <c r="J43" s="85"/>
      <c r="K43" s="85"/>
      <c r="L43" s="85"/>
      <c r="M43" s="127"/>
      <c r="N43" s="85"/>
      <c r="O43" s="85"/>
      <c r="P43" s="127"/>
      <c r="Q43" s="85"/>
      <c r="R43" s="85"/>
      <c r="S43" s="85"/>
      <c r="T43" s="127"/>
      <c r="U43" s="127"/>
      <c r="V43" s="68"/>
      <c r="W43" s="68"/>
      <c r="X43" s="68"/>
      <c r="Y43" s="69"/>
      <c r="Z43" s="70"/>
    </row>
    <row r="44" spans="1:26" ht="15" hidden="1" customHeight="1" x14ac:dyDescent="0.25">
      <c r="A44" s="149"/>
      <c r="B44" s="162"/>
      <c r="C44" s="160"/>
      <c r="D44" s="148"/>
      <c r="E44" s="129"/>
      <c r="F44" s="129"/>
      <c r="G44" s="129"/>
      <c r="H44" s="129"/>
      <c r="I44" s="129"/>
      <c r="J44" s="129"/>
      <c r="K44" s="129"/>
      <c r="L44" s="129"/>
      <c r="M44" s="130"/>
      <c r="N44" s="129"/>
      <c r="O44" s="129"/>
      <c r="P44" s="130"/>
      <c r="Q44" s="129"/>
      <c r="R44" s="129"/>
      <c r="S44" s="129"/>
      <c r="T44" s="130"/>
      <c r="U44" s="130"/>
      <c r="V44" s="73"/>
      <c r="W44" s="73"/>
      <c r="X44" s="73"/>
      <c r="Y44" s="146"/>
      <c r="Z44" s="146"/>
    </row>
    <row r="45" spans="1:26" ht="15" hidden="1" customHeight="1" x14ac:dyDescent="0.25">
      <c r="A45" s="91"/>
      <c r="B45" s="162"/>
      <c r="C45" s="167"/>
      <c r="D45" s="131"/>
      <c r="E45" s="82"/>
      <c r="F45" s="85"/>
      <c r="G45" s="85"/>
      <c r="H45" s="85"/>
      <c r="I45" s="85"/>
      <c r="J45" s="85"/>
      <c r="K45" s="85"/>
      <c r="L45" s="85"/>
      <c r="M45" s="127"/>
      <c r="N45" s="85"/>
      <c r="O45" s="85"/>
      <c r="P45" s="127"/>
      <c r="Q45" s="85"/>
      <c r="R45" s="85"/>
      <c r="S45" s="85"/>
      <c r="T45" s="127"/>
      <c r="U45" s="127"/>
      <c r="V45" s="68"/>
      <c r="W45" s="68"/>
      <c r="X45" s="68"/>
      <c r="Y45" s="69"/>
      <c r="Z45" s="70"/>
    </row>
    <row r="46" spans="1:26" ht="15" hidden="1" customHeight="1" x14ac:dyDescent="0.25">
      <c r="A46" s="149"/>
      <c r="B46" s="162"/>
      <c r="C46" s="167"/>
      <c r="D46" s="132"/>
      <c r="E46" s="82"/>
      <c r="F46" s="133"/>
      <c r="G46" s="85"/>
      <c r="H46" s="85"/>
      <c r="I46" s="85"/>
      <c r="J46" s="85"/>
      <c r="K46" s="85"/>
      <c r="L46" s="85"/>
      <c r="M46" s="127"/>
      <c r="N46" s="85"/>
      <c r="O46" s="85"/>
      <c r="P46" s="127"/>
      <c r="Q46" s="85"/>
      <c r="R46" s="85"/>
      <c r="S46" s="85"/>
      <c r="T46" s="127"/>
      <c r="U46" s="127"/>
      <c r="V46" s="68"/>
      <c r="W46" s="68"/>
      <c r="X46" s="68"/>
      <c r="Y46" s="69"/>
      <c r="Z46" s="70"/>
    </row>
    <row r="47" spans="1:26" ht="15.75" hidden="1" x14ac:dyDescent="0.25">
      <c r="A47" s="149"/>
      <c r="B47" s="162"/>
      <c r="C47" s="167"/>
      <c r="D47" s="132"/>
      <c r="E47" s="82"/>
      <c r="F47" s="133"/>
      <c r="G47" s="85"/>
      <c r="H47" s="85"/>
      <c r="I47" s="85"/>
      <c r="J47" s="85"/>
      <c r="K47" s="85"/>
      <c r="L47" s="85"/>
      <c r="M47" s="127"/>
      <c r="N47" s="85"/>
      <c r="O47" s="85"/>
      <c r="P47" s="127"/>
      <c r="Q47" s="85"/>
      <c r="R47" s="85"/>
      <c r="S47" s="85"/>
      <c r="T47" s="127"/>
      <c r="U47" s="127"/>
      <c r="V47" s="68"/>
      <c r="W47" s="68"/>
      <c r="X47" s="68"/>
      <c r="Y47" s="69"/>
      <c r="Z47" s="70"/>
    </row>
    <row r="48" spans="1:26" ht="15.75" hidden="1" x14ac:dyDescent="0.25">
      <c r="A48" s="149"/>
      <c r="B48" s="162"/>
      <c r="C48" s="167"/>
      <c r="D48" s="132"/>
      <c r="E48" s="82"/>
      <c r="F48" s="133"/>
      <c r="G48" s="85"/>
      <c r="H48" s="85"/>
      <c r="I48" s="85"/>
      <c r="J48" s="85"/>
      <c r="K48" s="85"/>
      <c r="L48" s="85"/>
      <c r="M48" s="127"/>
      <c r="N48" s="85"/>
      <c r="O48" s="85"/>
      <c r="P48" s="127"/>
      <c r="Q48" s="85"/>
      <c r="R48" s="85"/>
      <c r="S48" s="85"/>
      <c r="T48" s="127"/>
      <c r="U48" s="127"/>
      <c r="V48" s="68"/>
      <c r="W48" s="68"/>
      <c r="X48" s="68"/>
      <c r="Y48" s="69"/>
      <c r="Z48" s="70"/>
    </row>
    <row r="49" spans="1:26" ht="15.75" hidden="1" x14ac:dyDescent="0.25">
      <c r="A49" s="149"/>
      <c r="B49" s="162"/>
      <c r="C49" s="129"/>
      <c r="D49" s="148"/>
      <c r="E49" s="129"/>
      <c r="F49" s="129"/>
      <c r="G49" s="129"/>
      <c r="H49" s="129"/>
      <c r="I49" s="129"/>
      <c r="J49" s="129"/>
      <c r="K49" s="129"/>
      <c r="L49" s="129"/>
      <c r="M49" s="130"/>
      <c r="N49" s="129"/>
      <c r="O49" s="129"/>
      <c r="P49" s="130"/>
      <c r="Q49" s="129"/>
      <c r="R49" s="129"/>
      <c r="S49" s="129"/>
      <c r="T49" s="130"/>
      <c r="U49" s="130"/>
      <c r="V49" s="73"/>
      <c r="W49" s="73"/>
      <c r="X49" s="73"/>
      <c r="Y49" s="146"/>
      <c r="Z49" s="146"/>
    </row>
    <row r="50" spans="1:26" ht="15.75" hidden="1" customHeight="1" x14ac:dyDescent="0.25">
      <c r="A50" s="91"/>
      <c r="B50" s="162"/>
      <c r="C50" s="129"/>
      <c r="D50" s="148"/>
      <c r="E50" s="129"/>
      <c r="F50" s="129"/>
      <c r="G50" s="129"/>
      <c r="H50" s="129"/>
      <c r="I50" s="129"/>
      <c r="J50" s="129"/>
      <c r="K50" s="129"/>
      <c r="L50" s="129"/>
      <c r="M50" s="130"/>
      <c r="N50" s="129"/>
      <c r="O50" s="129"/>
      <c r="P50" s="130"/>
      <c r="Q50" s="129"/>
      <c r="R50" s="129"/>
      <c r="S50" s="129"/>
      <c r="T50" s="130"/>
      <c r="U50" s="130"/>
      <c r="V50" s="73"/>
      <c r="W50" s="73"/>
      <c r="X50" s="73"/>
      <c r="Y50" s="146"/>
      <c r="Z50" s="146"/>
    </row>
    <row r="51" spans="1:26" ht="15.75" hidden="1" customHeight="1" x14ac:dyDescent="0.25">
      <c r="A51" s="149"/>
      <c r="B51" s="162"/>
      <c r="C51" s="85"/>
      <c r="D51" s="131"/>
      <c r="E51" s="82"/>
      <c r="F51" s="85"/>
      <c r="G51" s="85"/>
      <c r="H51" s="85"/>
      <c r="I51" s="85"/>
      <c r="J51" s="85"/>
      <c r="K51" s="85"/>
      <c r="L51" s="85"/>
      <c r="M51" s="127"/>
      <c r="N51" s="85"/>
      <c r="O51" s="85"/>
      <c r="P51" s="127"/>
      <c r="Q51" s="85"/>
      <c r="R51" s="85"/>
      <c r="S51" s="85"/>
      <c r="T51" s="127"/>
      <c r="U51" s="127"/>
      <c r="V51" s="68"/>
      <c r="W51" s="72"/>
      <c r="X51" s="72"/>
      <c r="Y51" s="71"/>
      <c r="Z51" s="72"/>
    </row>
    <row r="52" spans="1:26" ht="15.75" hidden="1" customHeight="1" x14ac:dyDescent="0.25">
      <c r="A52" s="149"/>
      <c r="B52" s="162"/>
      <c r="C52" s="86"/>
      <c r="D52" s="148"/>
      <c r="E52" s="129"/>
      <c r="F52" s="129"/>
      <c r="G52" s="129"/>
      <c r="H52" s="129"/>
      <c r="I52" s="129"/>
      <c r="J52" s="129"/>
      <c r="K52" s="129"/>
      <c r="L52" s="129"/>
      <c r="M52" s="130"/>
      <c r="N52" s="129"/>
      <c r="O52" s="129"/>
      <c r="P52" s="130"/>
      <c r="Q52" s="129"/>
      <c r="R52" s="129"/>
      <c r="S52" s="129"/>
      <c r="T52" s="130"/>
      <c r="U52" s="130"/>
      <c r="V52" s="66"/>
      <c r="W52" s="74"/>
      <c r="X52" s="74"/>
      <c r="Y52" s="74"/>
      <c r="Z52" s="74"/>
    </row>
    <row r="53" spans="1:26" ht="15" hidden="1" customHeight="1" x14ac:dyDescent="0.25">
      <c r="A53" s="91"/>
      <c r="B53" s="162"/>
      <c r="C53" s="85"/>
      <c r="D53" s="131"/>
      <c r="E53" s="82"/>
      <c r="F53" s="85"/>
      <c r="G53" s="85"/>
      <c r="H53" s="85"/>
      <c r="I53" s="85"/>
      <c r="J53" s="85"/>
      <c r="K53" s="85"/>
      <c r="L53" s="85"/>
      <c r="M53" s="127"/>
      <c r="N53" s="85"/>
      <c r="O53" s="85"/>
      <c r="P53" s="127"/>
      <c r="Q53" s="85"/>
      <c r="R53" s="85"/>
      <c r="S53" s="85"/>
      <c r="T53" s="127"/>
      <c r="U53" s="127"/>
      <c r="V53" s="68"/>
      <c r="W53" s="72"/>
      <c r="X53" s="72"/>
      <c r="Y53" s="72"/>
      <c r="Z53" s="72"/>
    </row>
    <row r="54" spans="1:26" ht="15.75" hidden="1" x14ac:dyDescent="0.25">
      <c r="A54" s="149"/>
      <c r="B54" s="162"/>
      <c r="C54" s="85"/>
      <c r="D54" s="131"/>
      <c r="E54" s="82"/>
      <c r="F54" s="85"/>
      <c r="G54" s="85"/>
      <c r="H54" s="85"/>
      <c r="I54" s="85"/>
      <c r="J54" s="85"/>
      <c r="K54" s="85"/>
      <c r="L54" s="85"/>
      <c r="M54" s="127"/>
      <c r="N54" s="85"/>
      <c r="O54" s="85"/>
      <c r="P54" s="127"/>
      <c r="Q54" s="85"/>
      <c r="R54" s="85"/>
      <c r="S54" s="85"/>
      <c r="T54" s="127"/>
      <c r="U54" s="127"/>
      <c r="V54" s="70"/>
      <c r="W54" s="70"/>
      <c r="X54" s="70"/>
      <c r="Y54" s="69"/>
      <c r="Z54" s="70"/>
    </row>
    <row r="55" spans="1:26" ht="15.75" hidden="1" x14ac:dyDescent="0.25">
      <c r="A55" s="149"/>
      <c r="B55" s="162"/>
      <c r="C55" s="86"/>
      <c r="D55" s="128"/>
      <c r="E55" s="129"/>
      <c r="F55" s="129"/>
      <c r="G55" s="129"/>
      <c r="H55" s="129"/>
      <c r="I55" s="129"/>
      <c r="J55" s="129"/>
      <c r="K55" s="129"/>
      <c r="L55" s="129"/>
      <c r="M55" s="130"/>
      <c r="N55" s="129"/>
      <c r="O55" s="129"/>
      <c r="P55" s="130"/>
      <c r="Q55" s="129"/>
      <c r="R55" s="129"/>
      <c r="S55" s="129"/>
      <c r="T55" s="130"/>
      <c r="U55" s="130"/>
      <c r="V55" s="67"/>
      <c r="W55" s="67"/>
      <c r="X55" s="67"/>
      <c r="Y55" s="67"/>
      <c r="Z55" s="67"/>
    </row>
    <row r="56" spans="1:26" ht="15.75" hidden="1" x14ac:dyDescent="0.25">
      <c r="A56" s="91"/>
      <c r="B56" s="162"/>
      <c r="C56" s="157"/>
      <c r="D56" s="131"/>
      <c r="E56" s="82"/>
      <c r="F56" s="82"/>
      <c r="G56" s="82"/>
      <c r="H56" s="85"/>
      <c r="I56" s="85"/>
      <c r="J56" s="85"/>
      <c r="K56" s="85"/>
      <c r="L56" s="85"/>
      <c r="M56" s="127"/>
      <c r="N56" s="85"/>
      <c r="O56" s="85"/>
      <c r="P56" s="127"/>
      <c r="Q56" s="85"/>
      <c r="R56" s="85"/>
      <c r="S56" s="85"/>
      <c r="T56" s="127"/>
      <c r="U56" s="127"/>
      <c r="V56" s="68"/>
      <c r="W56" s="72"/>
      <c r="X56" s="72"/>
      <c r="Y56" s="71"/>
      <c r="Z56" s="72"/>
    </row>
    <row r="57" spans="1:26" ht="15" hidden="1" customHeight="1" x14ac:dyDescent="0.25">
      <c r="A57" s="161"/>
      <c r="B57" s="162"/>
      <c r="C57" s="158"/>
      <c r="D57" s="126"/>
      <c r="E57" s="82"/>
      <c r="F57" s="82"/>
      <c r="G57" s="85"/>
      <c r="H57" s="85"/>
      <c r="I57" s="85"/>
      <c r="J57" s="85"/>
      <c r="K57" s="85"/>
      <c r="L57" s="85"/>
      <c r="M57" s="127"/>
      <c r="N57" s="85"/>
      <c r="O57" s="85"/>
      <c r="P57" s="127"/>
      <c r="Q57" s="85"/>
      <c r="R57" s="85"/>
      <c r="S57" s="85"/>
      <c r="T57" s="127"/>
      <c r="U57" s="127"/>
      <c r="V57" s="68"/>
      <c r="W57" s="72"/>
      <c r="X57" s="72"/>
      <c r="Y57" s="71"/>
      <c r="Z57" s="72"/>
    </row>
    <row r="58" spans="1:26" ht="15" hidden="1" customHeight="1" x14ac:dyDescent="0.25">
      <c r="A58" s="161"/>
      <c r="B58" s="162"/>
      <c r="C58" s="158"/>
      <c r="D58" s="126"/>
      <c r="E58" s="82"/>
      <c r="F58" s="82"/>
      <c r="G58" s="85"/>
      <c r="H58" s="85"/>
      <c r="I58" s="85"/>
      <c r="J58" s="85"/>
      <c r="K58" s="85"/>
      <c r="L58" s="85"/>
      <c r="M58" s="127"/>
      <c r="N58" s="85"/>
      <c r="O58" s="85"/>
      <c r="P58" s="127"/>
      <c r="Q58" s="85"/>
      <c r="R58" s="85"/>
      <c r="S58" s="85"/>
      <c r="T58" s="127"/>
      <c r="U58" s="127"/>
      <c r="V58" s="68"/>
      <c r="W58" s="72"/>
      <c r="X58" s="72"/>
      <c r="Y58" s="71"/>
      <c r="Z58" s="72"/>
    </row>
    <row r="59" spans="1:26" ht="15.75" hidden="1" x14ac:dyDescent="0.25">
      <c r="A59" s="161"/>
      <c r="B59" s="162"/>
      <c r="C59" s="159"/>
      <c r="D59" s="164"/>
      <c r="E59" s="166"/>
      <c r="F59" s="166"/>
      <c r="G59" s="153"/>
      <c r="H59" s="153"/>
      <c r="I59" s="153"/>
      <c r="J59" s="153"/>
      <c r="K59" s="153"/>
      <c r="L59" s="153"/>
      <c r="M59" s="170"/>
      <c r="N59" s="153"/>
      <c r="O59" s="153"/>
      <c r="P59" s="170"/>
      <c r="Q59" s="153"/>
      <c r="R59" s="153"/>
      <c r="S59" s="153"/>
      <c r="T59" s="170"/>
      <c r="U59" s="170"/>
      <c r="V59" s="68"/>
      <c r="W59" s="72"/>
      <c r="X59" s="72"/>
      <c r="Y59" s="71"/>
      <c r="Z59" s="72"/>
    </row>
    <row r="60" spans="1:26" ht="15.75" hidden="1" x14ac:dyDescent="0.25">
      <c r="A60" s="161"/>
      <c r="B60" s="162"/>
      <c r="C60" s="163"/>
      <c r="D60" s="165"/>
      <c r="E60" s="160"/>
      <c r="F60" s="160"/>
      <c r="G60" s="160"/>
      <c r="H60" s="160"/>
      <c r="I60" s="160"/>
      <c r="J60" s="160"/>
      <c r="K60" s="160"/>
      <c r="L60" s="160"/>
      <c r="M60" s="171"/>
      <c r="N60" s="160"/>
      <c r="O60" s="160"/>
      <c r="P60" s="171"/>
      <c r="Q60" s="160"/>
      <c r="R60" s="160"/>
      <c r="S60" s="160"/>
      <c r="T60" s="171"/>
      <c r="U60" s="171"/>
      <c r="V60" s="168"/>
      <c r="W60" s="168"/>
      <c r="X60" s="168"/>
      <c r="Y60" s="168"/>
      <c r="Z60" s="168"/>
    </row>
    <row r="61" spans="1:26" ht="15.75" hidden="1" x14ac:dyDescent="0.25">
      <c r="A61" s="161"/>
      <c r="B61" s="162"/>
      <c r="C61" s="153"/>
      <c r="D61" s="164"/>
      <c r="E61" s="166"/>
      <c r="F61" s="166"/>
      <c r="G61" s="153"/>
      <c r="H61" s="153"/>
      <c r="I61" s="153"/>
      <c r="J61" s="153"/>
      <c r="K61" s="153"/>
      <c r="L61" s="153"/>
      <c r="M61" s="170"/>
      <c r="N61" s="153"/>
      <c r="O61" s="153"/>
      <c r="P61" s="170"/>
      <c r="Q61" s="153"/>
      <c r="R61" s="153"/>
      <c r="S61" s="153"/>
      <c r="T61" s="170"/>
      <c r="U61" s="170"/>
      <c r="V61" s="169"/>
      <c r="W61" s="169"/>
      <c r="X61" s="169"/>
      <c r="Y61" s="169"/>
      <c r="Z61" s="169"/>
    </row>
    <row r="62" spans="1:26" ht="15.75" hidden="1" x14ac:dyDescent="0.25">
      <c r="A62" s="161"/>
      <c r="B62" s="162"/>
      <c r="C62" s="163"/>
      <c r="D62" s="165"/>
      <c r="E62" s="160"/>
      <c r="F62" s="160"/>
      <c r="G62" s="129"/>
      <c r="H62" s="129"/>
      <c r="I62" s="129"/>
      <c r="J62" s="129"/>
      <c r="K62" s="129"/>
      <c r="L62" s="129"/>
      <c r="M62" s="130"/>
      <c r="N62" s="129"/>
      <c r="O62" s="129"/>
      <c r="P62" s="130"/>
      <c r="Q62" s="129"/>
      <c r="R62" s="129"/>
      <c r="S62" s="129"/>
      <c r="T62" s="130"/>
      <c r="U62" s="171"/>
      <c r="V62" s="67"/>
      <c r="W62" s="67"/>
      <c r="X62" s="67"/>
      <c r="Y62" s="67"/>
      <c r="Z62" s="67"/>
    </row>
    <row r="63" spans="1:26" ht="15.75" hidden="1" x14ac:dyDescent="0.25">
      <c r="A63" s="172"/>
      <c r="B63" s="173"/>
      <c r="C63" s="173"/>
      <c r="D63" s="174"/>
      <c r="E63" s="88"/>
      <c r="F63" s="88"/>
      <c r="G63" s="88"/>
      <c r="H63" s="88"/>
      <c r="I63" s="88"/>
      <c r="J63" s="88"/>
      <c r="K63" s="88"/>
      <c r="L63" s="88"/>
      <c r="M63" s="134"/>
      <c r="N63" s="88"/>
      <c r="O63" s="88"/>
      <c r="P63" s="134"/>
      <c r="Q63" s="88"/>
      <c r="R63" s="88"/>
      <c r="S63" s="88"/>
      <c r="T63" s="134"/>
      <c r="U63" s="134"/>
      <c r="V63" s="75"/>
      <c r="W63" s="75"/>
      <c r="X63" s="75"/>
      <c r="Y63" s="75"/>
      <c r="Z63" s="75"/>
    </row>
    <row r="64" spans="1:26" x14ac:dyDescent="0.2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180"/>
      <c r="W64" s="180"/>
      <c r="X64" s="180"/>
      <c r="Y64" s="180"/>
      <c r="Z64" s="180"/>
    </row>
    <row r="65" spans="1:26" ht="15.75" x14ac:dyDescent="0.25">
      <c r="A65" s="135" t="s">
        <v>121</v>
      </c>
      <c r="B65" s="136"/>
      <c r="C65" s="90"/>
      <c r="D65" s="90"/>
      <c r="E65" s="82"/>
      <c r="F65" s="90"/>
      <c r="G65" s="90"/>
      <c r="H65" s="85"/>
      <c r="I65" s="85"/>
      <c r="J65" s="90"/>
      <c r="K65" s="85"/>
      <c r="L65" s="85"/>
      <c r="M65" s="90"/>
      <c r="N65" s="85"/>
      <c r="O65" s="85"/>
      <c r="P65" s="90"/>
      <c r="Q65" s="85"/>
      <c r="R65" s="85"/>
      <c r="S65" s="85"/>
      <c r="T65" s="90"/>
      <c r="U65" s="90"/>
      <c r="V65" s="90"/>
      <c r="W65" s="90"/>
      <c r="X65" s="90"/>
      <c r="Y65" s="90"/>
      <c r="Z65" s="90"/>
    </row>
    <row r="66" spans="1:26" x14ac:dyDescent="0.25">
      <c r="A66" s="269" t="s">
        <v>1</v>
      </c>
      <c r="B66" s="269" t="s">
        <v>2</v>
      </c>
      <c r="C66" s="267" t="s">
        <v>3</v>
      </c>
      <c r="D66" s="267" t="s">
        <v>4</v>
      </c>
      <c r="E66" s="268" t="s">
        <v>5</v>
      </c>
      <c r="F66" s="267" t="s">
        <v>6</v>
      </c>
      <c r="G66" s="267" t="s">
        <v>7</v>
      </c>
      <c r="H66" s="267" t="s">
        <v>8</v>
      </c>
      <c r="I66" s="268" t="s">
        <v>9</v>
      </c>
      <c r="J66" s="267" t="s">
        <v>10</v>
      </c>
      <c r="K66" s="267" t="s">
        <v>11</v>
      </c>
      <c r="L66" s="267" t="s">
        <v>12</v>
      </c>
      <c r="M66" s="267" t="s">
        <v>13</v>
      </c>
      <c r="N66" s="267" t="s">
        <v>14</v>
      </c>
      <c r="O66" s="267" t="s">
        <v>15</v>
      </c>
      <c r="P66" s="267" t="s">
        <v>16</v>
      </c>
      <c r="Q66" s="267" t="s">
        <v>17</v>
      </c>
      <c r="R66" s="267" t="s">
        <v>18</v>
      </c>
      <c r="S66" s="267" t="s">
        <v>19</v>
      </c>
      <c r="T66" s="267" t="s">
        <v>20</v>
      </c>
      <c r="U66" s="279" t="s">
        <v>21</v>
      </c>
      <c r="V66" s="76" t="s">
        <v>22</v>
      </c>
      <c r="W66" s="76" t="s">
        <v>23</v>
      </c>
      <c r="X66" s="76" t="s">
        <v>24</v>
      </c>
      <c r="Y66" s="76" t="s">
        <v>25</v>
      </c>
      <c r="Z66" s="76" t="s">
        <v>26</v>
      </c>
    </row>
    <row r="67" spans="1:26" ht="15" customHeight="1" x14ac:dyDescent="0.25">
      <c r="A67" s="269"/>
      <c r="B67" s="269"/>
      <c r="C67" s="267"/>
      <c r="D67" s="267"/>
      <c r="E67" s="268"/>
      <c r="F67" s="267"/>
      <c r="G67" s="267"/>
      <c r="H67" s="267"/>
      <c r="I67" s="268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79"/>
      <c r="V67" s="278" t="s">
        <v>27</v>
      </c>
      <c r="W67" s="278" t="s">
        <v>28</v>
      </c>
      <c r="X67" s="278" t="s">
        <v>29</v>
      </c>
      <c r="Y67" s="278" t="s">
        <v>30</v>
      </c>
      <c r="Z67" s="278" t="s">
        <v>31</v>
      </c>
    </row>
    <row r="68" spans="1:26" ht="15" customHeight="1" x14ac:dyDescent="0.25">
      <c r="A68" s="269"/>
      <c r="B68" s="269"/>
      <c r="C68" s="267"/>
      <c r="D68" s="267"/>
      <c r="E68" s="268"/>
      <c r="F68" s="267"/>
      <c r="G68" s="267"/>
      <c r="H68" s="267"/>
      <c r="I68" s="268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79"/>
      <c r="V68" s="280"/>
      <c r="W68" s="278"/>
      <c r="X68" s="278"/>
      <c r="Y68" s="278"/>
      <c r="Z68" s="278"/>
    </row>
    <row r="69" spans="1:26" x14ac:dyDescent="0.25">
      <c r="A69" s="269"/>
      <c r="B69" s="269"/>
      <c r="C69" s="267"/>
      <c r="D69" s="267"/>
      <c r="E69" s="268"/>
      <c r="F69" s="267"/>
      <c r="G69" s="124">
        <v>1</v>
      </c>
      <c r="H69" s="124">
        <v>2</v>
      </c>
      <c r="I69" s="124">
        <v>3</v>
      </c>
      <c r="J69" s="124">
        <v>4</v>
      </c>
      <c r="K69" s="124">
        <v>5</v>
      </c>
      <c r="L69" s="124">
        <v>6</v>
      </c>
      <c r="M69" s="124">
        <v>7</v>
      </c>
      <c r="N69" s="124">
        <v>8</v>
      </c>
      <c r="O69" s="124">
        <v>9</v>
      </c>
      <c r="P69" s="124">
        <v>10</v>
      </c>
      <c r="Q69" s="124">
        <v>11</v>
      </c>
      <c r="R69" s="124">
        <v>12</v>
      </c>
      <c r="S69" s="124">
        <v>13</v>
      </c>
      <c r="T69" s="124">
        <v>14</v>
      </c>
      <c r="U69" s="279"/>
      <c r="V69" s="123">
        <v>15</v>
      </c>
      <c r="W69" s="123">
        <v>16</v>
      </c>
      <c r="X69" s="123">
        <v>17</v>
      </c>
      <c r="Y69" s="123">
        <v>18</v>
      </c>
      <c r="Z69" s="123">
        <v>19</v>
      </c>
    </row>
    <row r="70" spans="1:26" ht="15.75" x14ac:dyDescent="0.25">
      <c r="A70" s="149">
        <v>1</v>
      </c>
      <c r="B70" s="149"/>
      <c r="C70" s="28" t="s">
        <v>47</v>
      </c>
      <c r="D70" s="150" t="s">
        <v>112</v>
      </c>
      <c r="E70" s="88">
        <v>122</v>
      </c>
      <c r="F70" s="88">
        <v>8</v>
      </c>
      <c r="G70" s="88">
        <v>0</v>
      </c>
      <c r="H70" s="88">
        <v>139</v>
      </c>
      <c r="I70" s="88">
        <v>48</v>
      </c>
      <c r="J70" s="88">
        <v>187</v>
      </c>
      <c r="K70" s="88">
        <v>60</v>
      </c>
      <c r="L70" s="88">
        <v>110</v>
      </c>
      <c r="M70" s="134">
        <v>9</v>
      </c>
      <c r="N70" s="88">
        <v>3</v>
      </c>
      <c r="O70" s="88">
        <v>6</v>
      </c>
      <c r="P70" s="134">
        <v>179</v>
      </c>
      <c r="Q70" s="88">
        <v>421</v>
      </c>
      <c r="R70" s="88">
        <v>2</v>
      </c>
      <c r="S70" s="88">
        <v>504</v>
      </c>
      <c r="T70" s="134">
        <v>8</v>
      </c>
      <c r="U70" s="134">
        <v>119</v>
      </c>
      <c r="V70" s="147">
        <v>4.1311475409836067</v>
      </c>
      <c r="W70" s="147">
        <v>51.639344262295083</v>
      </c>
      <c r="X70" s="147">
        <v>4.2352941176470589</v>
      </c>
      <c r="Y70" s="75">
        <v>3.9663865546218489</v>
      </c>
      <c r="Z70" s="75">
        <v>14.875</v>
      </c>
    </row>
    <row r="71" spans="1:26" ht="15.75" x14ac:dyDescent="0.25">
      <c r="A71" s="149">
        <v>2</v>
      </c>
      <c r="B71" s="149"/>
      <c r="C71" s="85" t="s">
        <v>54</v>
      </c>
      <c r="D71" s="85" t="s">
        <v>55</v>
      </c>
      <c r="E71" s="85">
        <v>365</v>
      </c>
      <c r="F71" s="85">
        <v>2</v>
      </c>
      <c r="G71" s="85">
        <v>2</v>
      </c>
      <c r="H71" s="85">
        <v>44</v>
      </c>
      <c r="I71" s="85">
        <v>31</v>
      </c>
      <c r="J71" s="85">
        <v>77</v>
      </c>
      <c r="K71" s="85">
        <v>10</v>
      </c>
      <c r="L71" s="85">
        <v>60</v>
      </c>
      <c r="M71" s="127">
        <v>7</v>
      </c>
      <c r="N71" s="85">
        <v>1</v>
      </c>
      <c r="O71" s="85">
        <v>6</v>
      </c>
      <c r="P71" s="127">
        <v>77</v>
      </c>
      <c r="Q71" s="85">
        <v>272</v>
      </c>
      <c r="R71" s="85">
        <v>0</v>
      </c>
      <c r="S71" s="85">
        <v>294</v>
      </c>
      <c r="T71" s="127">
        <v>0</v>
      </c>
      <c r="U71" s="127">
        <v>67</v>
      </c>
      <c r="V71" s="68">
        <v>0.80547945205479454</v>
      </c>
      <c r="W71" s="72">
        <v>40.273972602739725</v>
      </c>
      <c r="X71" s="72">
        <v>4.3880597014925371</v>
      </c>
      <c r="Y71" s="72">
        <v>6.5074626865671643</v>
      </c>
      <c r="Z71" s="72">
        <v>33.5</v>
      </c>
    </row>
    <row r="72" spans="1:26" ht="15.75" x14ac:dyDescent="0.25">
      <c r="A72" s="149">
        <v>3</v>
      </c>
      <c r="B72" s="149"/>
      <c r="C72" s="85" t="s">
        <v>62</v>
      </c>
      <c r="D72" s="85" t="s">
        <v>55</v>
      </c>
      <c r="E72" s="82">
        <v>365</v>
      </c>
      <c r="F72" s="85">
        <v>8</v>
      </c>
      <c r="G72" s="85">
        <v>4</v>
      </c>
      <c r="H72" s="82">
        <v>367</v>
      </c>
      <c r="I72" s="82">
        <v>61</v>
      </c>
      <c r="J72" s="85">
        <v>432</v>
      </c>
      <c r="K72" s="82">
        <v>49</v>
      </c>
      <c r="L72" s="82">
        <v>353</v>
      </c>
      <c r="M72" s="127">
        <v>26</v>
      </c>
      <c r="N72" s="82">
        <v>13</v>
      </c>
      <c r="O72" s="82">
        <v>13</v>
      </c>
      <c r="P72" s="127">
        <v>428</v>
      </c>
      <c r="Q72" s="82">
        <v>1291</v>
      </c>
      <c r="R72" s="82">
        <v>4</v>
      </c>
      <c r="S72" s="82">
        <v>1403</v>
      </c>
      <c r="T72" s="127">
        <v>4</v>
      </c>
      <c r="U72" s="127">
        <v>379</v>
      </c>
      <c r="V72" s="68">
        <v>3.8438356164383563</v>
      </c>
      <c r="W72" s="72">
        <v>48.047945205479451</v>
      </c>
      <c r="X72" s="72">
        <v>3.7018469656992083</v>
      </c>
      <c r="Y72" s="71">
        <v>4.0026385224274401</v>
      </c>
      <c r="Z72" s="72">
        <v>47.375</v>
      </c>
    </row>
    <row r="73" spans="1:26" ht="15.75" x14ac:dyDescent="0.25">
      <c r="A73" s="336" t="s">
        <v>123</v>
      </c>
      <c r="B73" s="336"/>
      <c r="C73" s="336"/>
      <c r="D73" s="336"/>
      <c r="E73" s="88">
        <v>365</v>
      </c>
      <c r="F73" s="78">
        <f>SUM(F71:F72)</f>
        <v>10</v>
      </c>
      <c r="G73" s="78">
        <f>SUM(G71:G72)</f>
        <v>6</v>
      </c>
      <c r="H73" s="78">
        <f>SUM(H71:H72)</f>
        <v>411</v>
      </c>
      <c r="I73" s="78">
        <f>SUM(I71:I72)</f>
        <v>92</v>
      </c>
      <c r="J73" s="88">
        <f t="shared" ref="J73" si="40">+G73+H73+I73</f>
        <v>509</v>
      </c>
      <c r="K73" s="78">
        <f>SUM(K71:K72)</f>
        <v>59</v>
      </c>
      <c r="L73" s="78">
        <f>SUM(L71:L72)</f>
        <v>413</v>
      </c>
      <c r="M73" s="134">
        <f t="shared" ref="M73" si="41">+N73+O73</f>
        <v>33</v>
      </c>
      <c r="N73" s="78">
        <f>SUM(N71:N72)</f>
        <v>14</v>
      </c>
      <c r="O73" s="78">
        <f>SUM(O71:O72)</f>
        <v>19</v>
      </c>
      <c r="P73" s="134">
        <f t="shared" ref="P73" si="42">+K73+L73+M73</f>
        <v>505</v>
      </c>
      <c r="Q73" s="78">
        <f>SUM(Q71:Q72)</f>
        <v>1563</v>
      </c>
      <c r="R73" s="78">
        <f>SUM(R71:R72)</f>
        <v>4</v>
      </c>
      <c r="S73" s="78">
        <f>SUM(S71:S72)</f>
        <v>1697</v>
      </c>
      <c r="T73" s="134">
        <f t="shared" ref="T73" si="43">J73-P73</f>
        <v>4</v>
      </c>
      <c r="U73" s="134">
        <f t="shared" ref="U73" si="44">+L73+M73</f>
        <v>446</v>
      </c>
      <c r="V73" s="75">
        <f t="shared" ref="V73" si="45">$S73/$E73</f>
        <v>4.6493150684931503</v>
      </c>
      <c r="W73" s="75">
        <f t="shared" ref="W73" si="46">$V73/$F73*100</f>
        <v>46.493150684931507</v>
      </c>
      <c r="X73" s="75">
        <f t="shared" ref="X73" si="47">$S73/($L73+$M73)</f>
        <v>3.804932735426009</v>
      </c>
      <c r="Y73" s="75">
        <f t="shared" ref="Y73" si="48">(($F73-$V73)*$E73)/($L73+$M73)</f>
        <v>4.3789237668161443</v>
      </c>
      <c r="Z73" s="75">
        <f t="shared" ref="Z73" si="49">($L73+$M73)/$F73</f>
        <v>44.6</v>
      </c>
    </row>
    <row r="74" spans="1:26" ht="18.75" x14ac:dyDescent="0.25">
      <c r="A74" s="337"/>
      <c r="B74" s="337"/>
      <c r="C74" s="337"/>
      <c r="D74" s="337"/>
      <c r="E74" s="82"/>
      <c r="F74" s="137"/>
      <c r="G74" s="137"/>
      <c r="H74" s="85"/>
      <c r="I74" s="85"/>
      <c r="J74" s="137"/>
      <c r="K74" s="85"/>
      <c r="L74" s="85"/>
      <c r="M74" s="137"/>
      <c r="N74" s="85"/>
      <c r="O74" s="85"/>
      <c r="P74" s="137"/>
      <c r="Q74" s="85"/>
      <c r="R74" s="85"/>
      <c r="S74" s="85"/>
      <c r="T74" s="137"/>
      <c r="U74" s="137"/>
      <c r="V74" s="138"/>
      <c r="W74" s="77"/>
      <c r="X74" s="77"/>
      <c r="Y74" s="77"/>
      <c r="Z74" s="77"/>
    </row>
    <row r="75" spans="1:26" x14ac:dyDescent="0.25">
      <c r="A75" s="269" t="s">
        <v>1</v>
      </c>
      <c r="B75" s="269" t="s">
        <v>2</v>
      </c>
      <c r="C75" s="267" t="s">
        <v>3</v>
      </c>
      <c r="D75" s="267" t="s">
        <v>4</v>
      </c>
      <c r="E75" s="268" t="s">
        <v>5</v>
      </c>
      <c r="F75" s="267" t="s">
        <v>6</v>
      </c>
      <c r="G75" s="267" t="s">
        <v>7</v>
      </c>
      <c r="H75" s="267" t="s">
        <v>8</v>
      </c>
      <c r="I75" s="268" t="s">
        <v>9</v>
      </c>
      <c r="J75" s="267" t="s">
        <v>10</v>
      </c>
      <c r="K75" s="267" t="s">
        <v>11</v>
      </c>
      <c r="L75" s="267" t="s">
        <v>12</v>
      </c>
      <c r="M75" s="267" t="s">
        <v>13</v>
      </c>
      <c r="N75" s="267" t="s">
        <v>14</v>
      </c>
      <c r="O75" s="267" t="s">
        <v>15</v>
      </c>
      <c r="P75" s="267" t="s">
        <v>16</v>
      </c>
      <c r="Q75" s="267" t="s">
        <v>17</v>
      </c>
      <c r="R75" s="267" t="s">
        <v>18</v>
      </c>
      <c r="S75" s="267" t="s">
        <v>19</v>
      </c>
      <c r="T75" s="267" t="s">
        <v>20</v>
      </c>
      <c r="U75" s="279" t="s">
        <v>21</v>
      </c>
      <c r="V75" s="76" t="s">
        <v>22</v>
      </c>
      <c r="W75" s="76" t="s">
        <v>23</v>
      </c>
      <c r="X75" s="76" t="s">
        <v>24</v>
      </c>
      <c r="Y75" s="76" t="s">
        <v>25</v>
      </c>
      <c r="Z75" s="76" t="s">
        <v>26</v>
      </c>
    </row>
    <row r="76" spans="1:26" x14ac:dyDescent="0.25">
      <c r="A76" s="269"/>
      <c r="B76" s="269"/>
      <c r="C76" s="267"/>
      <c r="D76" s="267"/>
      <c r="E76" s="268"/>
      <c r="F76" s="267"/>
      <c r="G76" s="267"/>
      <c r="H76" s="267"/>
      <c r="I76" s="268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79"/>
      <c r="V76" s="278" t="s">
        <v>27</v>
      </c>
      <c r="W76" s="278" t="s">
        <v>28</v>
      </c>
      <c r="X76" s="278" t="s">
        <v>29</v>
      </c>
      <c r="Y76" s="278" t="s">
        <v>30</v>
      </c>
      <c r="Z76" s="278" t="s">
        <v>31</v>
      </c>
    </row>
    <row r="77" spans="1:26" x14ac:dyDescent="0.25">
      <c r="A77" s="269"/>
      <c r="B77" s="269"/>
      <c r="C77" s="267"/>
      <c r="D77" s="267"/>
      <c r="E77" s="268"/>
      <c r="F77" s="267"/>
      <c r="G77" s="267"/>
      <c r="H77" s="267"/>
      <c r="I77" s="268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79"/>
      <c r="V77" s="280"/>
      <c r="W77" s="278"/>
      <c r="X77" s="278"/>
      <c r="Y77" s="278"/>
      <c r="Z77" s="278"/>
    </row>
    <row r="78" spans="1:26" x14ac:dyDescent="0.25">
      <c r="A78" s="269"/>
      <c r="B78" s="269"/>
      <c r="C78" s="267"/>
      <c r="D78" s="267"/>
      <c r="E78" s="268"/>
      <c r="F78" s="267"/>
      <c r="G78" s="124">
        <v>1</v>
      </c>
      <c r="H78" s="124">
        <v>2</v>
      </c>
      <c r="I78" s="124">
        <v>3</v>
      </c>
      <c r="J78" s="124">
        <v>4</v>
      </c>
      <c r="K78" s="124">
        <v>5</v>
      </c>
      <c r="L78" s="124">
        <v>6</v>
      </c>
      <c r="M78" s="124">
        <v>7</v>
      </c>
      <c r="N78" s="124">
        <v>8</v>
      </c>
      <c r="O78" s="124">
        <v>9</v>
      </c>
      <c r="P78" s="124">
        <v>10</v>
      </c>
      <c r="Q78" s="124">
        <v>11</v>
      </c>
      <c r="R78" s="124">
        <v>12</v>
      </c>
      <c r="S78" s="124">
        <v>13</v>
      </c>
      <c r="T78" s="124">
        <v>14</v>
      </c>
      <c r="U78" s="279"/>
      <c r="V78" s="123">
        <v>15</v>
      </c>
      <c r="W78" s="123">
        <v>16</v>
      </c>
      <c r="X78" s="123">
        <v>17</v>
      </c>
      <c r="Y78" s="123">
        <v>18</v>
      </c>
      <c r="Z78" s="123">
        <v>19</v>
      </c>
    </row>
    <row r="79" spans="1:26" ht="15.75" x14ac:dyDescent="0.25">
      <c r="A79" s="283">
        <v>1</v>
      </c>
      <c r="B79" s="283" t="s">
        <v>72</v>
      </c>
      <c r="C79" s="82" t="s">
        <v>69</v>
      </c>
      <c r="D79" s="82" t="s">
        <v>38</v>
      </c>
      <c r="E79" s="82">
        <f>+JAN!E83+FEB!E84+MAR!E84+APR!E84+MEI!E84+JUN!E84+JUL!E84+AGS!E84+SEP!E84+OKT!E84+NOV!E84+DES!E84</f>
        <v>365</v>
      </c>
      <c r="F79" s="82">
        <v>18</v>
      </c>
      <c r="G79" s="85">
        <f>JAN!G83</f>
        <v>13</v>
      </c>
      <c r="H79" s="82">
        <f>+JAN!H83+FEB!H84+MAR!H84+APR!H84+MEI!H84+JUN!H84+JUL!H84+AGS!H84+SEP!H84+OKT!H84+NOV!H84+DES!H84</f>
        <v>1800</v>
      </c>
      <c r="I79" s="82">
        <f>+JAN!I83+FEB!I84+MAR!I84+APR!I84+MEI!I84+JUN!I84+JUL!I84+AGS!I84+SEP!I84+OKT!I84+NOV!I84+DES!I84</f>
        <v>200</v>
      </c>
      <c r="J79" s="85">
        <f t="shared" ref="J79:J91" si="50">+G79+H79+I79</f>
        <v>2013</v>
      </c>
      <c r="K79" s="82">
        <f>+JAN!K83+FEB!K84+MAR!K84+APR!K84+MEI!K84+JUN!K84+JUL!K84+AGS!K84+SEP!K84+OKT!K84+NOV!K84+DES!K84</f>
        <v>816</v>
      </c>
      <c r="L79" s="82">
        <f>+JAN!L83+FEB!L84+MAR!L84+APR!L84+MEI!L84+JUN!L84+JUL!L84+AGS!L84+SEP!L84+OKT!L84+NOV!L84+DES!L84</f>
        <v>1093</v>
      </c>
      <c r="M79" s="127">
        <f t="shared" ref="M79:M91" si="51">+N79+O79</f>
        <v>74</v>
      </c>
      <c r="N79" s="82">
        <f>+JAN!N83+FEB!N84+MAR!N84+APR!N84+MEI!N84+JUN!N84+JUL!N84+AGS!N84+SEP!N84+OKT!N84+NOV!N84+DES!N84</f>
        <v>45</v>
      </c>
      <c r="O79" s="82">
        <f>+JAN!O83+FEB!O84+MAR!O84+APR!O84+MEI!O84+JUN!O84+JUL!O84+AGS!O84+SEP!O84+OKT!O84+NOV!O84+DES!O84</f>
        <v>29</v>
      </c>
      <c r="P79" s="127">
        <f t="shared" ref="P79:P91" si="52">+K79+L79+M79</f>
        <v>1983</v>
      </c>
      <c r="Q79" s="82">
        <f>+JAN!Q83+FEB!Q84+MAR!Q84+APR!Q84+MEI!Q84+JUN!Q84+JUL!Q84+AGS!Q84+SEP!Q84+OKT!Q84+NOV!Q84+DES!Q84</f>
        <v>6867</v>
      </c>
      <c r="R79" s="82">
        <f>+JAN!R83+FEB!R84+MAR!R84+APR!R84+MEI!R84+JUN!R84+JUL!R84+AGS!R84+SEP!R84+OKT!R84+NOV!R84+DES!R84</f>
        <v>15</v>
      </c>
      <c r="S79" s="82">
        <f>+JAN!S83+FEB!S84+MAR!S84+APR!S84+MEI!S84+JUN!S84+JUL!S84+AGS!S84+SEP!S84+OKT!S84+NOV!S84+DES!S84</f>
        <v>7557</v>
      </c>
      <c r="T79" s="127">
        <f t="shared" ref="T79:T91" si="53">J79-P79</f>
        <v>30</v>
      </c>
      <c r="U79" s="127">
        <f t="shared" ref="U79:U91" si="54">+L79+M79</f>
        <v>1167</v>
      </c>
      <c r="V79" s="68">
        <f t="shared" ref="V79:V90" si="55">$S79/$E79</f>
        <v>20.704109589041096</v>
      </c>
      <c r="W79" s="72">
        <f t="shared" ref="W79:W90" si="56">$V79/$F79*100</f>
        <v>115.02283105022831</v>
      </c>
      <c r="X79" s="72">
        <f t="shared" ref="X79:X90" si="57">$S79/($L79+$M79)</f>
        <v>6.4755784061696655</v>
      </c>
      <c r="Y79" s="71">
        <f t="shared" ref="Y79:Y90" si="58">(($F79-$V79)*$E79)/($L79+$M79)</f>
        <v>-0.84575835475578409</v>
      </c>
      <c r="Z79" s="72">
        <f t="shared" ref="Z79:Z90" si="59">($L79+$M79)/$F79</f>
        <v>64.833333333333329</v>
      </c>
    </row>
    <row r="80" spans="1:26" ht="15.75" x14ac:dyDescent="0.25">
      <c r="A80" s="283"/>
      <c r="B80" s="283"/>
      <c r="C80" s="86" t="s">
        <v>69</v>
      </c>
      <c r="D80" s="129"/>
      <c r="E80" s="129">
        <f>+JAN!E84+FEB!E85+MAR!E85+APR!E85+MEI!E85+JUN!E85+JUL!E85+AGS!E85+SEP!E85+OKT!E85+NOV!E85+DES!E85</f>
        <v>365</v>
      </c>
      <c r="F80" s="129">
        <v>18</v>
      </c>
      <c r="G80" s="129">
        <f>JAN!G84</f>
        <v>13</v>
      </c>
      <c r="H80" s="129">
        <f>+JAN!H84+FEB!H85+MAR!H85+APR!H85+MEI!H85+JUN!H85+JUL!H85+AGS!H85+SEP!H85+OKT!H85+NOV!H85+DES!H85</f>
        <v>1388</v>
      </c>
      <c r="I80" s="129">
        <f>+JAN!I84+FEB!I85+MAR!I85+APR!I85+MEI!I85+JUN!I85+JUL!I85+AGS!I85+SEP!I85+OKT!I85+NOV!I85+DES!I85</f>
        <v>170</v>
      </c>
      <c r="J80" s="129">
        <f t="shared" si="50"/>
        <v>1571</v>
      </c>
      <c r="K80" s="129">
        <f>+JAN!K84+FEB!K85+MAR!K85+APR!K85+MEI!K85+JUN!K85+JUL!K85+AGS!K85+SEP!K85+OKT!K85+NOV!K85+DES!K85</f>
        <v>636</v>
      </c>
      <c r="L80" s="129">
        <f>+JAN!L84+FEB!L85+MAR!L85+APR!L85+MEI!L85+JUN!L85+JUL!L85+AGS!L85+SEP!L85+OKT!L85+NOV!L85+DES!L85</f>
        <v>847</v>
      </c>
      <c r="M80" s="130">
        <f t="shared" si="51"/>
        <v>60</v>
      </c>
      <c r="N80" s="129">
        <f>+JAN!N84+FEB!N85+MAR!N85+APR!N85+MEI!N85+JUN!N85+JUL!N85+AGS!N85+SEP!N85+OKT!N85+NOV!N85+DES!N85</f>
        <v>36</v>
      </c>
      <c r="O80" s="129">
        <f>+JAN!O84+FEB!O85+MAR!O85+APR!O85+MEI!O85+JUN!O85+JUL!O85+AGS!O85+SEP!O85+OKT!O85+NOV!O85+DES!O85</f>
        <v>24</v>
      </c>
      <c r="P80" s="130">
        <f t="shared" si="52"/>
        <v>1543</v>
      </c>
      <c r="Q80" s="129">
        <f>+JAN!Q84+FEB!Q85+MAR!Q85+APR!Q85+MEI!Q85+JUN!Q85+JUL!Q85+AGS!Q85+SEP!Q85+OKT!Q85+NOV!Q85+DES!Q85</f>
        <v>5411</v>
      </c>
      <c r="R80" s="129">
        <f>+JAN!R84+FEB!R85+MAR!R85+APR!R85+MEI!R85+JUN!R85+JUL!R85+AGS!R85+SEP!R85+OKT!R85+NOV!R85+DES!R85</f>
        <v>14</v>
      </c>
      <c r="S80" s="129">
        <f>+JAN!S84+FEB!S85+MAR!S85+APR!S85+MEI!S85+JUN!S85+JUL!S85+AGS!S85+SEP!S85+OKT!S85+NOV!S85+DES!S85</f>
        <v>6074</v>
      </c>
      <c r="T80" s="130">
        <f t="shared" si="53"/>
        <v>28</v>
      </c>
      <c r="U80" s="130">
        <f t="shared" si="54"/>
        <v>907</v>
      </c>
      <c r="V80" s="66">
        <f t="shared" si="55"/>
        <v>16.641095890410959</v>
      </c>
      <c r="W80" s="74">
        <f t="shared" si="56"/>
        <v>92.450532724505337</v>
      </c>
      <c r="X80" s="74">
        <f t="shared" si="57"/>
        <v>6.696802646085998</v>
      </c>
      <c r="Y80" s="74">
        <f t="shared" si="58"/>
        <v>0.54685777287761839</v>
      </c>
      <c r="Z80" s="74">
        <f t="shared" si="59"/>
        <v>50.388888888888886</v>
      </c>
    </row>
    <row r="81" spans="1:26" ht="15.75" x14ac:dyDescent="0.25">
      <c r="A81" s="284">
        <v>2</v>
      </c>
      <c r="B81" s="283"/>
      <c r="C81" s="270" t="s">
        <v>64</v>
      </c>
      <c r="D81" s="131" t="s">
        <v>55</v>
      </c>
      <c r="E81" s="82">
        <v>122</v>
      </c>
      <c r="F81" s="82">
        <v>2</v>
      </c>
      <c r="G81" s="82">
        <v>0</v>
      </c>
      <c r="H81" s="85">
        <v>0</v>
      </c>
      <c r="I81" s="85">
        <v>0</v>
      </c>
      <c r="J81" s="85">
        <v>0</v>
      </c>
      <c r="K81" s="85">
        <v>0</v>
      </c>
      <c r="L81" s="85">
        <v>0</v>
      </c>
      <c r="M81" s="127">
        <v>0</v>
      </c>
      <c r="N81" s="85">
        <v>0</v>
      </c>
      <c r="O81" s="85">
        <v>0</v>
      </c>
      <c r="P81" s="127">
        <v>0</v>
      </c>
      <c r="Q81" s="85">
        <v>0</v>
      </c>
      <c r="R81" s="85">
        <v>0</v>
      </c>
      <c r="S81" s="85">
        <v>0</v>
      </c>
      <c r="T81" s="127">
        <v>0</v>
      </c>
      <c r="U81" s="127">
        <v>0</v>
      </c>
      <c r="V81" s="68">
        <v>0</v>
      </c>
      <c r="W81" s="72">
        <v>0</v>
      </c>
      <c r="X81" s="72" t="e">
        <v>#DIV/0!</v>
      </c>
      <c r="Y81" s="71" t="e">
        <v>#DIV/0!</v>
      </c>
      <c r="Z81" s="72">
        <v>0</v>
      </c>
    </row>
    <row r="82" spans="1:26" ht="15.75" x14ac:dyDescent="0.25">
      <c r="A82" s="285"/>
      <c r="B82" s="283"/>
      <c r="C82" s="271"/>
      <c r="D82" s="126" t="s">
        <v>48</v>
      </c>
      <c r="E82" s="82">
        <v>365</v>
      </c>
      <c r="F82" s="82">
        <v>2</v>
      </c>
      <c r="G82" s="85">
        <v>0</v>
      </c>
      <c r="H82" s="85">
        <v>30</v>
      </c>
      <c r="I82" s="85">
        <v>43</v>
      </c>
      <c r="J82" s="85">
        <v>73</v>
      </c>
      <c r="K82" s="85">
        <v>15</v>
      </c>
      <c r="L82" s="85">
        <v>58</v>
      </c>
      <c r="M82" s="127">
        <v>0</v>
      </c>
      <c r="N82" s="85">
        <v>0</v>
      </c>
      <c r="O82" s="85">
        <v>0</v>
      </c>
      <c r="P82" s="127">
        <v>73</v>
      </c>
      <c r="Q82" s="85">
        <v>189</v>
      </c>
      <c r="R82" s="85">
        <v>0</v>
      </c>
      <c r="S82" s="85">
        <v>113</v>
      </c>
      <c r="T82" s="127">
        <v>0</v>
      </c>
      <c r="U82" s="127">
        <v>58</v>
      </c>
      <c r="V82" s="68">
        <v>0.30958904109589042</v>
      </c>
      <c r="W82" s="72">
        <v>15.479452054794521</v>
      </c>
      <c r="X82" s="72">
        <v>1.9482758620689655</v>
      </c>
      <c r="Y82" s="71">
        <v>10.637931034482758</v>
      </c>
      <c r="Z82" s="72">
        <v>29</v>
      </c>
    </row>
    <row r="83" spans="1:26" ht="15.75" x14ac:dyDescent="0.25">
      <c r="A83" s="285"/>
      <c r="B83" s="283"/>
      <c r="C83" s="271"/>
      <c r="D83" s="126" t="s">
        <v>38</v>
      </c>
      <c r="E83" s="82">
        <v>365</v>
      </c>
      <c r="F83" s="82">
        <v>8</v>
      </c>
      <c r="G83" s="85">
        <v>5</v>
      </c>
      <c r="H83" s="85">
        <v>272</v>
      </c>
      <c r="I83" s="85">
        <v>1220</v>
      </c>
      <c r="J83" s="85">
        <v>1497</v>
      </c>
      <c r="K83" s="85">
        <v>1245</v>
      </c>
      <c r="L83" s="85">
        <v>234</v>
      </c>
      <c r="M83" s="127">
        <v>11</v>
      </c>
      <c r="N83" s="85">
        <v>4</v>
      </c>
      <c r="O83" s="85">
        <v>7</v>
      </c>
      <c r="P83" s="127">
        <v>1490</v>
      </c>
      <c r="Q83" s="85">
        <v>606</v>
      </c>
      <c r="R83" s="85">
        <v>3</v>
      </c>
      <c r="S83" s="85">
        <v>1830</v>
      </c>
      <c r="T83" s="127">
        <v>7</v>
      </c>
      <c r="U83" s="127">
        <v>245</v>
      </c>
      <c r="V83" s="68">
        <v>5.0136986301369859</v>
      </c>
      <c r="W83" s="72">
        <v>62.671232876712324</v>
      </c>
      <c r="X83" s="72">
        <v>7.4693877551020407</v>
      </c>
      <c r="Y83" s="71">
        <v>4.4489795918367356</v>
      </c>
      <c r="Z83" s="72">
        <v>30.625</v>
      </c>
    </row>
    <row r="84" spans="1:26" ht="15.75" x14ac:dyDescent="0.25">
      <c r="A84" s="285"/>
      <c r="B84" s="283"/>
      <c r="C84" s="272"/>
      <c r="D84" s="126" t="s">
        <v>34</v>
      </c>
      <c r="E84" s="82">
        <v>365</v>
      </c>
      <c r="F84" s="82">
        <v>21</v>
      </c>
      <c r="G84" s="85">
        <v>11</v>
      </c>
      <c r="H84" s="85">
        <v>1010</v>
      </c>
      <c r="I84" s="85">
        <v>2510</v>
      </c>
      <c r="J84" s="85">
        <v>3531</v>
      </c>
      <c r="K84" s="85">
        <v>553</v>
      </c>
      <c r="L84" s="85">
        <v>2967</v>
      </c>
      <c r="M84" s="127">
        <v>2</v>
      </c>
      <c r="N84" s="85">
        <v>2</v>
      </c>
      <c r="O84" s="85">
        <v>0</v>
      </c>
      <c r="P84" s="127">
        <v>3522</v>
      </c>
      <c r="Q84" s="85">
        <v>7519</v>
      </c>
      <c r="R84" s="85">
        <v>13</v>
      </c>
      <c r="S84" s="85">
        <v>4719</v>
      </c>
      <c r="T84" s="127">
        <v>9</v>
      </c>
      <c r="U84" s="127">
        <v>2969</v>
      </c>
      <c r="V84" s="68">
        <v>12.92876712328767</v>
      </c>
      <c r="W84" s="72">
        <v>61.56555772994129</v>
      </c>
      <c r="X84" s="72">
        <v>1.5894240485011788</v>
      </c>
      <c r="Y84" s="71">
        <v>0.99225328393398471</v>
      </c>
      <c r="Z84" s="72">
        <v>141.38095238095238</v>
      </c>
    </row>
    <row r="85" spans="1:26" ht="15.75" x14ac:dyDescent="0.25">
      <c r="A85" s="286"/>
      <c r="B85" s="283"/>
      <c r="C85" s="86" t="s">
        <v>64</v>
      </c>
      <c r="D85" s="148"/>
      <c r="E85" s="129">
        <v>365</v>
      </c>
      <c r="F85" s="129">
        <f>SUM(F81:F84)</f>
        <v>33</v>
      </c>
      <c r="G85" s="129">
        <f>SUM(G81:G84)</f>
        <v>16</v>
      </c>
      <c r="H85" s="129">
        <f>SUM(H81:H84)</f>
        <v>1312</v>
      </c>
      <c r="I85" s="129">
        <f>SUM(I81:I84)</f>
        <v>3773</v>
      </c>
      <c r="J85" s="129">
        <v>5101</v>
      </c>
      <c r="K85" s="129">
        <f>SUM(K81:K84)</f>
        <v>1813</v>
      </c>
      <c r="L85" s="129">
        <f>SUM(L81:L84)</f>
        <v>3259</v>
      </c>
      <c r="M85" s="130">
        <v>13</v>
      </c>
      <c r="N85" s="129">
        <f>SUM(N81:N84)</f>
        <v>6</v>
      </c>
      <c r="O85" s="129">
        <f>SUM(O81:O84)</f>
        <v>7</v>
      </c>
      <c r="P85" s="130">
        <v>5085</v>
      </c>
      <c r="Q85" s="129">
        <f>SUM(Q81:Q84)</f>
        <v>8314</v>
      </c>
      <c r="R85" s="129">
        <f>SUM(R81:R84)</f>
        <v>16</v>
      </c>
      <c r="S85" s="129">
        <f>SUM(S81:S84)</f>
        <v>6662</v>
      </c>
      <c r="T85" s="130">
        <v>16</v>
      </c>
      <c r="U85" s="130">
        <v>3272</v>
      </c>
      <c r="V85" s="67">
        <v>18.252054794520546</v>
      </c>
      <c r="W85" s="67">
        <v>55.309256953092564</v>
      </c>
      <c r="X85" s="67">
        <v>2.0360635696821516</v>
      </c>
      <c r="Y85" s="67">
        <v>1.6451711491442547</v>
      </c>
      <c r="Z85" s="67">
        <v>99.151515151515156</v>
      </c>
    </row>
    <row r="86" spans="1:26" ht="15.75" hidden="1" x14ac:dyDescent="0.25">
      <c r="A86" s="284">
        <v>3</v>
      </c>
      <c r="B86" s="283"/>
      <c r="C86" s="270" t="s">
        <v>73</v>
      </c>
      <c r="D86" s="85" t="s">
        <v>55</v>
      </c>
      <c r="E86" s="82"/>
      <c r="F86" s="85"/>
      <c r="G86" s="85"/>
      <c r="H86" s="82">
        <f>+JAN!H85+FEB!H86+MAR!H86+APR!H86+MEI!H86+JUN!H86+JUL!H86+AGS!H86+SEP!H86+OKT!H86+NOV!H86+DES!H86</f>
        <v>0</v>
      </c>
      <c r="I86" s="82">
        <f>+JAN!I85+FEB!I86+MAR!I86+APR!I86+MEI!I86+JUN!I86+JUL!I86+AGS!I86+SEP!I86+OKT!I86+NOV!I86+DES!I86</f>
        <v>0</v>
      </c>
      <c r="J86" s="85"/>
      <c r="K86" s="82">
        <f>+JAN!K85+FEB!K86+MAR!K86+APR!K86+MEI!K86+JUN!K86+JUL!K86+AGS!K86+SEP!K86+OKT!K86+NOV!K86+DES!K86</f>
        <v>0</v>
      </c>
      <c r="L86" s="82">
        <f>+JAN!L85+FEB!L86+MAR!L86+APR!L86+MEI!L86+JUN!L86+JUL!L86+AGS!L86+SEP!L86+OKT!L86+NOV!L86+DES!L86</f>
        <v>0</v>
      </c>
      <c r="M86" s="127"/>
      <c r="N86" s="82">
        <f>+JAN!N85+FEB!N86+MAR!N86+APR!N86+MEI!N86+JUN!N86+JUL!N86+AGS!N86+SEP!N86+OKT!N86+NOV!N86+DES!N86</f>
        <v>0</v>
      </c>
      <c r="O86" s="82">
        <f>+JAN!O85+FEB!O86+MAR!O86+APR!O86+MEI!O86+JUN!O86+JUL!O86+AGS!O86+SEP!O86+OKT!O86+NOV!O86+DES!O86</f>
        <v>0</v>
      </c>
      <c r="P86" s="127"/>
      <c r="Q86" s="82">
        <f>+JAN!Q85+FEB!Q86+MAR!Q86+APR!Q86+MEI!Q86+JUN!Q86+JUL!Q86+AGS!Q86+SEP!Q86+OKT!Q86+NOV!Q86+DES!Q86</f>
        <v>0</v>
      </c>
      <c r="R86" s="82">
        <f>+JAN!R85+FEB!R86+MAR!R86+APR!R86+MEI!R86+JUN!R86+JUL!R86+AGS!R86+SEP!R86+OKT!R86+NOV!R86+DES!R86</f>
        <v>0</v>
      </c>
      <c r="S86" s="82">
        <f>+JAN!S85+FEB!S86+MAR!S86+APR!S86+MEI!S86+JUN!S86+JUL!S86+AGS!S86+SEP!S86+OKT!S86+NOV!S86+DES!S86</f>
        <v>0</v>
      </c>
      <c r="T86" s="127"/>
      <c r="U86" s="127"/>
      <c r="V86" s="68"/>
      <c r="W86" s="72"/>
      <c r="X86" s="72"/>
      <c r="Y86" s="72"/>
      <c r="Z86" s="72"/>
    </row>
    <row r="87" spans="1:26" ht="15" customHeight="1" x14ac:dyDescent="0.25">
      <c r="A87" s="285"/>
      <c r="B87" s="283"/>
      <c r="C87" s="271"/>
      <c r="D87" s="82" t="s">
        <v>48</v>
      </c>
      <c r="E87" s="82">
        <f>+JAN!E86+FEB!E87+MAR!E87+APR!E87+MEI!E87+JUN!E87+JUL!E87+AGS!E87+SEP!E87+OKT!E87+NOV!E87+DES!E87</f>
        <v>365</v>
      </c>
      <c r="F87" s="82">
        <v>2</v>
      </c>
      <c r="G87" s="85">
        <f>JAN!G86</f>
        <v>0</v>
      </c>
      <c r="H87" s="82">
        <f>+JAN!H86+FEB!H87+MAR!H87+APR!H87+MEI!H87+JUN!H87+JUL!H87+AGS!H87+SEP!H87+OKT!H87+NOV!H87+DES!H87</f>
        <v>1</v>
      </c>
      <c r="I87" s="82">
        <f>+JAN!I86+FEB!I87+MAR!I87+APR!I87+MEI!I87+JUN!I87+JUL!I87+AGS!I87+SEP!I87+OKT!I87+NOV!I87+DES!I87</f>
        <v>11</v>
      </c>
      <c r="J87" s="85">
        <f t="shared" si="50"/>
        <v>12</v>
      </c>
      <c r="K87" s="82">
        <f>+JAN!K86+FEB!K87+MAR!K87+APR!K87+MEI!K87+JUN!K87+JUL!K87+AGS!K87+SEP!K87+OKT!K87+NOV!K87+DES!K87</f>
        <v>0</v>
      </c>
      <c r="L87" s="82">
        <f>+JAN!L86+FEB!L87+MAR!L87+APR!L87+MEI!L87+JUN!L87+JUL!L87+AGS!L87+SEP!L87+OKT!L87+NOV!L87+DES!L87</f>
        <v>11</v>
      </c>
      <c r="M87" s="127">
        <f t="shared" si="51"/>
        <v>0</v>
      </c>
      <c r="N87" s="82">
        <f>+JAN!N86+FEB!N87+MAR!N87+APR!N87+MEI!N87+JUN!N87+JUL!N87+AGS!N87+SEP!N87+OKT!N87+NOV!N87+DES!N87</f>
        <v>0</v>
      </c>
      <c r="O87" s="82">
        <f>+JAN!O86+FEB!O87+MAR!O87+APR!O87+MEI!O87+JUN!O87+JUL!O87+AGS!O87+SEP!O87+OKT!O87+NOV!O87+DES!O87</f>
        <v>0</v>
      </c>
      <c r="P87" s="127">
        <f t="shared" si="52"/>
        <v>11</v>
      </c>
      <c r="Q87" s="82">
        <f>+JAN!Q86+FEB!Q87+MAR!Q87+APR!Q87+MEI!Q87+JUN!Q87+JUL!Q87+AGS!Q87+SEP!Q87+OKT!Q87+NOV!Q87+DES!Q87</f>
        <v>15</v>
      </c>
      <c r="R87" s="82">
        <f>+JAN!R86+FEB!R87+MAR!R87+APR!R87+MEI!R87+JUN!R87+JUL!R87+AGS!R87+SEP!R87+OKT!R87+NOV!R87+DES!R87</f>
        <v>0</v>
      </c>
      <c r="S87" s="82">
        <f>+JAN!S86+FEB!S87+MAR!S87+APR!S87+MEI!S87+JUN!S87+JUL!S87+AGS!S87+SEP!S87+OKT!S87+NOV!S87+DES!S87</f>
        <v>12</v>
      </c>
      <c r="T87" s="127">
        <f t="shared" si="53"/>
        <v>1</v>
      </c>
      <c r="U87" s="127">
        <f t="shared" si="54"/>
        <v>11</v>
      </c>
      <c r="V87" s="68">
        <f t="shared" si="55"/>
        <v>3.287671232876712E-2</v>
      </c>
      <c r="W87" s="72">
        <f t="shared" si="56"/>
        <v>1.6438356164383561</v>
      </c>
      <c r="X87" s="72">
        <f t="shared" si="57"/>
        <v>1.0909090909090908</v>
      </c>
      <c r="Y87" s="71">
        <f t="shared" si="58"/>
        <v>65.272727272727266</v>
      </c>
      <c r="Z87" s="72">
        <f t="shared" si="59"/>
        <v>5.5</v>
      </c>
    </row>
    <row r="88" spans="1:26" ht="15" customHeight="1" x14ac:dyDescent="0.25">
      <c r="A88" s="285"/>
      <c r="B88" s="283"/>
      <c r="C88" s="271"/>
      <c r="D88" s="82" t="s">
        <v>38</v>
      </c>
      <c r="E88" s="82">
        <f>+JAN!E87+FEB!E88+MAR!E88+APR!E88+MEI!E88+JUN!E88+JUL!E88+AGS!E88+SEP!E88+OKT!E88+NOV!E88+DES!E88</f>
        <v>365</v>
      </c>
      <c r="F88" s="82">
        <v>4</v>
      </c>
      <c r="G88" s="85">
        <f>JAN!G87</f>
        <v>2</v>
      </c>
      <c r="H88" s="82">
        <f>+JAN!H87+FEB!H88+MAR!H88+APR!H88+MEI!H88+JUN!H88+JUL!H88+AGS!H88+SEP!H88+OKT!H88+NOV!H88+DES!H88</f>
        <v>7</v>
      </c>
      <c r="I88" s="82">
        <f>+JAN!I87+FEB!I88+MAR!I88+APR!I88+MEI!I88+JUN!I88+JUL!I88+AGS!I88+SEP!I88+OKT!I88+NOV!I88+DES!I88</f>
        <v>461</v>
      </c>
      <c r="J88" s="85">
        <f t="shared" si="50"/>
        <v>470</v>
      </c>
      <c r="K88" s="82">
        <f>+JAN!K87+FEB!K88+MAR!K88+APR!K88+MEI!K88+JUN!K88+JUL!K88+AGS!K88+SEP!K88+OKT!K88+NOV!K88+DES!K88</f>
        <v>402</v>
      </c>
      <c r="L88" s="82">
        <f>+JAN!L87+FEB!L88+MAR!L88+APR!L88+MEI!L88+JUN!L88+JUL!L88+AGS!L88+SEP!L88+OKT!L88+NOV!L88+DES!L88</f>
        <v>63</v>
      </c>
      <c r="M88" s="127">
        <f t="shared" si="51"/>
        <v>0</v>
      </c>
      <c r="N88" s="82">
        <f>+JAN!N87+FEB!N88+MAR!N88+APR!N88+MEI!N88+JUN!N88+JUL!N88+AGS!N88+SEP!N88+OKT!N88+NOV!N88+DES!N88</f>
        <v>0</v>
      </c>
      <c r="O88" s="82">
        <f>+JAN!O87+FEB!O88+MAR!O88+APR!O88+MEI!O88+JUN!O88+JUL!O88+AGS!O88+SEP!O88+OKT!O88+NOV!O88+DES!O88</f>
        <v>0</v>
      </c>
      <c r="P88" s="127">
        <f t="shared" si="52"/>
        <v>465</v>
      </c>
      <c r="Q88" s="82">
        <f>+JAN!Q87+FEB!Q88+MAR!Q88+APR!Q88+MEI!Q88+JUN!Q88+JUL!Q88+AGS!Q88+SEP!Q88+OKT!Q88+NOV!Q88+DES!Q88</f>
        <v>86</v>
      </c>
      <c r="R88" s="82">
        <f>+JAN!R87+FEB!R88+MAR!R88+APR!R88+MEI!R88+JUN!R88+JUL!R88+AGS!R88+SEP!R88+OKT!R88+NOV!R88+DES!R88</f>
        <v>0</v>
      </c>
      <c r="S88" s="82">
        <f>+JAN!S87+FEB!S88+MAR!S88+APR!S88+MEI!S88+JUN!S88+JUL!S88+AGS!S88+SEP!S88+OKT!S88+NOV!S88+DES!S88</f>
        <v>488</v>
      </c>
      <c r="T88" s="127">
        <f t="shared" si="53"/>
        <v>5</v>
      </c>
      <c r="U88" s="127">
        <f t="shared" si="54"/>
        <v>63</v>
      </c>
      <c r="V88" s="68">
        <f t="shared" si="55"/>
        <v>1.3369863013698631</v>
      </c>
      <c r="W88" s="72">
        <f t="shared" si="56"/>
        <v>33.424657534246577</v>
      </c>
      <c r="X88" s="72">
        <f t="shared" si="57"/>
        <v>7.746031746031746</v>
      </c>
      <c r="Y88" s="71">
        <f t="shared" si="58"/>
        <v>15.428571428571431</v>
      </c>
      <c r="Z88" s="72">
        <f t="shared" si="59"/>
        <v>15.75</v>
      </c>
    </row>
    <row r="89" spans="1:26" ht="15.75" x14ac:dyDescent="0.25">
      <c r="A89" s="285"/>
      <c r="B89" s="283"/>
      <c r="C89" s="272"/>
      <c r="D89" s="82" t="s">
        <v>34</v>
      </c>
      <c r="E89" s="82">
        <f>+JAN!E88+FEB!E89+MAR!E89+APR!E89+MEI!E89+JUN!E89+JUL!E89+AGS!E89+SEP!E89+OKT!E89+NOV!E89+DES!E89</f>
        <v>365</v>
      </c>
      <c r="F89" s="82">
        <v>10</v>
      </c>
      <c r="G89" s="85">
        <f>JAN!G88</f>
        <v>2</v>
      </c>
      <c r="H89" s="82">
        <f>+JAN!H88+FEB!H89+MAR!H89+APR!H89+MEI!H89+JUN!H89+JUL!H89+AGS!H89+SEP!H89+OKT!H89+NOV!H89+DES!H89</f>
        <v>36</v>
      </c>
      <c r="I89" s="82">
        <f>+JAN!I88+FEB!I89+MAR!I89+APR!I89+MEI!I89+JUN!I89+JUL!I89+AGS!I89+SEP!I89+OKT!I89+NOV!I89+DES!I89</f>
        <v>986</v>
      </c>
      <c r="J89" s="85">
        <f t="shared" si="50"/>
        <v>1024</v>
      </c>
      <c r="K89" s="82">
        <f>+JAN!K88+FEB!K89+MAR!K89+APR!K89+MEI!K89+JUN!K89+JUL!K89+AGS!K89+SEP!K89+OKT!K89+NOV!K89+DES!K89</f>
        <v>22</v>
      </c>
      <c r="L89" s="82">
        <f>+JAN!L88+FEB!L89+MAR!L89+APR!L89+MEI!L89+JUN!L89+JUL!L89+AGS!L89+SEP!L89+OKT!L89+NOV!L89+DES!L89</f>
        <v>999</v>
      </c>
      <c r="M89" s="127">
        <f t="shared" si="51"/>
        <v>1</v>
      </c>
      <c r="N89" s="82">
        <f>+JAN!N88+FEB!N89+MAR!N89+APR!N89+MEI!N89+JUN!N89+JUL!N89+AGS!N89+SEP!N89+OKT!N89+NOV!N89+DES!N89</f>
        <v>1</v>
      </c>
      <c r="O89" s="82">
        <f>+JAN!O88+FEB!O89+MAR!O89+APR!O89+MEI!O89+JUN!O89+JUL!O89+AGS!O89+SEP!O89+OKT!O89+NOV!O89+DES!O89</f>
        <v>0</v>
      </c>
      <c r="P89" s="127">
        <f t="shared" si="52"/>
        <v>1022</v>
      </c>
      <c r="Q89" s="82">
        <f>+JAN!Q88+FEB!Q89+MAR!Q89+APR!Q89+MEI!Q89+JUN!Q89+JUL!Q89+AGS!Q89+SEP!Q89+OKT!Q89+NOV!Q89+DES!Q89</f>
        <v>1564</v>
      </c>
      <c r="R89" s="82">
        <f>+JAN!R88+FEB!R89+MAR!R89+APR!R89+MEI!R89+JUN!R89+JUL!R89+AGS!R89+SEP!R89+OKT!R89+NOV!R89+DES!R89</f>
        <v>6</v>
      </c>
      <c r="S89" s="82">
        <f>+JAN!S88+FEB!S89+MAR!S89+APR!S89+MEI!S89+JUN!S89+JUL!S89+AGS!S89+SEP!S89+OKT!S89+NOV!S89+DES!S89</f>
        <v>1070</v>
      </c>
      <c r="T89" s="127">
        <f t="shared" si="53"/>
        <v>2</v>
      </c>
      <c r="U89" s="127">
        <f t="shared" si="54"/>
        <v>1000</v>
      </c>
      <c r="V89" s="68">
        <f t="shared" si="55"/>
        <v>2.9315068493150687</v>
      </c>
      <c r="W89" s="72">
        <f t="shared" si="56"/>
        <v>29.315068493150687</v>
      </c>
      <c r="X89" s="72">
        <f t="shared" si="57"/>
        <v>1.07</v>
      </c>
      <c r="Y89" s="71">
        <f t="shared" si="58"/>
        <v>2.58</v>
      </c>
      <c r="Z89" s="72">
        <f t="shared" si="59"/>
        <v>100</v>
      </c>
    </row>
    <row r="90" spans="1:26" ht="15.75" x14ac:dyDescent="0.25">
      <c r="A90" s="286"/>
      <c r="B90" s="283"/>
      <c r="C90" s="86" t="s">
        <v>73</v>
      </c>
      <c r="D90" s="86"/>
      <c r="E90" s="82">
        <f>+JAN!E89+FEB!E90+MAR!E90+APR!E90+MEI!E90+JUN!E90+JUL!E90+AGS!E90+SEP!E90+OKT!E90+NOV!E90+DES!E90</f>
        <v>365</v>
      </c>
      <c r="F90" s="129">
        <v>16</v>
      </c>
      <c r="G90" s="129">
        <f>JAN!G89</f>
        <v>4</v>
      </c>
      <c r="H90" s="82">
        <f>+JAN!H89+FEB!H90+MAR!H90+APR!H90+MEI!H90+JUN!H90+JUL!H90+AGS!H90+SEP!H90+OKT!H90+NOV!H90+DES!H90</f>
        <v>456</v>
      </c>
      <c r="I90" s="82">
        <f>+JAN!I89+FEB!I90+MAR!I90+APR!I90+MEI!I90+JUN!I90+JUL!I90+AGS!I90+SEP!I90+OKT!I90+NOV!I90+DES!I90</f>
        <v>1488</v>
      </c>
      <c r="J90" s="129">
        <f t="shared" si="50"/>
        <v>1948</v>
      </c>
      <c r="K90" s="82">
        <f>+JAN!K89+FEB!K90+MAR!K90+APR!K90+MEI!K90+JUN!K90+JUL!K90+AGS!K90+SEP!K90+OKT!K90+NOV!K90+DES!K90</f>
        <v>604</v>
      </c>
      <c r="L90" s="82">
        <f>+JAN!L89+FEB!L90+MAR!L90+APR!L90+MEI!L90+JUN!L90+JUL!L90+AGS!L90+SEP!L90+OKT!L90+NOV!L90+DES!L90</f>
        <v>1319</v>
      </c>
      <c r="M90" s="130">
        <f t="shared" si="51"/>
        <v>15</v>
      </c>
      <c r="N90" s="82">
        <f>+JAN!N89+FEB!N90+MAR!N90+APR!N90+MEI!N90+JUN!N90+JUL!N90+AGS!N90+SEP!N90+OKT!N90+NOV!N90+DES!N90</f>
        <v>10</v>
      </c>
      <c r="O90" s="82">
        <f>+JAN!O89+FEB!O90+MAR!O90+APR!O90+MEI!O90+JUN!O90+JUL!O90+AGS!O90+SEP!O90+OKT!O90+NOV!O90+DES!O90</f>
        <v>5</v>
      </c>
      <c r="P90" s="130">
        <f t="shared" si="52"/>
        <v>1938</v>
      </c>
      <c r="Q90" s="82">
        <f>+JAN!Q89+FEB!Q90+MAR!Q90+APR!Q90+MEI!Q90+JUN!Q90+JUL!Q90+AGS!Q90+SEP!Q90+OKT!Q90+NOV!Q90+DES!Q90</f>
        <v>3121</v>
      </c>
      <c r="R90" s="82">
        <f>+JAN!R89+FEB!R90+MAR!R90+APR!R90+MEI!R90+JUN!R90+JUL!R90+AGS!R90+SEP!R90+OKT!R90+NOV!R90+DES!R90</f>
        <v>7</v>
      </c>
      <c r="S90" s="82">
        <f>+JAN!S89+FEB!S90+MAR!S90+APR!S90+MEI!S90+JUN!S90+JUL!S90+AGS!S90+SEP!S90+OKT!S90+NOV!S90+DES!S90</f>
        <v>3053</v>
      </c>
      <c r="T90" s="130">
        <f t="shared" si="53"/>
        <v>10</v>
      </c>
      <c r="U90" s="130">
        <f t="shared" si="54"/>
        <v>1334</v>
      </c>
      <c r="V90" s="66">
        <f t="shared" si="55"/>
        <v>8.3643835616438356</v>
      </c>
      <c r="W90" s="74">
        <f t="shared" si="56"/>
        <v>52.277397260273972</v>
      </c>
      <c r="X90" s="74">
        <f t="shared" si="57"/>
        <v>2.2886056971514241</v>
      </c>
      <c r="Y90" s="74">
        <f t="shared" si="58"/>
        <v>2.0892053973013494</v>
      </c>
      <c r="Z90" s="74">
        <f t="shared" si="59"/>
        <v>83.375</v>
      </c>
    </row>
    <row r="91" spans="1:26" ht="15.75" x14ac:dyDescent="0.25">
      <c r="A91" s="336" t="s">
        <v>74</v>
      </c>
      <c r="B91" s="336"/>
      <c r="C91" s="336"/>
      <c r="D91" s="336"/>
      <c r="E91" s="88">
        <f>+JAN!E90+FEB!E91+MAR!E91+APR!E91+MEI!E91+JUN!E91+JUL!E91+AGS!E91+SEP!E91+OKT!E91+NOV!E91+DES!E91</f>
        <v>304</v>
      </c>
      <c r="F91" s="78">
        <f>+F80+F85+F90</f>
        <v>67</v>
      </c>
      <c r="G91" s="78">
        <f>+G80+G85+G90</f>
        <v>33</v>
      </c>
      <c r="H91" s="78">
        <f>+H80+H85+H90</f>
        <v>3156</v>
      </c>
      <c r="I91" s="78">
        <f>+I80+I85+I90</f>
        <v>5431</v>
      </c>
      <c r="J91" s="88">
        <f t="shared" si="50"/>
        <v>8620</v>
      </c>
      <c r="K91" s="78">
        <f>+K80+K85+K90</f>
        <v>3053</v>
      </c>
      <c r="L91" s="78">
        <f>+L80+L85+L90</f>
        <v>5425</v>
      </c>
      <c r="M91" s="134">
        <f t="shared" si="51"/>
        <v>88</v>
      </c>
      <c r="N91" s="78">
        <f>+N80+N85+N90</f>
        <v>52</v>
      </c>
      <c r="O91" s="78">
        <f>+O80+O85+O90</f>
        <v>36</v>
      </c>
      <c r="P91" s="134">
        <f t="shared" si="52"/>
        <v>8566</v>
      </c>
      <c r="Q91" s="78">
        <f>+Q80+Q85+Q90</f>
        <v>16846</v>
      </c>
      <c r="R91" s="78">
        <f>+R80+R85+R90</f>
        <v>37</v>
      </c>
      <c r="S91" s="78">
        <f>+S80+S85+S90</f>
        <v>15789</v>
      </c>
      <c r="T91" s="134">
        <f t="shared" si="53"/>
        <v>54</v>
      </c>
      <c r="U91" s="134">
        <f t="shared" si="54"/>
        <v>5513</v>
      </c>
      <c r="V91" s="78">
        <v>21.032258064516128</v>
      </c>
      <c r="W91" s="75">
        <v>61.85958254269449</v>
      </c>
      <c r="X91" s="75">
        <v>4.7591240875912408</v>
      </c>
      <c r="Y91" s="75">
        <v>2.9343065693430659</v>
      </c>
      <c r="Z91" s="75">
        <v>4.0294117647058822</v>
      </c>
    </row>
    <row r="92" spans="1:26" ht="15.75" x14ac:dyDescent="0.25">
      <c r="A92" s="79"/>
      <c r="B92" s="89"/>
      <c r="C92" s="89"/>
      <c r="D92" s="90"/>
      <c r="E92" s="82"/>
      <c r="F92" s="89"/>
      <c r="G92" s="89"/>
      <c r="H92" s="85"/>
      <c r="I92" s="85"/>
      <c r="J92" s="89"/>
      <c r="K92" s="85"/>
      <c r="L92" s="85"/>
      <c r="M92" s="89"/>
      <c r="N92" s="85"/>
      <c r="O92" s="85"/>
      <c r="P92" s="89"/>
      <c r="Q92" s="85"/>
      <c r="R92" s="85"/>
      <c r="S92" s="85"/>
      <c r="T92" s="89"/>
      <c r="U92" s="89"/>
      <c r="V92" s="89"/>
      <c r="W92" s="89"/>
      <c r="X92" s="89"/>
      <c r="Y92" s="89"/>
      <c r="Z92" s="89"/>
    </row>
    <row r="93" spans="1:26" x14ac:dyDescent="0.25">
      <c r="A93" s="269" t="s">
        <v>1</v>
      </c>
      <c r="B93" s="269" t="s">
        <v>2</v>
      </c>
      <c r="C93" s="267" t="s">
        <v>3</v>
      </c>
      <c r="D93" s="267" t="s">
        <v>4</v>
      </c>
      <c r="E93" s="268" t="s">
        <v>5</v>
      </c>
      <c r="F93" s="267" t="s">
        <v>6</v>
      </c>
      <c r="G93" s="267" t="s">
        <v>7</v>
      </c>
      <c r="H93" s="267" t="s">
        <v>8</v>
      </c>
      <c r="I93" s="268" t="s">
        <v>9</v>
      </c>
      <c r="J93" s="267" t="s">
        <v>10</v>
      </c>
      <c r="K93" s="267" t="s">
        <v>11</v>
      </c>
      <c r="L93" s="267" t="s">
        <v>12</v>
      </c>
      <c r="M93" s="267" t="s">
        <v>13</v>
      </c>
      <c r="N93" s="267" t="s">
        <v>14</v>
      </c>
      <c r="O93" s="267" t="s">
        <v>15</v>
      </c>
      <c r="P93" s="267" t="s">
        <v>16</v>
      </c>
      <c r="Q93" s="267" t="s">
        <v>17</v>
      </c>
      <c r="R93" s="267" t="s">
        <v>18</v>
      </c>
      <c r="S93" s="267" t="s">
        <v>19</v>
      </c>
      <c r="T93" s="267" t="s">
        <v>20</v>
      </c>
      <c r="U93" s="279" t="s">
        <v>21</v>
      </c>
      <c r="V93" s="76" t="s">
        <v>22</v>
      </c>
      <c r="W93" s="76" t="s">
        <v>23</v>
      </c>
      <c r="X93" s="76" t="s">
        <v>24</v>
      </c>
      <c r="Y93" s="76" t="s">
        <v>25</v>
      </c>
      <c r="Z93" s="76" t="s">
        <v>26</v>
      </c>
    </row>
    <row r="94" spans="1:26" x14ac:dyDescent="0.25">
      <c r="A94" s="269"/>
      <c r="B94" s="269"/>
      <c r="C94" s="267"/>
      <c r="D94" s="267"/>
      <c r="E94" s="268"/>
      <c r="F94" s="267"/>
      <c r="G94" s="267"/>
      <c r="H94" s="267"/>
      <c r="I94" s="268"/>
      <c r="J94" s="267"/>
      <c r="K94" s="267"/>
      <c r="L94" s="267"/>
      <c r="M94" s="267"/>
      <c r="N94" s="267"/>
      <c r="O94" s="267"/>
      <c r="P94" s="267"/>
      <c r="Q94" s="267"/>
      <c r="R94" s="267"/>
      <c r="S94" s="267"/>
      <c r="T94" s="267"/>
      <c r="U94" s="279"/>
      <c r="V94" s="278" t="s">
        <v>27</v>
      </c>
      <c r="W94" s="278" t="s">
        <v>28</v>
      </c>
      <c r="X94" s="278" t="s">
        <v>29</v>
      </c>
      <c r="Y94" s="278" t="s">
        <v>30</v>
      </c>
      <c r="Z94" s="278" t="s">
        <v>31</v>
      </c>
    </row>
    <row r="95" spans="1:26" x14ac:dyDescent="0.25">
      <c r="A95" s="269"/>
      <c r="B95" s="269"/>
      <c r="C95" s="267"/>
      <c r="D95" s="267"/>
      <c r="E95" s="268"/>
      <c r="F95" s="267"/>
      <c r="G95" s="267"/>
      <c r="H95" s="267"/>
      <c r="I95" s="268"/>
      <c r="J95" s="267"/>
      <c r="K95" s="267"/>
      <c r="L95" s="267"/>
      <c r="M95" s="267"/>
      <c r="N95" s="267"/>
      <c r="O95" s="267"/>
      <c r="P95" s="267"/>
      <c r="Q95" s="267"/>
      <c r="R95" s="267"/>
      <c r="S95" s="267"/>
      <c r="T95" s="267"/>
      <c r="U95" s="279"/>
      <c r="V95" s="280"/>
      <c r="W95" s="278"/>
      <c r="X95" s="278"/>
      <c r="Y95" s="278"/>
      <c r="Z95" s="278"/>
    </row>
    <row r="96" spans="1:26" x14ac:dyDescent="0.25">
      <c r="A96" s="269"/>
      <c r="B96" s="269"/>
      <c r="C96" s="267"/>
      <c r="D96" s="267"/>
      <c r="E96" s="268"/>
      <c r="F96" s="267"/>
      <c r="G96" s="124">
        <v>1</v>
      </c>
      <c r="H96" s="124">
        <v>2</v>
      </c>
      <c r="I96" s="124">
        <v>3</v>
      </c>
      <c r="J96" s="124">
        <v>4</v>
      </c>
      <c r="K96" s="124">
        <v>5</v>
      </c>
      <c r="L96" s="124">
        <v>6</v>
      </c>
      <c r="M96" s="124">
        <v>7</v>
      </c>
      <c r="N96" s="124">
        <v>8</v>
      </c>
      <c r="O96" s="124">
        <v>9</v>
      </c>
      <c r="P96" s="124">
        <v>10</v>
      </c>
      <c r="Q96" s="124">
        <v>11</v>
      </c>
      <c r="R96" s="124">
        <v>12</v>
      </c>
      <c r="S96" s="124">
        <v>13</v>
      </c>
      <c r="T96" s="124">
        <v>14</v>
      </c>
      <c r="U96" s="279"/>
      <c r="V96" s="123">
        <v>15</v>
      </c>
      <c r="W96" s="123">
        <v>16</v>
      </c>
      <c r="X96" s="123">
        <v>17</v>
      </c>
      <c r="Y96" s="123">
        <v>18</v>
      </c>
      <c r="Z96" s="123">
        <v>19</v>
      </c>
    </row>
    <row r="97" spans="1:26" ht="15.75" x14ac:dyDescent="0.25">
      <c r="A97" s="283">
        <v>1</v>
      </c>
      <c r="B97" s="338" t="s">
        <v>75</v>
      </c>
      <c r="C97" s="82" t="s">
        <v>76</v>
      </c>
      <c r="D97" s="82" t="s">
        <v>48</v>
      </c>
      <c r="E97" s="82">
        <f>+JAN!E96+FEB!E97+MAR!E97+APR!E97+MEI!E97+JUN!E97+JUL!E97+AGS!E97+SEP!E97+OKT!E97+NOV!E97+DES!E97</f>
        <v>365</v>
      </c>
      <c r="F97" s="82">
        <v>14</v>
      </c>
      <c r="G97" s="85">
        <f>JAN!G96</f>
        <v>17</v>
      </c>
      <c r="H97" s="82">
        <f>+JAN!H96+FEB!H97+MAR!H97+APR!H97+MEI!H97+JUN!H97+JUL!H97+AGS!H97+SEP!H97+OKT!H97+NOV!H97+DES!H97</f>
        <v>178</v>
      </c>
      <c r="I97" s="82">
        <f>+JAN!I96+FEB!I97+MAR!I97+APR!I97+MEI!I97+JUN!I97+JUL!I97+AGS!I97+SEP!I97+OKT!I97+NOV!I97+DES!I97</f>
        <v>1094</v>
      </c>
      <c r="J97" s="85">
        <f t="shared" ref="J97:J118" si="60">+G97+H97+I97</f>
        <v>1289</v>
      </c>
      <c r="K97" s="82">
        <f>+JAN!K96+FEB!K97+MAR!K97+APR!K97+MEI!K97+JUN!K97+JUL!K97+AGS!K97+SEP!K97+OKT!K97+NOV!K97+DES!K97</f>
        <v>1105</v>
      </c>
      <c r="L97" s="82">
        <f>+JAN!L96+FEB!L97+MAR!L97+APR!L97+MEI!L97+JUN!L97+JUL!L97+AGS!L97+SEP!L97+OKT!L97+NOV!L97+DES!L97</f>
        <v>3</v>
      </c>
      <c r="M97" s="127">
        <f t="shared" ref="M97:M118" si="61">+N97+O97</f>
        <v>173</v>
      </c>
      <c r="N97" s="82">
        <f>+JAN!N96+FEB!N97+MAR!N97+APR!N97+MEI!N97+JUN!N97+JUL!N97+AGS!N97+SEP!N97+OKT!N97+NOV!N97+DES!N97</f>
        <v>29</v>
      </c>
      <c r="O97" s="82">
        <f>+JAN!O96+FEB!O97+MAR!O97+APR!O97+MEI!O97+JUN!O97+JUL!O97+AGS!O97+SEP!O97+OKT!O97+NOV!O97+DES!O97</f>
        <v>144</v>
      </c>
      <c r="P97" s="127">
        <f t="shared" ref="P97:P118" si="62">+K97+L97+M97</f>
        <v>1281</v>
      </c>
      <c r="Q97" s="82">
        <f>+JAN!Q96+FEB!Q97+MAR!Q97+APR!Q97+MEI!Q97+JUN!Q97+JUL!Q97+AGS!Q97+SEP!Q97+OKT!Q97+NOV!Q97+DES!Q97</f>
        <v>1345</v>
      </c>
      <c r="R97" s="82">
        <f>+JAN!R96+FEB!R97+MAR!R97+APR!R97+MEI!R97+JUN!R97+JUL!R97+AGS!R97+SEP!R97+OKT!R97+NOV!R97+DES!R97</f>
        <v>5</v>
      </c>
      <c r="S97" s="85">
        <f>+JAN!S96+FEB!S97+MAR!S97+APR!S97+MEI!S97+JUN!S97+JUL!S97+AGS!S97+SEP!S97+OKT!S97+NOV!S97</f>
        <v>2951</v>
      </c>
      <c r="T97" s="127">
        <f t="shared" ref="T97:T118" si="63">J97-P97</f>
        <v>8</v>
      </c>
      <c r="U97" s="127">
        <f t="shared" ref="U97:U118" si="64">+L97+M97</f>
        <v>176</v>
      </c>
      <c r="V97" s="68">
        <f t="shared" ref="V97:V116" si="65">$S97/$E97</f>
        <v>8.0849315068493155</v>
      </c>
      <c r="W97" s="72">
        <f t="shared" ref="W97:W116" si="66">$V97/$F97*100</f>
        <v>57.7495107632094</v>
      </c>
      <c r="X97" s="72">
        <f t="shared" ref="X97:X116" si="67">$S97/($L97+$M97)</f>
        <v>16.767045454545453</v>
      </c>
      <c r="Y97" s="71">
        <f t="shared" ref="Y97:Y116" si="68">(($F97-$V97)*$E97)/($L97+$M97)</f>
        <v>12.267045454545455</v>
      </c>
      <c r="Z97" s="72">
        <f t="shared" ref="Z97:Z116" si="69">($L97+$M97)/$F97</f>
        <v>12.571428571428571</v>
      </c>
    </row>
    <row r="98" spans="1:26" ht="15.75" x14ac:dyDescent="0.25">
      <c r="A98" s="283"/>
      <c r="B98" s="338"/>
      <c r="C98" s="86" t="s">
        <v>76</v>
      </c>
      <c r="D98" s="86" t="s">
        <v>48</v>
      </c>
      <c r="E98" s="82">
        <f>+JAN!E97+FEB!E98+MAR!E98+APR!E98+MEI!E98+JUN!E98+JUL!E98+AGS!E98+SEP!E98+OKT!E98+NOV!E98+DES!E98</f>
        <v>365</v>
      </c>
      <c r="F98" s="129">
        <v>14</v>
      </c>
      <c r="G98" s="129">
        <f>JAN!G97</f>
        <v>17</v>
      </c>
      <c r="H98" s="82">
        <f>+JAN!H97+FEB!H98+MAR!H98+APR!H98+MEI!H98+JUN!H98+JUL!H98+AGS!H98+SEP!H98+OKT!H98+NOV!H98+DES!H98</f>
        <v>293</v>
      </c>
      <c r="I98" s="82">
        <f>+JAN!I97+FEB!I98+MAR!I98+APR!I98+MEI!I98+JUN!I98+JUL!I98+AGS!I98+SEP!I98+OKT!I98+NOV!I98+DES!I98</f>
        <v>920</v>
      </c>
      <c r="J98" s="129">
        <f t="shared" si="60"/>
        <v>1230</v>
      </c>
      <c r="K98" s="82">
        <f>+JAN!K97+FEB!K98+MAR!K98+APR!K98+MEI!K98+JUN!K98+JUL!K98+AGS!K98+SEP!K98+OKT!K98+NOV!K98+DES!K98</f>
        <v>1061</v>
      </c>
      <c r="L98" s="82">
        <f>+JAN!L97+FEB!L98+MAR!L98+APR!L98+MEI!L98+JUN!L98+JUL!L98+AGS!L98+SEP!L98+OKT!L98+NOV!L98+DES!L98</f>
        <v>5</v>
      </c>
      <c r="M98" s="130">
        <f t="shared" si="61"/>
        <v>153</v>
      </c>
      <c r="N98" s="82">
        <f>+JAN!N97+FEB!N98+MAR!N98+APR!N98+MEI!N98+JUN!N98+JUL!N98+AGS!N98+SEP!N98+OKT!N98+NOV!N98+DES!N98</f>
        <v>36</v>
      </c>
      <c r="O98" s="82">
        <f>+JAN!O97+FEB!O98+MAR!O98+APR!O98+MEI!O98+JUN!O98+JUL!O98+AGS!O98+SEP!O98+OKT!O98+NOV!O98+DES!O98</f>
        <v>117</v>
      </c>
      <c r="P98" s="130">
        <f t="shared" si="62"/>
        <v>1219</v>
      </c>
      <c r="Q98" s="82">
        <f>+JAN!Q97+FEB!Q98+MAR!Q98+APR!Q98+MEI!Q98+JUN!Q98+JUL!Q98+AGS!Q98+SEP!Q98+OKT!Q98+NOV!Q98+DES!Q98</f>
        <v>1105</v>
      </c>
      <c r="R98" s="82">
        <f>+JAN!R97+FEB!R98+MAR!R98+APR!R98+MEI!R98+JUN!R98+JUL!R98+AGS!R98+SEP!R98+OKT!R98+NOV!R98+DES!R98</f>
        <v>9</v>
      </c>
      <c r="S98" s="85">
        <f>+JAN!S97+FEB!S98+MAR!S98+APR!S98+MEI!S98+JUN!S98+JUL!S98+AGS!S98+SEP!S98+OKT!S98+NOV!S98</f>
        <v>2618</v>
      </c>
      <c r="T98" s="130">
        <f t="shared" si="63"/>
        <v>11</v>
      </c>
      <c r="U98" s="130">
        <f t="shared" si="64"/>
        <v>158</v>
      </c>
      <c r="V98" s="66">
        <f t="shared" si="65"/>
        <v>7.1726027397260275</v>
      </c>
      <c r="W98" s="74">
        <f t="shared" si="66"/>
        <v>51.232876712328768</v>
      </c>
      <c r="X98" s="74">
        <f t="shared" si="67"/>
        <v>16.569620253164558</v>
      </c>
      <c r="Y98" s="74">
        <f t="shared" si="68"/>
        <v>15.772151898734178</v>
      </c>
      <c r="Z98" s="74">
        <f t="shared" si="69"/>
        <v>11.285714285714286</v>
      </c>
    </row>
    <row r="99" spans="1:26" ht="15.75" x14ac:dyDescent="0.25">
      <c r="A99" s="283">
        <v>2</v>
      </c>
      <c r="B99" s="338"/>
      <c r="C99" s="82" t="s">
        <v>77</v>
      </c>
      <c r="D99" s="82" t="s">
        <v>48</v>
      </c>
      <c r="E99" s="82">
        <f>+JAN!E98+FEB!E99+MAR!E99+APR!E99+MEI!E99+JUN!E99+JUL!E99+AGS!E99+SEP!E99+OKT!E99+NOV!E99+DES!E99</f>
        <v>365</v>
      </c>
      <c r="F99" s="82">
        <v>5</v>
      </c>
      <c r="G99" s="85">
        <f>JAN!G98</f>
        <v>2</v>
      </c>
      <c r="H99" s="82">
        <f>+JAN!H98+FEB!H99+MAR!H99+APR!H99+MEI!H99+JUN!H99+JUL!H99+AGS!H99+SEP!H99+OKT!H99+NOV!H99+DES!H99</f>
        <v>752</v>
      </c>
      <c r="I99" s="82">
        <f>+JAN!I98+FEB!I99+MAR!I99+APR!I99+MEI!I99+JUN!I99+JUL!I99+AGS!I99+SEP!I99+OKT!I99+NOV!I99+DES!I99</f>
        <v>134</v>
      </c>
      <c r="J99" s="85">
        <f t="shared" si="60"/>
        <v>888</v>
      </c>
      <c r="K99" s="82">
        <f>+JAN!K98+FEB!K99+MAR!K99+APR!K99+MEI!K99+JUN!K99+JUL!K99+AGS!K99+SEP!K99+OKT!K99+NOV!K99+DES!K99</f>
        <v>802</v>
      </c>
      <c r="L99" s="82">
        <f>+JAN!L98+FEB!L99+MAR!L99+APR!L99+MEI!L99+JUN!L99+JUL!L99+AGS!L99+SEP!L99+OKT!L99+NOV!L99+DES!L99</f>
        <v>11</v>
      </c>
      <c r="M99" s="127">
        <f t="shared" si="61"/>
        <v>70</v>
      </c>
      <c r="N99" s="82">
        <f>+JAN!N98+FEB!N99+MAR!N99+APR!N99+MEI!N99+JUN!N99+JUL!N99+AGS!N99+SEP!N99+OKT!N99+NOV!N99+DES!N99</f>
        <v>60</v>
      </c>
      <c r="O99" s="82">
        <f>+JAN!O98+FEB!O99+MAR!O99+APR!O99+MEI!O99+JUN!O99+JUL!O99+AGS!O99+SEP!O99+OKT!O99+NOV!O99+DES!O99</f>
        <v>10</v>
      </c>
      <c r="P99" s="127">
        <f t="shared" si="62"/>
        <v>883</v>
      </c>
      <c r="Q99" s="82">
        <f>+JAN!Q98+FEB!Q99+MAR!Q99+APR!Q99+MEI!Q99+JUN!Q99+JUL!Q99+AGS!Q99+SEP!Q99+OKT!Q99+NOV!Q99+DES!Q99</f>
        <v>125</v>
      </c>
      <c r="R99" s="82">
        <f>+JAN!R98+FEB!R99+MAR!R99+APR!R99+MEI!R99+JUN!R99+JUL!R99+AGS!R99+SEP!R99+OKT!R99+NOV!R99+DES!R99</f>
        <v>27</v>
      </c>
      <c r="S99" s="85">
        <f>+JAN!S98+FEB!S99+MAR!S99+APR!S99+MEI!S99+JUN!S99+JUL!S99+AGS!S99+SEP!S99+OKT!S99+NOV!S99</f>
        <v>1163</v>
      </c>
      <c r="T99" s="127">
        <f t="shared" si="63"/>
        <v>5</v>
      </c>
      <c r="U99" s="127">
        <f t="shared" si="64"/>
        <v>81</v>
      </c>
      <c r="V99" s="68">
        <f t="shared" si="65"/>
        <v>3.1863013698630138</v>
      </c>
      <c r="W99" s="72">
        <f t="shared" si="66"/>
        <v>63.726027397260275</v>
      </c>
      <c r="X99" s="72">
        <f t="shared" si="67"/>
        <v>14.358024691358025</v>
      </c>
      <c r="Y99" s="71">
        <f t="shared" si="68"/>
        <v>8.1728395061728403</v>
      </c>
      <c r="Z99" s="72">
        <f t="shared" si="69"/>
        <v>16.2</v>
      </c>
    </row>
    <row r="100" spans="1:26" ht="15.75" x14ac:dyDescent="0.25">
      <c r="A100" s="283"/>
      <c r="B100" s="338"/>
      <c r="C100" s="86" t="s">
        <v>77</v>
      </c>
      <c r="D100" s="86" t="s">
        <v>48</v>
      </c>
      <c r="E100" s="82">
        <f>+JAN!E99+FEB!E100+MAR!E100+APR!E100+MEI!E100+JUN!E100+JUL!E100+AGS!E100+SEP!E100+OKT!E100+NOV!E100+DES!E100</f>
        <v>365</v>
      </c>
      <c r="F100" s="129">
        <v>5</v>
      </c>
      <c r="G100" s="129">
        <f>JAN!G99</f>
        <v>2</v>
      </c>
      <c r="H100" s="82">
        <f>+JAN!H99+FEB!H100+MAR!H100+APR!H100+MEI!H100+JUN!H100+JUL!H100+AGS!H100+SEP!H100+OKT!H100+NOV!H100+DES!H100</f>
        <v>622</v>
      </c>
      <c r="I100" s="82">
        <f>+JAN!I99+FEB!I100+MAR!I100+APR!I100+MEI!I100+JUN!I100+JUL!I100+AGS!I100+SEP!I100+OKT!I100+NOV!I100+DES!I100</f>
        <v>141</v>
      </c>
      <c r="J100" s="129">
        <f t="shared" si="60"/>
        <v>765</v>
      </c>
      <c r="K100" s="82">
        <f>+JAN!K99+FEB!K100+MAR!K100+APR!K100+MEI!K100+JUN!K100+JUL!K100+AGS!K100+SEP!K100+OKT!K100+NOV!K100+DES!K100</f>
        <v>691</v>
      </c>
      <c r="L100" s="82">
        <f>+JAN!L99+FEB!L100+MAR!L100+APR!L100+MEI!L100+JUN!L100+JUL!L100+AGS!L100+SEP!L100+OKT!L100+NOV!L100+DES!L100</f>
        <v>9</v>
      </c>
      <c r="M100" s="130">
        <f t="shared" si="61"/>
        <v>58</v>
      </c>
      <c r="N100" s="82">
        <f>+JAN!N99+FEB!N100+MAR!N100+APR!N100+MEI!N100+JUN!N100+JUL!N100+AGS!N100+SEP!N100+OKT!N100+NOV!N100+DES!N100</f>
        <v>46</v>
      </c>
      <c r="O100" s="82">
        <f>+JAN!O99+FEB!O100+MAR!O100+APR!O100+MEI!O100+JUN!O100+JUL!O100+AGS!O100+SEP!O100+OKT!O100+NOV!O100+DES!O100</f>
        <v>12</v>
      </c>
      <c r="P100" s="130">
        <f t="shared" si="62"/>
        <v>758</v>
      </c>
      <c r="Q100" s="82">
        <f>+JAN!Q99+FEB!Q100+MAR!Q100+APR!Q100+MEI!Q100+JUN!Q100+JUL!Q100+AGS!Q100+SEP!Q100+OKT!Q100+NOV!Q100+DES!Q100</f>
        <v>149</v>
      </c>
      <c r="R100" s="82">
        <f>+JAN!R99+FEB!R100+MAR!R100+APR!R100+MEI!R100+JUN!R100+JUL!R100+AGS!R100+SEP!R100+OKT!R100+NOV!R100+DES!R100</f>
        <v>22</v>
      </c>
      <c r="S100" s="85">
        <f>+JAN!S99+FEB!S100+MAR!S100+APR!S100+MEI!S100+JUN!S100+JUL!S100+AGS!S100+SEP!S100+OKT!S100+NOV!S100</f>
        <v>1088</v>
      </c>
      <c r="T100" s="130">
        <f t="shared" si="63"/>
        <v>7</v>
      </c>
      <c r="U100" s="130">
        <f t="shared" si="64"/>
        <v>67</v>
      </c>
      <c r="V100" s="66">
        <f t="shared" si="65"/>
        <v>2.9808219178082194</v>
      </c>
      <c r="W100" s="74">
        <f t="shared" si="66"/>
        <v>59.616438356164394</v>
      </c>
      <c r="X100" s="74">
        <f t="shared" si="67"/>
        <v>16.238805970149254</v>
      </c>
      <c r="Y100" s="74">
        <f t="shared" si="68"/>
        <v>10.999999999999998</v>
      </c>
      <c r="Z100" s="74">
        <f t="shared" si="69"/>
        <v>13.4</v>
      </c>
    </row>
    <row r="101" spans="1:26" ht="15.75" x14ac:dyDescent="0.25">
      <c r="A101" s="283">
        <v>3</v>
      </c>
      <c r="B101" s="338"/>
      <c r="C101" s="82" t="s">
        <v>78</v>
      </c>
      <c r="D101" s="82" t="s">
        <v>48</v>
      </c>
      <c r="E101" s="82">
        <f>+JAN!E100+FEB!E101+MAR!E101+APR!E101+MEI!E101+JUN!E101+JUL!E101+AGS!E101+SEP!E101+OKT!E101+NOV!E101+DES!E101</f>
        <v>365</v>
      </c>
      <c r="F101" s="82">
        <v>3</v>
      </c>
      <c r="G101" s="85">
        <f>JAN!G100</f>
        <v>2</v>
      </c>
      <c r="H101" s="82">
        <f>+JAN!H100+FEB!H101+MAR!H101+APR!H101+MEI!H101+JUN!H101+JUL!H101+AGS!H101+SEP!H101+OKT!H101+NOV!H101+DES!H101</f>
        <v>106</v>
      </c>
      <c r="I101" s="82">
        <f>+JAN!I100+FEB!I101+MAR!I101+APR!I101+MEI!I101+JUN!I101+JUL!I101+AGS!I101+SEP!I101+OKT!I101+NOV!I101+DES!I101</f>
        <v>125</v>
      </c>
      <c r="J101" s="85">
        <f t="shared" si="60"/>
        <v>233</v>
      </c>
      <c r="K101" s="82">
        <f>+JAN!K100+FEB!K101+MAR!K101+APR!K101+MEI!K101+JUN!K101+JUL!K101+AGS!K101+SEP!K101+OKT!K101+NOV!K101+DES!K101</f>
        <v>184</v>
      </c>
      <c r="L101" s="82">
        <f>+JAN!L100+FEB!L101+MAR!L101+APR!L101+MEI!L101+JUN!L101+JUL!L101+AGS!L101+SEP!L101+OKT!L101+NOV!L101+DES!L101</f>
        <v>3</v>
      </c>
      <c r="M101" s="127">
        <f t="shared" si="61"/>
        <v>39</v>
      </c>
      <c r="N101" s="82">
        <f>+JAN!N100+FEB!N101+MAR!N101+APR!N101+MEI!N101+JUN!N101+JUL!N101+AGS!N101+SEP!N101+OKT!N101+NOV!N101+DES!N101</f>
        <v>10</v>
      </c>
      <c r="O101" s="82">
        <f>+JAN!O100+FEB!O101+MAR!O101+APR!O101+MEI!O101+JUN!O101+JUL!O101+AGS!O101+SEP!O101+OKT!O101+NOV!O101+DES!O101</f>
        <v>29</v>
      </c>
      <c r="P101" s="127">
        <f t="shared" si="62"/>
        <v>226</v>
      </c>
      <c r="Q101" s="82">
        <f>+JAN!Q100+FEB!Q101+MAR!Q101+APR!Q101+MEI!Q101+JUN!Q101+JUL!Q101+AGS!Q101+SEP!Q101+OKT!Q101+NOV!Q101+DES!Q101</f>
        <v>299</v>
      </c>
      <c r="R101" s="82">
        <f>+JAN!R100+FEB!R101+MAR!R101+APR!R101+MEI!R101+JUN!R101+JUL!R101+AGS!R101+SEP!R101+OKT!R101+NOV!R101+DES!R101</f>
        <v>0</v>
      </c>
      <c r="S101" s="85">
        <f>+JAN!S100+FEB!S101+MAR!S101+APR!S101+MEI!S101+JUN!S101+JUL!S101+AGS!S101+SEP!S101+OKT!S101+NOV!S101</f>
        <v>704</v>
      </c>
      <c r="T101" s="127">
        <f t="shared" si="63"/>
        <v>7</v>
      </c>
      <c r="U101" s="127">
        <f t="shared" si="64"/>
        <v>42</v>
      </c>
      <c r="V101" s="68">
        <f t="shared" si="65"/>
        <v>1.9287671232876713</v>
      </c>
      <c r="W101" s="72">
        <f t="shared" si="66"/>
        <v>64.292237442922371</v>
      </c>
      <c r="X101" s="72">
        <f t="shared" si="67"/>
        <v>16.761904761904763</v>
      </c>
      <c r="Y101" s="71">
        <f t="shared" si="68"/>
        <v>9.3095238095238102</v>
      </c>
      <c r="Z101" s="72">
        <f t="shared" si="69"/>
        <v>14</v>
      </c>
    </row>
    <row r="102" spans="1:26" ht="15.75" x14ac:dyDescent="0.25">
      <c r="A102" s="283"/>
      <c r="B102" s="338"/>
      <c r="C102" s="86" t="s">
        <v>78</v>
      </c>
      <c r="D102" s="86" t="s">
        <v>48</v>
      </c>
      <c r="E102" s="82">
        <f>+JAN!E101+FEB!E102+MAR!E102+APR!E102+MEI!E102+JUN!E102+JUL!E102+AGS!E102+SEP!E102+OKT!E102+NOV!E102+DES!E102</f>
        <v>365</v>
      </c>
      <c r="F102" s="129">
        <v>3</v>
      </c>
      <c r="G102" s="129">
        <f>JAN!G101</f>
        <v>2</v>
      </c>
      <c r="H102" s="82">
        <f>+JAN!H101+FEB!H102+MAR!H102+APR!H102+MEI!H102+JUN!H102+JUL!H102+AGS!H102+SEP!H102+OKT!H102+NOV!H102+DES!H102</f>
        <v>114</v>
      </c>
      <c r="I102" s="82">
        <f>+JAN!I101+FEB!I102+MAR!I102+APR!I102+MEI!I102+JUN!I102+JUL!I102+AGS!I102+SEP!I102+OKT!I102+NOV!I102+DES!I102</f>
        <v>124</v>
      </c>
      <c r="J102" s="129">
        <f t="shared" si="60"/>
        <v>240</v>
      </c>
      <c r="K102" s="82">
        <f>+JAN!K101+FEB!K102+MAR!K102+APR!K102+MEI!K102+JUN!K102+JUL!K102+AGS!K102+SEP!K102+OKT!K102+NOV!K102+DES!K102</f>
        <v>181</v>
      </c>
      <c r="L102" s="82">
        <f>+JAN!L101+FEB!L102+MAR!L102+APR!L102+MEI!L102+JUN!L102+JUL!L102+AGS!L102+SEP!L102+OKT!L102+NOV!L102+DES!L102</f>
        <v>3</v>
      </c>
      <c r="M102" s="130">
        <f t="shared" si="61"/>
        <v>50</v>
      </c>
      <c r="N102" s="82">
        <f>+JAN!N101+FEB!N102+MAR!N102+APR!N102+MEI!N102+JUN!N102+JUL!N102+AGS!N102+SEP!N102+OKT!N102+NOV!N102+DES!N102</f>
        <v>17</v>
      </c>
      <c r="O102" s="82">
        <f>+JAN!O101+FEB!O102+MAR!O102+APR!O102+MEI!O102+JUN!O102+JUL!O102+AGS!O102+SEP!O102+OKT!O102+NOV!O102+DES!O102</f>
        <v>33</v>
      </c>
      <c r="P102" s="130">
        <f t="shared" si="62"/>
        <v>234</v>
      </c>
      <c r="Q102" s="82">
        <f>+JAN!Q101+FEB!Q102+MAR!Q102+APR!Q102+MEI!Q102+JUN!Q102+JUL!Q102+AGS!Q102+SEP!Q102+OKT!Q102+NOV!Q102+DES!Q102</f>
        <v>337</v>
      </c>
      <c r="R102" s="82">
        <f>+JAN!R101+FEB!R102+MAR!R102+APR!R102+MEI!R102+JUN!R102+JUL!R102+AGS!R102+SEP!R102+OKT!R102+NOV!R102+DES!R102</f>
        <v>4</v>
      </c>
      <c r="S102" s="85">
        <f>+JAN!S101+FEB!S102+MAR!S102+APR!S102+MEI!S102+JUN!S102+JUL!S102+AGS!S102+SEP!S102+OKT!S102+NOV!S102</f>
        <v>825</v>
      </c>
      <c r="T102" s="130">
        <f t="shared" si="63"/>
        <v>6</v>
      </c>
      <c r="U102" s="130">
        <f t="shared" si="64"/>
        <v>53</v>
      </c>
      <c r="V102" s="66">
        <f t="shared" si="65"/>
        <v>2.2602739726027399</v>
      </c>
      <c r="W102" s="74">
        <f t="shared" si="66"/>
        <v>75.342465753424662</v>
      </c>
      <c r="X102" s="74">
        <f t="shared" si="67"/>
        <v>15.566037735849056</v>
      </c>
      <c r="Y102" s="74">
        <f t="shared" si="68"/>
        <v>5.0943396226415087</v>
      </c>
      <c r="Z102" s="74">
        <f t="shared" si="69"/>
        <v>17.666666666666668</v>
      </c>
    </row>
    <row r="103" spans="1:26" ht="15.75" x14ac:dyDescent="0.25">
      <c r="A103" s="283">
        <v>4</v>
      </c>
      <c r="B103" s="338"/>
      <c r="C103" s="85" t="s">
        <v>79</v>
      </c>
      <c r="D103" s="85" t="s">
        <v>48</v>
      </c>
      <c r="E103" s="82">
        <f>+JAN!E102+FEB!E103+MAR!E103+APR!E103+MEI!E103+JUN!E103+JUL!E103+AGS!E103+SEP!E103+OKT!E103+NOV!E103+DES!E103</f>
        <v>365</v>
      </c>
      <c r="F103" s="85">
        <v>5</v>
      </c>
      <c r="G103" s="85">
        <f>JAN!G102</f>
        <v>5</v>
      </c>
      <c r="H103" s="82">
        <f>+JAN!H102+FEB!H103+MAR!H103+APR!H103+MEI!H103+JUN!H103+JUL!H103+AGS!H103+SEP!H103+OKT!H103+NOV!H103+DES!H103</f>
        <v>99</v>
      </c>
      <c r="I103" s="82">
        <f>+JAN!I102+FEB!I103+MAR!I103+APR!I103+MEI!I103+JUN!I103+JUL!I103+AGS!I103+SEP!I103+OKT!I103+NOV!I103+DES!I103</f>
        <v>213</v>
      </c>
      <c r="J103" s="85">
        <f t="shared" si="60"/>
        <v>317</v>
      </c>
      <c r="K103" s="82">
        <f>+JAN!K102+FEB!K103+MAR!K103+APR!K103+MEI!K103+JUN!K103+JUL!K103+AGS!K103+SEP!K103+OKT!K103+NOV!K103+DES!K103</f>
        <v>225</v>
      </c>
      <c r="L103" s="82">
        <f>+JAN!L102+FEB!L103+MAR!L103+APR!L103+MEI!L103+JUN!L103+JUL!L103+AGS!L103+SEP!L103+OKT!L103+NOV!L103+DES!L103</f>
        <v>2</v>
      </c>
      <c r="M103" s="127">
        <f t="shared" si="61"/>
        <v>85</v>
      </c>
      <c r="N103" s="82">
        <f>+JAN!N102+FEB!N103+MAR!N103+APR!N103+MEI!N103+JUN!N103+JUL!N103+AGS!N103+SEP!N103+OKT!N103+NOV!N103+DES!N103</f>
        <v>38</v>
      </c>
      <c r="O103" s="82">
        <f>+JAN!O102+FEB!O103+MAR!O103+APR!O103+MEI!O103+JUN!O103+JUL!O103+AGS!O103+SEP!O103+OKT!O103+NOV!O103+DES!O103</f>
        <v>47</v>
      </c>
      <c r="P103" s="127">
        <f t="shared" si="62"/>
        <v>312</v>
      </c>
      <c r="Q103" s="82">
        <f>+JAN!Q102+FEB!Q103+MAR!Q103+APR!Q103+MEI!Q103+JUN!Q103+JUL!Q103+AGS!Q103+SEP!Q103+OKT!Q103+NOV!Q103+DES!Q103</f>
        <v>486</v>
      </c>
      <c r="R103" s="82">
        <f>+JAN!R102+FEB!R103+MAR!R103+APR!R103+MEI!R103+JUN!R103+JUL!R103+AGS!R103+SEP!R103+OKT!R103+NOV!R103+DES!R103</f>
        <v>9</v>
      </c>
      <c r="S103" s="85">
        <f>+JAN!S102+FEB!S103+MAR!S103+APR!S103+MEI!S103+JUN!S103+JUL!S103+AGS!S103+SEP!S103+OKT!S103+NOV!S103</f>
        <v>1377</v>
      </c>
      <c r="T103" s="127">
        <f t="shared" si="63"/>
        <v>5</v>
      </c>
      <c r="U103" s="127">
        <f t="shared" si="64"/>
        <v>87</v>
      </c>
      <c r="V103" s="68">
        <f t="shared" si="65"/>
        <v>3.7726027397260276</v>
      </c>
      <c r="W103" s="72">
        <f t="shared" si="66"/>
        <v>75.452054794520549</v>
      </c>
      <c r="X103" s="72">
        <f t="shared" si="67"/>
        <v>15.827586206896552</v>
      </c>
      <c r="Y103" s="71">
        <f t="shared" si="68"/>
        <v>5.1494252873563209</v>
      </c>
      <c r="Z103" s="72">
        <f t="shared" si="69"/>
        <v>17.399999999999999</v>
      </c>
    </row>
    <row r="104" spans="1:26" ht="15.75" x14ac:dyDescent="0.25">
      <c r="A104" s="283"/>
      <c r="B104" s="338"/>
      <c r="C104" s="86" t="s">
        <v>79</v>
      </c>
      <c r="D104" s="86" t="s">
        <v>48</v>
      </c>
      <c r="E104" s="82">
        <f>+JAN!E103+FEB!E104+MAR!E104+APR!E104+MEI!E104+JUN!E104+JUL!E104+AGS!E104+SEP!E104+OKT!E104+NOV!E104+DES!E104</f>
        <v>365</v>
      </c>
      <c r="F104" s="129">
        <v>5</v>
      </c>
      <c r="G104" s="129">
        <f>JAN!G103</f>
        <v>5</v>
      </c>
      <c r="H104" s="82">
        <f>+JAN!H103+FEB!H104+MAR!H104+APR!H104+MEI!H104+JUN!H104+JUL!H104+AGS!H104+SEP!H104+OKT!H104+NOV!H104+DES!H104</f>
        <v>126</v>
      </c>
      <c r="I104" s="82">
        <f>+JAN!I103+FEB!I104+MAR!I104+APR!I104+MEI!I104+JUN!I104+JUL!I104+AGS!I104+SEP!I104+OKT!I104+NOV!I104+DES!I104</f>
        <v>205</v>
      </c>
      <c r="J104" s="129">
        <f t="shared" si="60"/>
        <v>336</v>
      </c>
      <c r="K104" s="82">
        <f>+JAN!K103+FEB!K104+MAR!K104+APR!K104+MEI!K104+JUN!K104+JUL!K104+AGS!K104+SEP!K104+OKT!K104+NOV!K104+DES!K104</f>
        <v>235</v>
      </c>
      <c r="L104" s="82">
        <f>+JAN!L103+FEB!L104+MAR!L104+APR!L104+MEI!L104+JUN!L104+JUL!L104+AGS!L104+SEP!L104+OKT!L104+NOV!L104+DES!L104</f>
        <v>3</v>
      </c>
      <c r="M104" s="130">
        <f t="shared" si="61"/>
        <v>94</v>
      </c>
      <c r="N104" s="82">
        <f>+JAN!N103+FEB!N104+MAR!N104+APR!N104+MEI!N104+JUN!N104+JUL!N104+AGS!N104+SEP!N104+OKT!N104+NOV!N104+DES!N104</f>
        <v>50</v>
      </c>
      <c r="O104" s="82">
        <f>+JAN!O103+FEB!O104+MAR!O104+APR!O104+MEI!O104+JUN!O104+JUL!O104+AGS!O104+SEP!O104+OKT!O104+NOV!O104+DES!O104</f>
        <v>44</v>
      </c>
      <c r="P104" s="130">
        <f t="shared" si="62"/>
        <v>332</v>
      </c>
      <c r="Q104" s="82">
        <f>+JAN!Q103+FEB!Q104+MAR!Q104+APR!Q104+MEI!Q104+JUN!Q104+JUL!Q104+AGS!Q104+SEP!Q104+OKT!Q104+NOV!Q104+DES!Q104</f>
        <v>455</v>
      </c>
      <c r="R104" s="82">
        <f>+JAN!R103+FEB!R104+MAR!R104+APR!R104+MEI!R104+JUN!R104+JUL!R104+AGS!R104+SEP!R104+OKT!R104+NOV!R104+DES!R104</f>
        <v>12</v>
      </c>
      <c r="S104" s="85">
        <f>+JAN!S103+FEB!S104+MAR!S104+APR!S104+MEI!S104+JUN!S104+JUL!S104+AGS!S104+SEP!S104+OKT!S104+NOV!S104</f>
        <v>1277</v>
      </c>
      <c r="T104" s="130">
        <f t="shared" si="63"/>
        <v>4</v>
      </c>
      <c r="U104" s="130">
        <f t="shared" si="64"/>
        <v>97</v>
      </c>
      <c r="V104" s="66">
        <f t="shared" si="65"/>
        <v>3.4986301369863013</v>
      </c>
      <c r="W104" s="74">
        <f t="shared" si="66"/>
        <v>69.972602739726028</v>
      </c>
      <c r="X104" s="74">
        <f t="shared" si="67"/>
        <v>13.164948453608247</v>
      </c>
      <c r="Y104" s="74">
        <f t="shared" si="68"/>
        <v>5.6494845360824746</v>
      </c>
      <c r="Z104" s="74">
        <f t="shared" si="69"/>
        <v>19.399999999999999</v>
      </c>
    </row>
    <row r="105" spans="1:26" ht="15.75" x14ac:dyDescent="0.25">
      <c r="A105" s="283">
        <v>5</v>
      </c>
      <c r="B105" s="338"/>
      <c r="C105" s="85" t="s">
        <v>80</v>
      </c>
      <c r="D105" s="85" t="s">
        <v>48</v>
      </c>
      <c r="E105" s="82">
        <f>+JAN!E104+FEB!E105+MAR!E105+APR!E105+MEI!E105+JUN!E105+JUL!E105+AGS!E105+SEP!E105+OKT!E105+NOV!E105+DES!E105</f>
        <v>365</v>
      </c>
      <c r="F105" s="85">
        <v>4</v>
      </c>
      <c r="G105" s="85">
        <f>JAN!G104</f>
        <v>3</v>
      </c>
      <c r="H105" s="82">
        <f>+JAN!H104+FEB!H105+MAR!H105+APR!H105+MEI!H105+JUN!H105+JUL!H105+AGS!H105+SEP!H105+OKT!H105+NOV!H105+DES!H105</f>
        <v>280</v>
      </c>
      <c r="I105" s="82">
        <f>+JAN!I104+FEB!I105+MAR!I105+APR!I105+MEI!I105+JUN!I105+JUL!I105+AGS!I105+SEP!I105+OKT!I105+NOV!I105+DES!I105</f>
        <v>115</v>
      </c>
      <c r="J105" s="85">
        <f t="shared" si="60"/>
        <v>398</v>
      </c>
      <c r="K105" s="82">
        <f>+JAN!K104+FEB!K105+MAR!K105+APR!K105+MEI!K105+JUN!K105+JUL!K105+AGS!K105+SEP!K105+OKT!K105+NOV!K105+DES!K105</f>
        <v>257</v>
      </c>
      <c r="L105" s="82">
        <f>+JAN!L104+FEB!L105+MAR!L105+APR!L105+MEI!L105+JUN!L105+JUL!L105+AGS!L105+SEP!L105+OKT!L105+NOV!L105+DES!L105</f>
        <v>5</v>
      </c>
      <c r="M105" s="127">
        <f t="shared" si="61"/>
        <v>130</v>
      </c>
      <c r="N105" s="82">
        <f>+JAN!N104+FEB!N105+MAR!N105+APR!N105+MEI!N105+JUN!N105+JUL!N105+AGS!N105+SEP!N105+OKT!N105+NOV!N105+DES!N105</f>
        <v>84</v>
      </c>
      <c r="O105" s="82">
        <f>+JAN!O104+FEB!O105+MAR!O105+APR!O105+MEI!O105+JUN!O105+JUL!O105+AGS!O105+SEP!O105+OKT!O105+NOV!O105+DES!O105</f>
        <v>46</v>
      </c>
      <c r="P105" s="127">
        <f t="shared" si="62"/>
        <v>392</v>
      </c>
      <c r="Q105" s="82">
        <f>+JAN!Q104+FEB!Q105+MAR!Q105+APR!Q105+MEI!Q105+JUN!Q105+JUL!Q105+AGS!Q105+SEP!Q105+OKT!Q105+NOV!Q105+DES!Q105</f>
        <v>411</v>
      </c>
      <c r="R105" s="82">
        <f>+JAN!R104+FEB!R105+MAR!R105+APR!R105+MEI!R105+JUN!R105+JUL!R105+AGS!R105+SEP!R105+OKT!R105+NOV!R105+DES!R105</f>
        <v>38</v>
      </c>
      <c r="S105" s="85">
        <f>+JAN!S104+FEB!S105+MAR!S105+APR!S105+MEI!S105+JUN!S105+JUL!S105+AGS!S105+SEP!S105+OKT!S105+NOV!S105</f>
        <v>923</v>
      </c>
      <c r="T105" s="127">
        <f t="shared" si="63"/>
        <v>6</v>
      </c>
      <c r="U105" s="127">
        <f t="shared" si="64"/>
        <v>135</v>
      </c>
      <c r="V105" s="68">
        <f t="shared" si="65"/>
        <v>2.5287671232876714</v>
      </c>
      <c r="W105" s="72">
        <f t="shared" si="66"/>
        <v>63.219178082191782</v>
      </c>
      <c r="X105" s="72">
        <f t="shared" si="67"/>
        <v>6.837037037037037</v>
      </c>
      <c r="Y105" s="71">
        <f t="shared" si="68"/>
        <v>3.977777777777777</v>
      </c>
      <c r="Z105" s="72">
        <f t="shared" si="69"/>
        <v>33.75</v>
      </c>
    </row>
    <row r="106" spans="1:26" ht="15.75" x14ac:dyDescent="0.25">
      <c r="A106" s="283"/>
      <c r="B106" s="338"/>
      <c r="C106" s="86" t="s">
        <v>80</v>
      </c>
      <c r="D106" s="86" t="s">
        <v>48</v>
      </c>
      <c r="E106" s="82">
        <f>+JAN!E105+FEB!E106+MAR!E106+APR!E106+MEI!E106+JUN!E106+JUL!E106+AGS!E106+SEP!E106+OKT!E106+NOV!E106+DES!E106</f>
        <v>365</v>
      </c>
      <c r="F106" s="129">
        <v>4</v>
      </c>
      <c r="G106" s="129">
        <f>JAN!G105</f>
        <v>3</v>
      </c>
      <c r="H106" s="82">
        <f>+JAN!H105+FEB!H106+MAR!H106+APR!H106+MEI!H106+JUN!H106+JUL!H106+AGS!H106+SEP!H106+OKT!H106+NOV!H106+DES!H106</f>
        <v>252</v>
      </c>
      <c r="I106" s="82">
        <f>+JAN!I105+FEB!I106+MAR!I106+APR!I106+MEI!I106+JUN!I106+JUL!I106+AGS!I106+SEP!I106+OKT!I106+NOV!I106+DES!I106</f>
        <v>98</v>
      </c>
      <c r="J106" s="129">
        <f t="shared" si="60"/>
        <v>353</v>
      </c>
      <c r="K106" s="82">
        <f>+JAN!K105+FEB!K106+MAR!K106+APR!K106+MEI!K106+JUN!K106+JUL!K106+AGS!K106+SEP!K106+OKT!K106+NOV!K106+DES!K106</f>
        <v>226</v>
      </c>
      <c r="L106" s="82">
        <f>+JAN!L105+FEB!L106+MAR!L106+APR!L106+MEI!L106+JUN!L106+JUL!L106+AGS!L106+SEP!L106+OKT!L106+NOV!L106+DES!L106</f>
        <v>5</v>
      </c>
      <c r="M106" s="130">
        <f t="shared" si="61"/>
        <v>117</v>
      </c>
      <c r="N106" s="82">
        <f>+JAN!N105+FEB!N106+MAR!N106+APR!N106+MEI!N106+JUN!N106+JUL!N106+AGS!N106+SEP!N106+OKT!N106+NOV!N106+DES!N106</f>
        <v>74</v>
      </c>
      <c r="O106" s="82">
        <f>+JAN!O105+FEB!O106+MAR!O106+APR!O106+MEI!O106+JUN!O106+JUL!O106+AGS!O106+SEP!O106+OKT!O106+NOV!O106+DES!O106</f>
        <v>43</v>
      </c>
      <c r="P106" s="130">
        <f t="shared" si="62"/>
        <v>348</v>
      </c>
      <c r="Q106" s="82">
        <f>+JAN!Q105+FEB!Q106+MAR!Q106+APR!Q106+MEI!Q106+JUN!Q106+JUL!Q106+AGS!Q106+SEP!Q106+OKT!Q106+NOV!Q106+DES!Q106</f>
        <v>381</v>
      </c>
      <c r="R106" s="82">
        <f>+JAN!R105+FEB!R106+MAR!R106+APR!R106+MEI!R106+JUN!R106+JUL!R106+AGS!R106+SEP!R106+OKT!R106+NOV!R106+DES!R106</f>
        <v>33</v>
      </c>
      <c r="S106" s="85">
        <f>+JAN!S105+FEB!S106+MAR!S106+APR!S106+MEI!S106+JUN!S106+JUL!S106+AGS!S106+SEP!S106+OKT!S106+NOV!S106</f>
        <v>827</v>
      </c>
      <c r="T106" s="130">
        <f t="shared" si="63"/>
        <v>5</v>
      </c>
      <c r="U106" s="130">
        <f t="shared" si="64"/>
        <v>122</v>
      </c>
      <c r="V106" s="66">
        <f t="shared" si="65"/>
        <v>2.2657534246575342</v>
      </c>
      <c r="W106" s="74">
        <f t="shared" si="66"/>
        <v>56.643835616438352</v>
      </c>
      <c r="X106" s="74">
        <f t="shared" si="67"/>
        <v>6.778688524590164</v>
      </c>
      <c r="Y106" s="74">
        <f t="shared" si="68"/>
        <v>5.1885245901639347</v>
      </c>
      <c r="Z106" s="74">
        <f t="shared" si="69"/>
        <v>30.5</v>
      </c>
    </row>
    <row r="107" spans="1:26" ht="15.75" x14ac:dyDescent="0.25">
      <c r="A107" s="91"/>
      <c r="B107" s="338"/>
      <c r="C107" s="85" t="s">
        <v>70</v>
      </c>
      <c r="D107" s="85" t="s">
        <v>48</v>
      </c>
      <c r="E107" s="82">
        <f>+JAN!E106+FEB!E107+MAR!E107+APR!E107+MEI!E107+JUN!E107+JUL!E107+AGS!E107+SEP!E107+OKT!E107+NOV!E107+DES!E107</f>
        <v>365</v>
      </c>
      <c r="F107" s="85">
        <v>2</v>
      </c>
      <c r="G107" s="85">
        <f>JAN!G106</f>
        <v>0</v>
      </c>
      <c r="H107" s="82">
        <f>+JAN!H106+FEB!H107+MAR!H107+APR!H107+MEI!H107+JUN!H107+JUL!H107+AGS!H107+SEP!H107+OKT!H107+NOV!H107+DES!H107</f>
        <v>98</v>
      </c>
      <c r="I107" s="82">
        <f>+JAN!I106+FEB!I107+MAR!I107+APR!I107+MEI!I107+JUN!I107+JUL!I107+AGS!I107+SEP!I107+OKT!I107+NOV!I107+DES!I107</f>
        <v>40</v>
      </c>
      <c r="J107" s="85">
        <f t="shared" si="60"/>
        <v>138</v>
      </c>
      <c r="K107" s="82">
        <f>+JAN!K106+FEB!K107+MAR!K107+APR!K107+MEI!K107+JUN!K107+JUL!K107+AGS!K107+SEP!K107+OKT!K107+NOV!K107+DES!K107</f>
        <v>77</v>
      </c>
      <c r="L107" s="82">
        <f>+JAN!L106+FEB!L107+MAR!L107+APR!L107+MEI!L107+JUN!L107+JUL!L107+AGS!L107+SEP!L107+OKT!L107+NOV!L107+DES!L107</f>
        <v>3</v>
      </c>
      <c r="M107" s="127">
        <f t="shared" si="61"/>
        <v>57</v>
      </c>
      <c r="N107" s="82">
        <f>+JAN!N106+FEB!N107+MAR!N107+APR!N107+MEI!N107+JUN!N107+JUL!N107+AGS!N107+SEP!N107+OKT!N107+NOV!N107+DES!N107</f>
        <v>40</v>
      </c>
      <c r="O107" s="82">
        <f>+JAN!O106+FEB!O107+MAR!O107+APR!O107+MEI!O107+JUN!O107+JUL!O107+AGS!O107+SEP!O107+OKT!O107+NOV!O107+DES!O107</f>
        <v>17</v>
      </c>
      <c r="P107" s="127">
        <f t="shared" si="62"/>
        <v>137</v>
      </c>
      <c r="Q107" s="82">
        <f>+JAN!Q106+FEB!Q107+MAR!Q107+APR!Q107+MEI!Q107+JUN!Q107+JUL!Q107+AGS!Q107+SEP!Q107+OKT!Q107+NOV!Q107+DES!Q107</f>
        <v>175</v>
      </c>
      <c r="R107" s="82">
        <f>+JAN!R106+FEB!R107+MAR!R107+APR!R107+MEI!R107+JUN!R107+JUL!R107+AGS!R107+SEP!R107+OKT!R107+NOV!R107+DES!R107</f>
        <v>11</v>
      </c>
      <c r="S107" s="85">
        <f>+JAN!S106+FEB!S107+MAR!S107+APR!S107+MEI!S107+JUN!S107+JUL!S107+AGS!S107+SEP!S107+OKT!S107+NOV!S107</f>
        <v>327</v>
      </c>
      <c r="T107" s="127">
        <f t="shared" si="63"/>
        <v>1</v>
      </c>
      <c r="U107" s="127">
        <f t="shared" si="64"/>
        <v>60</v>
      </c>
      <c r="V107" s="68">
        <f t="shared" si="65"/>
        <v>0.89589041095890409</v>
      </c>
      <c r="W107" s="72">
        <f t="shared" si="66"/>
        <v>44.794520547945204</v>
      </c>
      <c r="X107" s="72">
        <f t="shared" si="67"/>
        <v>5.45</v>
      </c>
      <c r="Y107" s="71">
        <f t="shared" si="68"/>
        <v>6.7166666666666668</v>
      </c>
      <c r="Z107" s="72">
        <f t="shared" si="69"/>
        <v>30</v>
      </c>
    </row>
    <row r="108" spans="1:26" ht="15.75" x14ac:dyDescent="0.25">
      <c r="A108" s="91"/>
      <c r="B108" s="338"/>
      <c r="C108" s="86" t="s">
        <v>70</v>
      </c>
      <c r="D108" s="86"/>
      <c r="E108" s="82">
        <f>+JAN!E107+FEB!E108+MAR!E108+APR!E108+MEI!E108+JUN!E108+JUL!E108+AGS!E108+SEP!E108+OKT!E108+NOV!E108+DES!E108</f>
        <v>365</v>
      </c>
      <c r="F108" s="129">
        <v>2</v>
      </c>
      <c r="G108" s="129">
        <f>JAN!G107</f>
        <v>0</v>
      </c>
      <c r="H108" s="82">
        <f>+JAN!H107+FEB!H108+MAR!H108+APR!H108+MEI!H108+JUN!H108+JUL!H108+AGS!H108+SEP!H108+OKT!H108+NOV!H108+DES!H108</f>
        <v>77</v>
      </c>
      <c r="I108" s="82">
        <f>+JAN!I107+FEB!I108+MAR!I108+APR!I108+MEI!I108+JUN!I108+JUL!I108+AGS!I108+SEP!I108+OKT!I108+NOV!I108+DES!I108</f>
        <v>36</v>
      </c>
      <c r="J108" s="129">
        <f t="shared" si="60"/>
        <v>113</v>
      </c>
      <c r="K108" s="82">
        <f>+JAN!K107+FEB!K108+MAR!K108+APR!K108+MEI!K108+JUN!K108+JUL!K108+AGS!K108+SEP!K108+OKT!K108+NOV!K108+DES!K108</f>
        <v>64</v>
      </c>
      <c r="L108" s="82">
        <f>+JAN!L107+FEB!L108+MAR!L108+APR!L108+MEI!L108+JUN!L108+JUL!L108+AGS!L108+SEP!L108+OKT!L108+NOV!L108+DES!L108</f>
        <v>2</v>
      </c>
      <c r="M108" s="130">
        <f t="shared" si="61"/>
        <v>45</v>
      </c>
      <c r="N108" s="82">
        <f>+JAN!N107+FEB!N108+MAR!N108+APR!N108+MEI!N108+JUN!N108+JUL!N108+AGS!N108+SEP!N108+OKT!N108+NOV!N108+DES!N108</f>
        <v>31</v>
      </c>
      <c r="O108" s="82">
        <f>+JAN!O107+FEB!O108+MAR!O108+APR!O108+MEI!O108+JUN!O108+JUL!O108+AGS!O108+SEP!O108+OKT!O108+NOV!O108+DES!O108</f>
        <v>14</v>
      </c>
      <c r="P108" s="130">
        <f t="shared" si="62"/>
        <v>111</v>
      </c>
      <c r="Q108" s="82">
        <f>+JAN!Q107+FEB!Q108+MAR!Q108+APR!Q108+MEI!Q108+JUN!Q108+JUL!Q108+AGS!Q108+SEP!Q108+OKT!Q108+NOV!Q108+DES!Q108</f>
        <v>146</v>
      </c>
      <c r="R108" s="82">
        <f>+JAN!R107+FEB!R108+MAR!R108+APR!R108+MEI!R108+JUN!R108+JUL!R108+AGS!R108+SEP!R108+OKT!R108+NOV!R108+DES!R108</f>
        <v>9</v>
      </c>
      <c r="S108" s="85">
        <f>+JAN!S107+FEB!S108+MAR!S108+APR!S108+MEI!S108+JUN!S108+JUL!S108+AGS!S108+SEP!S108+OKT!S108+NOV!S108</f>
        <v>262</v>
      </c>
      <c r="T108" s="130">
        <f t="shared" si="63"/>
        <v>2</v>
      </c>
      <c r="U108" s="130">
        <f t="shared" si="64"/>
        <v>47</v>
      </c>
      <c r="V108" s="66">
        <f t="shared" si="65"/>
        <v>0.71780821917808224</v>
      </c>
      <c r="W108" s="74">
        <f t="shared" si="66"/>
        <v>35.890410958904113</v>
      </c>
      <c r="X108" s="74">
        <f t="shared" si="67"/>
        <v>5.5744680851063828</v>
      </c>
      <c r="Y108" s="74">
        <f t="shared" si="68"/>
        <v>9.9574468085106389</v>
      </c>
      <c r="Z108" s="74">
        <f t="shared" si="69"/>
        <v>23.5</v>
      </c>
    </row>
    <row r="109" spans="1:26" ht="15.75" hidden="1" x14ac:dyDescent="0.25">
      <c r="A109" s="283">
        <v>6</v>
      </c>
      <c r="B109" s="338"/>
      <c r="C109" s="85" t="s">
        <v>81</v>
      </c>
      <c r="D109" s="85" t="s">
        <v>48</v>
      </c>
      <c r="E109" s="82">
        <f>+JAN!E108+FEB!E109+MAR!E109+APR!E109+MEI!E109+JUN!E109+JUL!E109+AGS!E109+SEP!E109+OKT!E109+NOV!E109+DES!E109</f>
        <v>365</v>
      </c>
      <c r="F109" s="85">
        <v>10</v>
      </c>
      <c r="G109" s="85">
        <f>JAN!G108</f>
        <v>0</v>
      </c>
      <c r="H109" s="82">
        <f>+JAN!H108+FEB!H109+MAR!H109+APR!H109+MEI!H109+JUN!H109+JUL!H109+AGS!H109+SEP!H109+OKT!H109+NOV!H109+DES!H109</f>
        <v>0</v>
      </c>
      <c r="I109" s="82">
        <f>+JAN!I108+FEB!I109+MAR!I109+APR!I109+MEI!I109+JUN!I109+JUL!I109+AGS!I109+SEP!I109+OKT!I109+NOV!I109+DES!I109</f>
        <v>0</v>
      </c>
      <c r="J109" s="85">
        <f t="shared" si="60"/>
        <v>0</v>
      </c>
      <c r="K109" s="82">
        <f>+JAN!K108+FEB!K109+MAR!K109+APR!K109+MEI!K109+JUN!K109+JUL!K109+AGS!K109+SEP!K109+OKT!K109+NOV!K109+DES!K109</f>
        <v>0</v>
      </c>
      <c r="L109" s="82">
        <f>+JAN!L108+FEB!L109+MAR!L109+APR!L109+MEI!L109+JUN!L109+JUL!L109+AGS!L109+SEP!L109+OKT!L109+NOV!L109+DES!L109</f>
        <v>0</v>
      </c>
      <c r="M109" s="127">
        <f t="shared" si="61"/>
        <v>0</v>
      </c>
      <c r="N109" s="82">
        <f>+JAN!N108+FEB!N109+MAR!N109+APR!N109+MEI!N109+JUN!N109+JUL!N109+AGS!N109+SEP!N109+OKT!N109+NOV!N109+DES!N109</f>
        <v>0</v>
      </c>
      <c r="O109" s="82">
        <f>+JAN!O108+FEB!O109+MAR!O109+APR!O109+MEI!O109+JUN!O109+JUL!O109+AGS!O109+SEP!O109+OKT!O109+NOV!O109+DES!O109</f>
        <v>0</v>
      </c>
      <c r="P109" s="127">
        <f t="shared" si="62"/>
        <v>0</v>
      </c>
      <c r="Q109" s="82">
        <f>+JAN!Q108+FEB!Q109+MAR!Q109+APR!Q109+MEI!Q109+JUN!Q109+JUL!Q109+AGS!Q109+SEP!Q109+OKT!Q109+NOV!Q109+DES!Q109</f>
        <v>0</v>
      </c>
      <c r="R109" s="82">
        <f>+JAN!R108+FEB!R109+MAR!R109+APR!R109+MEI!R109+JUN!R109+JUL!R109+AGS!R109+SEP!R109+OKT!R109+NOV!R109+DES!R109</f>
        <v>0</v>
      </c>
      <c r="S109" s="85">
        <f>+JAN!S108+FEB!S109+MAR!S109+APR!S109+MEI!S109+JUN!S109+JUL!S109+AGS!S109+SEP!S109+OKT!S109+NOV!S109</f>
        <v>0</v>
      </c>
      <c r="T109" s="127">
        <f t="shared" si="63"/>
        <v>0</v>
      </c>
      <c r="U109" s="127">
        <f t="shared" si="64"/>
        <v>0</v>
      </c>
      <c r="V109" s="68">
        <f t="shared" si="65"/>
        <v>0</v>
      </c>
      <c r="W109" s="72">
        <f t="shared" si="66"/>
        <v>0</v>
      </c>
      <c r="X109" s="72" t="e">
        <f t="shared" si="67"/>
        <v>#DIV/0!</v>
      </c>
      <c r="Y109" s="71" t="e">
        <f t="shared" si="68"/>
        <v>#DIV/0!</v>
      </c>
      <c r="Z109" s="72">
        <f t="shared" si="69"/>
        <v>0</v>
      </c>
    </row>
    <row r="110" spans="1:26" ht="15.75" hidden="1" x14ac:dyDescent="0.25">
      <c r="A110" s="283"/>
      <c r="B110" s="338"/>
      <c r="C110" s="86" t="s">
        <v>81</v>
      </c>
      <c r="D110" s="86" t="s">
        <v>48</v>
      </c>
      <c r="E110" s="82">
        <f>+JAN!E109+FEB!E110+MAR!E110+APR!E110+MEI!E110+JUN!E110+JUL!E110+AGS!E110+SEP!E110+OKT!E110+NOV!E110+DES!E110</f>
        <v>365</v>
      </c>
      <c r="F110" s="129">
        <v>10</v>
      </c>
      <c r="G110" s="129">
        <f>JAN!G109</f>
        <v>0</v>
      </c>
      <c r="H110" s="82">
        <f>+JAN!H109+FEB!H110+MAR!H110+APR!H110+MEI!H110+JUN!H110+JUL!H110+AGS!H110+SEP!H110+OKT!H110+NOV!H110+DES!H110</f>
        <v>566</v>
      </c>
      <c r="I110" s="82">
        <f>+JAN!I109+FEB!I110+MAR!I110+APR!I110+MEI!I110+JUN!I110+JUL!I110+AGS!I110+SEP!I110+OKT!I110+NOV!I110+DES!I110</f>
        <v>2</v>
      </c>
      <c r="J110" s="129">
        <f t="shared" si="60"/>
        <v>568</v>
      </c>
      <c r="K110" s="82">
        <f>+JAN!K109+FEB!K110+MAR!K110+APR!K110+MEI!K110+JUN!K110+JUL!K110+AGS!K110+SEP!K110+OKT!K110+NOV!K110+DES!K110</f>
        <v>549</v>
      </c>
      <c r="L110" s="82">
        <f>+JAN!L109+FEB!L110+MAR!L110+APR!L110+MEI!L110+JUN!L110+JUL!L110+AGS!L110+SEP!L110+OKT!L110+NOV!L110+DES!L110</f>
        <v>1</v>
      </c>
      <c r="M110" s="130">
        <f t="shared" si="61"/>
        <v>15</v>
      </c>
      <c r="N110" s="82">
        <f>+JAN!N109+FEB!N110+MAR!N110+APR!N110+MEI!N110+JUN!N110+JUL!N110+AGS!N110+SEP!N110+OKT!N110+NOV!N110+DES!N110</f>
        <v>15</v>
      </c>
      <c r="O110" s="82">
        <f>+JAN!O109+FEB!O110+MAR!O110+APR!O110+MEI!O110+JUN!O110+JUL!O110+AGS!O110+SEP!O110+OKT!O110+NOV!O110+DES!O110</f>
        <v>0</v>
      </c>
      <c r="P110" s="130">
        <f t="shared" si="62"/>
        <v>565</v>
      </c>
      <c r="Q110" s="82">
        <f>+JAN!Q109+FEB!Q110+MAR!Q110+APR!Q110+MEI!Q110+JUN!Q110+JUL!Q110+AGS!Q110+SEP!Q110+OKT!Q110+NOV!Q110+DES!Q110</f>
        <v>16</v>
      </c>
      <c r="R110" s="82">
        <f>+JAN!R109+FEB!R110+MAR!R110+APR!R110+MEI!R110+JUN!R110+JUL!R110+AGS!R110+SEP!R110+OKT!R110+NOV!R110+DES!R110</f>
        <v>14</v>
      </c>
      <c r="S110" s="85">
        <f>+JAN!S109+FEB!S110+MAR!S110+APR!S110+MEI!S110+JUN!S110+JUL!S110+AGS!S110+SEP!S110+OKT!S110+NOV!S110</f>
        <v>302</v>
      </c>
      <c r="T110" s="130">
        <f t="shared" si="63"/>
        <v>3</v>
      </c>
      <c r="U110" s="130">
        <f t="shared" si="64"/>
        <v>16</v>
      </c>
      <c r="V110" s="66">
        <f t="shared" si="65"/>
        <v>0.82739726027397265</v>
      </c>
      <c r="W110" s="74">
        <f t="shared" si="66"/>
        <v>8.2739726027397271</v>
      </c>
      <c r="X110" s="74">
        <f t="shared" si="67"/>
        <v>18.875</v>
      </c>
      <c r="Y110" s="74">
        <f t="shared" si="68"/>
        <v>209.25</v>
      </c>
      <c r="Z110" s="74">
        <f t="shared" si="69"/>
        <v>1.6</v>
      </c>
    </row>
    <row r="111" spans="1:26" ht="15.75" x14ac:dyDescent="0.25">
      <c r="A111" s="283">
        <v>7</v>
      </c>
      <c r="B111" s="338"/>
      <c r="C111" s="85" t="s">
        <v>82</v>
      </c>
      <c r="D111" s="85" t="s">
        <v>38</v>
      </c>
      <c r="E111" s="82">
        <f>+JAN!E110+FEB!E111+MAR!E111+APR!E111+MEI!E111+JUN!E111+JUL!E111+AGS!E111+SEP!E111+OKT!E111+NOV!E111+DES!E111</f>
        <v>365</v>
      </c>
      <c r="F111" s="85"/>
      <c r="G111" s="85">
        <f>JAN!G110</f>
        <v>0</v>
      </c>
      <c r="H111" s="82">
        <f>+JAN!H110+FEB!H111+MAR!H111+APR!H111+MEI!H111+JUN!H111+JUL!H111+AGS!H111+SEP!H111+OKT!H111+NOV!H111+DES!H111</f>
        <v>2722</v>
      </c>
      <c r="I111" s="82">
        <f>+JAN!I110+FEB!I111+MAR!I111+APR!I111+MEI!I111+JUN!I111+JUL!I111+AGS!I111+SEP!I111+OKT!I111+NOV!I111+DES!I111</f>
        <v>29</v>
      </c>
      <c r="J111" s="85">
        <f t="shared" si="60"/>
        <v>2751</v>
      </c>
      <c r="K111" s="82">
        <f>+JAN!K110+FEB!K111+MAR!K111+APR!K111+MEI!K111+JUN!K111+JUL!K111+AGS!K111+SEP!K111+OKT!K111+NOV!K111+DES!K111</f>
        <v>2675</v>
      </c>
      <c r="L111" s="82">
        <f>+JAN!L110+FEB!L111+MAR!L111+APR!L111+MEI!L111+JUN!L111+JUL!L111+AGS!L111+SEP!L111+OKT!L111+NOV!L111+DES!L111</f>
        <v>10</v>
      </c>
      <c r="M111" s="127">
        <f t="shared" si="61"/>
        <v>62</v>
      </c>
      <c r="N111" s="82">
        <f>+JAN!N110+FEB!N111+MAR!N111+APR!N111+MEI!N111+JUN!N111+JUL!N111+AGS!N111+SEP!N111+OKT!N111+NOV!N111+DES!N111</f>
        <v>62</v>
      </c>
      <c r="O111" s="82">
        <f>+JAN!O110+FEB!O111+MAR!O111+APR!O111+MEI!O111+JUN!O111+JUL!O111+AGS!O111+SEP!O111+OKT!O111+NOV!O111+DES!O111</f>
        <v>0</v>
      </c>
      <c r="P111" s="127">
        <f t="shared" si="62"/>
        <v>2747</v>
      </c>
      <c r="Q111" s="82">
        <f>+JAN!Q110+FEB!Q111+MAR!Q111+APR!Q111+MEI!Q111+JUN!Q111+JUL!Q111+AGS!Q111+SEP!Q111+OKT!Q111+NOV!Q111+DES!Q111</f>
        <v>72</v>
      </c>
      <c r="R111" s="82">
        <f>+JAN!R110+FEB!R111+MAR!R111+APR!R111+MEI!R111+JUN!R111+JUL!R111+AGS!R111+SEP!R111+OKT!R111+NOV!R111+DES!R111</f>
        <v>68</v>
      </c>
      <c r="S111" s="85">
        <f>+JAN!S110+FEB!S111+MAR!S111+APR!S111+MEI!S111+JUN!S111+JUL!S111+AGS!S111+SEP!S111+OKT!S111+NOV!S111</f>
        <v>1185</v>
      </c>
      <c r="T111" s="127">
        <f t="shared" si="63"/>
        <v>4</v>
      </c>
      <c r="U111" s="127">
        <f t="shared" si="64"/>
        <v>72</v>
      </c>
      <c r="V111" s="68">
        <f t="shared" si="65"/>
        <v>3.2465753424657535</v>
      </c>
      <c r="W111" s="72" t="e">
        <f t="shared" si="66"/>
        <v>#DIV/0!</v>
      </c>
      <c r="X111" s="72">
        <f t="shared" si="67"/>
        <v>16.458333333333332</v>
      </c>
      <c r="Y111" s="71">
        <f t="shared" si="68"/>
        <v>-16.458333333333332</v>
      </c>
      <c r="Z111" s="72" t="e">
        <f t="shared" si="69"/>
        <v>#DIV/0!</v>
      </c>
    </row>
    <row r="112" spans="1:26" ht="15.75" x14ac:dyDescent="0.25">
      <c r="A112" s="283"/>
      <c r="B112" s="338"/>
      <c r="C112" s="86" t="s">
        <v>82</v>
      </c>
      <c r="D112" s="86" t="s">
        <v>38</v>
      </c>
      <c r="E112" s="82">
        <f>+JAN!E111+FEB!E112+MAR!E112+APR!E112+MEI!E112+JUN!E112+JUL!E112+AGS!E112+SEP!E112+OKT!E112+NOV!E112+DES!E112</f>
        <v>365</v>
      </c>
      <c r="F112" s="129">
        <v>0</v>
      </c>
      <c r="G112" s="129">
        <f>JAN!G111</f>
        <v>0</v>
      </c>
      <c r="H112" s="82">
        <f>+JAN!H111+FEB!H112+MAR!H112+APR!H112+MEI!H112+JUN!H112+JUL!H112+AGS!H112+SEP!H112+OKT!H112+NOV!H112+DES!H112</f>
        <v>2156</v>
      </c>
      <c r="I112" s="82">
        <f>+JAN!I111+FEB!I112+MAR!I112+APR!I112+MEI!I112+JUN!I112+JUL!I112+AGS!I112+SEP!I112+OKT!I112+NOV!I112+DES!I112</f>
        <v>27</v>
      </c>
      <c r="J112" s="129">
        <f t="shared" si="60"/>
        <v>2183</v>
      </c>
      <c r="K112" s="82">
        <f>+JAN!K111+FEB!K112+MAR!K112+APR!K112+MEI!K112+JUN!K112+JUL!K112+AGS!K112+SEP!K112+OKT!K112+NOV!K112+DES!K112</f>
        <v>2126</v>
      </c>
      <c r="L112" s="82">
        <f>+JAN!L111+FEB!L112+MAR!L112+APR!L112+MEI!L112+JUN!L112+JUL!L112+AGS!L112+SEP!L112+OKT!L112+NOV!L112+DES!L112</f>
        <v>9</v>
      </c>
      <c r="M112" s="130">
        <f t="shared" si="61"/>
        <v>47</v>
      </c>
      <c r="N112" s="82">
        <f>+JAN!N111+FEB!N112+MAR!N112+APR!N112+MEI!N112+JUN!N112+JUL!N112+AGS!N112+SEP!N112+OKT!N112+NOV!N112+DES!N112</f>
        <v>47</v>
      </c>
      <c r="O112" s="82">
        <f>+JAN!O111+FEB!O112+MAR!O112+APR!O112+MEI!O112+JUN!O112+JUL!O112+AGS!O112+SEP!O112+OKT!O112+NOV!O112+DES!O112</f>
        <v>0</v>
      </c>
      <c r="P112" s="130">
        <f t="shared" si="62"/>
        <v>2182</v>
      </c>
      <c r="Q112" s="82">
        <f>+JAN!Q111+FEB!Q112+MAR!Q112+APR!Q112+MEI!Q112+JUN!Q112+JUL!Q112+AGS!Q112+SEP!Q112+OKT!Q112+NOV!Q112+DES!Q112</f>
        <v>56</v>
      </c>
      <c r="R112" s="82">
        <f>+JAN!R111+FEB!R112+MAR!R112+APR!R112+MEI!R112+JUN!R112+JUL!R112+AGS!R112+SEP!R112+OKT!R112+NOV!R112+DES!R112</f>
        <v>54</v>
      </c>
      <c r="S112" s="85">
        <f>+JAN!S111+FEB!S112+MAR!S112+APR!S112+MEI!S112+JUN!S112+JUL!S112+AGS!S112+SEP!S112+OKT!S112+NOV!S112</f>
        <v>883</v>
      </c>
      <c r="T112" s="130">
        <f t="shared" si="63"/>
        <v>1</v>
      </c>
      <c r="U112" s="130">
        <f t="shared" si="64"/>
        <v>56</v>
      </c>
      <c r="V112" s="66">
        <f t="shared" si="65"/>
        <v>2.419178082191781</v>
      </c>
      <c r="W112" s="74" t="e">
        <f t="shared" si="66"/>
        <v>#DIV/0!</v>
      </c>
      <c r="X112" s="74">
        <f t="shared" si="67"/>
        <v>15.767857142857142</v>
      </c>
      <c r="Y112" s="74">
        <f t="shared" si="68"/>
        <v>-15.767857142857144</v>
      </c>
      <c r="Z112" s="74" t="e">
        <f t="shared" si="69"/>
        <v>#DIV/0!</v>
      </c>
    </row>
    <row r="113" spans="1:26" ht="15.75" hidden="1" x14ac:dyDescent="0.25">
      <c r="A113" s="283">
        <v>8</v>
      </c>
      <c r="B113" s="338"/>
      <c r="C113" s="85" t="s">
        <v>64</v>
      </c>
      <c r="D113" s="85" t="s">
        <v>83</v>
      </c>
      <c r="E113" s="82">
        <f>+JAN!E112+FEB!E113+MAR!E113+APR!E113+MEI!E113+JUN!E113+JUL!E113+AGS!E113+SEP!E113+OKT!E113+NOV!E113+DES!E113</f>
        <v>365</v>
      </c>
      <c r="F113" s="85"/>
      <c r="G113" s="85">
        <f>JAN!G112</f>
        <v>0</v>
      </c>
      <c r="H113" s="82">
        <f>+JAN!H112+FEB!H113+MAR!H113+APR!H113+MEI!H113+JUN!H113+JUL!H113+AGS!H113+SEP!H113+OKT!H113+NOV!H113+DES!H113</f>
        <v>0</v>
      </c>
      <c r="I113" s="82">
        <f>+JAN!I112+FEB!I113+MAR!I113+APR!I113+MEI!I113+JUN!I113+JUL!I113+AGS!I113+SEP!I113+OKT!I113+NOV!I113+DES!I113</f>
        <v>0</v>
      </c>
      <c r="J113" s="85">
        <f t="shared" si="60"/>
        <v>0</v>
      </c>
      <c r="K113" s="82">
        <f>+JAN!K112+FEB!K113+MAR!K113+APR!K113+MEI!K113+JUN!K113+JUL!K113+AGS!K113+SEP!K113+OKT!K113+NOV!K113+DES!K113</f>
        <v>0</v>
      </c>
      <c r="L113" s="82">
        <f>+JAN!L112+FEB!L113+MAR!L113+APR!L113+MEI!L113+JUN!L113+JUL!L113+AGS!L113+SEP!L113+OKT!L113+NOV!L113+DES!L113</f>
        <v>0</v>
      </c>
      <c r="M113" s="127">
        <f t="shared" si="61"/>
        <v>0</v>
      </c>
      <c r="N113" s="82">
        <f>+JAN!N112+FEB!N113+MAR!N113+APR!N113+MEI!N113+JUN!N113+JUL!N113+AGS!N113+SEP!N113+OKT!N113+NOV!N113+DES!N113</f>
        <v>0</v>
      </c>
      <c r="O113" s="82">
        <f>+JAN!O112+FEB!O113+MAR!O113+APR!O113+MEI!O113+JUN!O113+JUL!O113+AGS!O113+SEP!O113+OKT!O113+NOV!O113+DES!O113</f>
        <v>0</v>
      </c>
      <c r="P113" s="127">
        <f t="shared" si="62"/>
        <v>0</v>
      </c>
      <c r="Q113" s="82">
        <f>+JAN!Q112+FEB!Q113+MAR!Q113+APR!Q113+MEI!Q113+JUN!Q113+JUL!Q113+AGS!Q113+SEP!Q113+OKT!Q113+NOV!Q113+DES!Q113</f>
        <v>0</v>
      </c>
      <c r="R113" s="82">
        <f>+JAN!R112+FEB!R113+MAR!R113+APR!R113+MEI!R113+JUN!R113+JUL!R113+AGS!R113+SEP!R113+OKT!R113+NOV!R113+DES!R113</f>
        <v>0</v>
      </c>
      <c r="S113" s="85">
        <f>+JAN!S112+FEB!S113+MAR!S113+APR!S113+MEI!S113+JUN!S113+JUL!S113+AGS!S113+SEP!S113+OKT!S113+NOV!S113</f>
        <v>0</v>
      </c>
      <c r="T113" s="127">
        <f t="shared" si="63"/>
        <v>0</v>
      </c>
      <c r="U113" s="127">
        <f t="shared" si="64"/>
        <v>0</v>
      </c>
      <c r="V113" s="68">
        <f t="shared" si="65"/>
        <v>0</v>
      </c>
      <c r="W113" s="72" t="e">
        <f t="shared" si="66"/>
        <v>#DIV/0!</v>
      </c>
      <c r="X113" s="72" t="e">
        <f t="shared" si="67"/>
        <v>#DIV/0!</v>
      </c>
      <c r="Y113" s="71" t="e">
        <f t="shared" si="68"/>
        <v>#DIV/0!</v>
      </c>
      <c r="Z113" s="72" t="e">
        <f t="shared" si="69"/>
        <v>#DIV/0!</v>
      </c>
    </row>
    <row r="114" spans="1:26" ht="15.75" hidden="1" x14ac:dyDescent="0.25">
      <c r="A114" s="283"/>
      <c r="B114" s="338"/>
      <c r="C114" s="86" t="s">
        <v>64</v>
      </c>
      <c r="D114" s="86" t="s">
        <v>83</v>
      </c>
      <c r="E114" s="82">
        <f>+JAN!E113+FEB!E114+MAR!E114+APR!E114+MEI!E114+JUN!E114+JUL!E114+AGS!E114+SEP!E114+OKT!E114+NOV!E114+DES!E114</f>
        <v>365</v>
      </c>
      <c r="F114" s="129">
        <v>0</v>
      </c>
      <c r="G114" s="129">
        <f>JAN!G113</f>
        <v>0</v>
      </c>
      <c r="H114" s="82">
        <f>+JAN!H113+FEB!H114+MAR!H114+APR!H114+MEI!H114+JUN!H114+JUL!H114+AGS!H114+SEP!H114+OKT!H114+NOV!H114+DES!H114</f>
        <v>0</v>
      </c>
      <c r="I114" s="82">
        <f>+JAN!I113+FEB!I114+MAR!I114+APR!I114+MEI!I114+JUN!I114+JUL!I114+AGS!I114+SEP!I114+OKT!I114+NOV!I114+DES!I114</f>
        <v>0</v>
      </c>
      <c r="J114" s="129">
        <f t="shared" si="60"/>
        <v>0</v>
      </c>
      <c r="K114" s="82">
        <f>+JAN!K113+FEB!K114+MAR!K114+APR!K114+MEI!K114+JUN!K114+JUL!K114+AGS!K114+SEP!K114+OKT!K114+NOV!K114+DES!K114</f>
        <v>0</v>
      </c>
      <c r="L114" s="82">
        <f>+JAN!L113+FEB!L114+MAR!L114+APR!L114+MEI!L114+JUN!L114+JUL!L114+AGS!L114+SEP!L114+OKT!L114+NOV!L114+DES!L114</f>
        <v>0</v>
      </c>
      <c r="M114" s="130">
        <f t="shared" si="61"/>
        <v>0</v>
      </c>
      <c r="N114" s="82">
        <f>+JAN!N113+FEB!N114+MAR!N114+APR!N114+MEI!N114+JUN!N114+JUL!N114+AGS!N114+SEP!N114+OKT!N114+NOV!N114+DES!N114</f>
        <v>0</v>
      </c>
      <c r="O114" s="82">
        <f>+JAN!O113+FEB!O114+MAR!O114+APR!O114+MEI!O114+JUN!O114+JUL!O114+AGS!O114+SEP!O114+OKT!O114+NOV!O114+DES!O114</f>
        <v>0</v>
      </c>
      <c r="P114" s="130">
        <f t="shared" si="62"/>
        <v>0</v>
      </c>
      <c r="Q114" s="82">
        <f>+JAN!Q113+FEB!Q114+MAR!Q114+APR!Q114+MEI!Q114+JUN!Q114+JUL!Q114+AGS!Q114+SEP!Q114+OKT!Q114+NOV!Q114+DES!Q114</f>
        <v>0</v>
      </c>
      <c r="R114" s="82">
        <f>+JAN!R113+FEB!R114+MAR!R114+APR!R114+MEI!R114+JUN!R114+JUL!R114+AGS!R114+SEP!R114+OKT!R114+NOV!R114+DES!R114</f>
        <v>0</v>
      </c>
      <c r="S114" s="85">
        <f>+JAN!S113+FEB!S114+MAR!S114+APR!S114+MEI!S114+JUN!S114+JUL!S114+AGS!S114+SEP!S114+OKT!S114+NOV!S114</f>
        <v>0</v>
      </c>
      <c r="T114" s="130">
        <f t="shared" si="63"/>
        <v>0</v>
      </c>
      <c r="U114" s="130">
        <f t="shared" si="64"/>
        <v>0</v>
      </c>
      <c r="V114" s="66">
        <f t="shared" si="65"/>
        <v>0</v>
      </c>
      <c r="W114" s="74" t="e">
        <f t="shared" si="66"/>
        <v>#DIV/0!</v>
      </c>
      <c r="X114" s="74" t="e">
        <f t="shared" si="67"/>
        <v>#DIV/0!</v>
      </c>
      <c r="Y114" s="74" t="e">
        <f t="shared" si="68"/>
        <v>#DIV/0!</v>
      </c>
      <c r="Z114" s="74" t="e">
        <f t="shared" si="69"/>
        <v>#DIV/0!</v>
      </c>
    </row>
    <row r="115" spans="1:26" ht="15.75" hidden="1" x14ac:dyDescent="0.25">
      <c r="A115" s="283">
        <v>9</v>
      </c>
      <c r="B115" s="338"/>
      <c r="C115" s="82" t="s">
        <v>73</v>
      </c>
      <c r="D115" s="82" t="s">
        <v>83</v>
      </c>
      <c r="E115" s="82">
        <f>+JAN!E114+FEB!E115+MAR!E115+APR!E115+MEI!E115+JUN!E115+JUL!E115+AGS!E115+SEP!E115+OKT!E115+NOV!E115+DES!E115</f>
        <v>365</v>
      </c>
      <c r="F115" s="82"/>
      <c r="G115" s="85">
        <f>JAN!G114</f>
        <v>0</v>
      </c>
      <c r="H115" s="82">
        <f>+JAN!H114+FEB!H115+MAR!H115+APR!H115+MEI!H115+JUN!H115+JUL!H115+AGS!H115+SEP!H115+OKT!H115+NOV!H115+DES!H115</f>
        <v>0</v>
      </c>
      <c r="I115" s="82">
        <f>+JAN!I114+FEB!I115+MAR!I115+APR!I115+MEI!I115+JUN!I115+JUL!I115+AGS!I115+SEP!I115+OKT!I115+NOV!I115+DES!I115</f>
        <v>0</v>
      </c>
      <c r="J115" s="85">
        <f t="shared" si="60"/>
        <v>0</v>
      </c>
      <c r="K115" s="82">
        <f>+JAN!K114+FEB!K115+MAR!K115+APR!K115+MEI!K115+JUN!K115+JUL!K115+AGS!K115+SEP!K115+OKT!K115+NOV!K115+DES!K115</f>
        <v>0</v>
      </c>
      <c r="L115" s="82">
        <f>+JAN!L114+FEB!L115+MAR!L115+APR!L115+MEI!L115+JUN!L115+JUL!L115+AGS!L115+SEP!L115+OKT!L115+NOV!L115+DES!L115</f>
        <v>0</v>
      </c>
      <c r="M115" s="127">
        <f t="shared" si="61"/>
        <v>0</v>
      </c>
      <c r="N115" s="82">
        <f>+JAN!N114+FEB!N115+MAR!N115+APR!N115+MEI!N115+JUN!N115+JUL!N115+AGS!N115+SEP!N115+OKT!N115+NOV!N115+DES!N115</f>
        <v>0</v>
      </c>
      <c r="O115" s="82">
        <f>+JAN!O114+FEB!O115+MAR!O115+APR!O115+MEI!O115+JUN!O115+JUL!O115+AGS!O115+SEP!O115+OKT!O115+NOV!O115+DES!O115</f>
        <v>0</v>
      </c>
      <c r="P115" s="127">
        <f t="shared" si="62"/>
        <v>0</v>
      </c>
      <c r="Q115" s="82">
        <f>+JAN!Q114+FEB!Q115+MAR!Q115+APR!Q115+MEI!Q115+JUN!Q115+JUL!Q115+AGS!Q115+SEP!Q115+OKT!Q115+NOV!Q115+DES!Q115</f>
        <v>0</v>
      </c>
      <c r="R115" s="82">
        <f>+JAN!R114+FEB!R115+MAR!R115+APR!R115+MEI!R115+JUN!R115+JUL!R115+AGS!R115+SEP!R115+OKT!R115+NOV!R115+DES!R115</f>
        <v>0</v>
      </c>
      <c r="S115" s="85">
        <f>+JAN!S114+FEB!S115+MAR!S115+APR!S115+MEI!S115+JUN!S115+JUL!S115+AGS!S115+SEP!S115+OKT!S115+NOV!S115</f>
        <v>0</v>
      </c>
      <c r="T115" s="127">
        <f t="shared" si="63"/>
        <v>0</v>
      </c>
      <c r="U115" s="127">
        <f t="shared" si="64"/>
        <v>0</v>
      </c>
      <c r="V115" s="68">
        <f t="shared" si="65"/>
        <v>0</v>
      </c>
      <c r="W115" s="72" t="e">
        <f t="shared" si="66"/>
        <v>#DIV/0!</v>
      </c>
      <c r="X115" s="72" t="e">
        <f t="shared" si="67"/>
        <v>#DIV/0!</v>
      </c>
      <c r="Y115" s="71" t="e">
        <f t="shared" si="68"/>
        <v>#DIV/0!</v>
      </c>
      <c r="Z115" s="72" t="e">
        <f t="shared" si="69"/>
        <v>#DIV/0!</v>
      </c>
    </row>
    <row r="116" spans="1:26" ht="15.75" hidden="1" x14ac:dyDescent="0.25">
      <c r="A116" s="283"/>
      <c r="B116" s="338"/>
      <c r="C116" s="86" t="s">
        <v>73</v>
      </c>
      <c r="D116" s="86" t="s">
        <v>83</v>
      </c>
      <c r="E116" s="82">
        <f>+JAN!E115+FEB!E116+MAR!E116+APR!E116+MEI!E116+JUN!E116+JUL!E116+AGS!E116+SEP!E116+OKT!E116+NOV!E116+DES!E116</f>
        <v>365</v>
      </c>
      <c r="F116" s="129"/>
      <c r="G116" s="129">
        <f>JAN!G115</f>
        <v>0</v>
      </c>
      <c r="H116" s="82">
        <f>+JAN!H115+FEB!H116+MAR!H116+APR!H116+MEI!H116+JUN!H116+JUL!H116+AGS!H116+SEP!H116+OKT!H116+NOV!H116+DES!H116</f>
        <v>845</v>
      </c>
      <c r="I116" s="82">
        <f>+JAN!I115+FEB!I116+MAR!I116+APR!I116+MEI!I116+JUN!I116+JUL!I116+AGS!I116+SEP!I116+OKT!I116+NOV!I116+DES!I116</f>
        <v>306</v>
      </c>
      <c r="J116" s="129">
        <f t="shared" si="60"/>
        <v>1151</v>
      </c>
      <c r="K116" s="82">
        <f>+JAN!K115+FEB!K116+MAR!K116+APR!K116+MEI!K116+JUN!K116+JUL!K116+AGS!K116+SEP!K116+OKT!K116+NOV!K116+DES!K116</f>
        <v>1017</v>
      </c>
      <c r="L116" s="82">
        <f>+JAN!L115+FEB!L116+MAR!L116+APR!L116+MEI!L116+JUN!L116+JUL!L116+AGS!L116+SEP!L116+OKT!L116+NOV!L116+DES!L116</f>
        <v>5</v>
      </c>
      <c r="M116" s="130">
        <f t="shared" si="61"/>
        <v>127</v>
      </c>
      <c r="N116" s="82">
        <f>+JAN!N115+FEB!N116+MAR!N116+APR!N116+MEI!N116+JUN!N116+JUL!N116+AGS!N116+SEP!N116+OKT!N116+NOV!N116+DES!N116</f>
        <v>71</v>
      </c>
      <c r="O116" s="82">
        <f>+JAN!O115+FEB!O116+MAR!O116+APR!O116+MEI!O116+JUN!O116+JUL!O116+AGS!O116+SEP!O116+OKT!O116+NOV!O116+DES!O116</f>
        <v>56</v>
      </c>
      <c r="P116" s="130">
        <f t="shared" si="62"/>
        <v>1149</v>
      </c>
      <c r="Q116" s="82">
        <f>+JAN!Q115+FEB!Q116+MAR!Q116+APR!Q116+MEI!Q116+JUN!Q116+JUL!Q116+AGS!Q116+SEP!Q116+OKT!Q116+NOV!Q116+DES!Q116</f>
        <v>542</v>
      </c>
      <c r="R116" s="82">
        <f>+JAN!R115+FEB!R116+MAR!R116+APR!R116+MEI!R116+JUN!R116+JUL!R116+AGS!R116+SEP!R116+OKT!R116+NOV!R116+DES!R116</f>
        <v>33</v>
      </c>
      <c r="S116" s="85">
        <f>+JAN!S115+FEB!S116+MAR!S116+APR!S116+MEI!S116+JUN!S116+JUL!S116+AGS!S116+SEP!S116+OKT!S116+NOV!S116</f>
        <v>1692</v>
      </c>
      <c r="T116" s="130">
        <f t="shared" si="63"/>
        <v>2</v>
      </c>
      <c r="U116" s="130">
        <f t="shared" si="64"/>
        <v>132</v>
      </c>
      <c r="V116" s="66">
        <f t="shared" si="65"/>
        <v>4.6356164383561644</v>
      </c>
      <c r="W116" s="74" t="e">
        <f t="shared" si="66"/>
        <v>#DIV/0!</v>
      </c>
      <c r="X116" s="74">
        <f t="shared" si="67"/>
        <v>12.818181818181818</v>
      </c>
      <c r="Y116" s="74">
        <f t="shared" si="68"/>
        <v>-12.818181818181818</v>
      </c>
      <c r="Z116" s="74" t="e">
        <f t="shared" si="69"/>
        <v>#DIV/0!</v>
      </c>
    </row>
    <row r="117" spans="1:26" ht="15.75" x14ac:dyDescent="0.25">
      <c r="A117" s="290" t="s">
        <v>84</v>
      </c>
      <c r="B117" s="291"/>
      <c r="C117" s="291"/>
      <c r="D117" s="292"/>
      <c r="E117" s="82">
        <f>+JAN!E116+FEB!E117+MAR!E117+APR!E117+MEI!E117+JUN!E117+JUL!E117+AGS!E117+SEP!E117+OKT!E117+NOV!E117+DES!E117</f>
        <v>365</v>
      </c>
      <c r="F117" s="78">
        <v>41</v>
      </c>
      <c r="G117" s="88">
        <f>JAN!G116</f>
        <v>29</v>
      </c>
      <c r="H117" s="82">
        <f>+JAN!H116+FEB!H117+MAR!H117+APR!H117+MEI!H117+JUN!H117+JUL!H117+AGS!H117+SEP!H117+OKT!H117+NOV!H117+DES!H117</f>
        <v>9538</v>
      </c>
      <c r="I117" s="82">
        <f>+JAN!I116+FEB!I117+MAR!I117+APR!I117+MEI!I117+JUN!I117+JUL!I117+AGS!I117+SEP!I117+OKT!I117+NOV!I117+DES!I117</f>
        <v>2993</v>
      </c>
      <c r="J117" s="88">
        <f t="shared" si="60"/>
        <v>12560</v>
      </c>
      <c r="K117" s="82">
        <f>+JAN!K116+FEB!K117+MAR!K117+APR!K117+MEI!K117+JUN!K117+JUL!K117+AGS!K117+SEP!K117+OKT!K117+NOV!K117+DES!K117</f>
        <v>6400</v>
      </c>
      <c r="L117" s="82">
        <f>+JAN!L116+FEB!L117+MAR!L117+APR!L117+MEI!L117+JUN!L117+JUL!L117+AGS!L117+SEP!L117+OKT!L117+NOV!L117+DES!L117</f>
        <v>5090</v>
      </c>
      <c r="M117" s="134">
        <f t="shared" si="61"/>
        <v>1006</v>
      </c>
      <c r="N117" s="82">
        <f>+JAN!N116+FEB!N117+MAR!N117+APR!N117+MEI!N117+JUN!N117+JUL!N117+AGS!N117+SEP!N117+OKT!N117+NOV!N117+DES!N117</f>
        <v>509</v>
      </c>
      <c r="O117" s="82">
        <f>+JAN!O116+FEB!O117+MAR!O117+APR!O117+MEI!O117+JUN!O117+JUL!O117+AGS!O117+SEP!O117+OKT!O117+NOV!O117+DES!O117</f>
        <v>497</v>
      </c>
      <c r="P117" s="134">
        <f t="shared" si="62"/>
        <v>12496</v>
      </c>
      <c r="Q117" s="82">
        <f>+JAN!Q116+FEB!Q117+MAR!Q117+APR!Q117+MEI!Q117+JUN!Q117+JUL!Q117+AGS!Q117+SEP!Q117+OKT!Q117+NOV!Q117+DES!Q117</f>
        <v>22844</v>
      </c>
      <c r="R117" s="82">
        <f>+JAN!R116+FEB!R117+MAR!R117+APR!R117+MEI!R117+JUN!R117+JUL!R117+AGS!R117+SEP!R117+OKT!R117+NOV!R117+DES!R117</f>
        <v>211</v>
      </c>
      <c r="S117" s="85">
        <f>+JAN!S116+FEB!S117+MAR!S117+APR!S117+MEI!S117+JUN!S117+JUL!S117+AGS!S117+SEP!S117+OKT!S117+NOV!S117</f>
        <v>26605</v>
      </c>
      <c r="T117" s="134">
        <f t="shared" si="63"/>
        <v>64</v>
      </c>
      <c r="U117" s="134">
        <f t="shared" si="64"/>
        <v>6096</v>
      </c>
      <c r="V117" s="78">
        <v>21.032258064516128</v>
      </c>
      <c r="W117" s="75">
        <v>61.85958254269449</v>
      </c>
      <c r="X117" s="75">
        <v>4.7591240875912408</v>
      </c>
      <c r="Y117" s="75">
        <v>2.9343065693430659</v>
      </c>
      <c r="Z117" s="75">
        <v>4.0294117647058822</v>
      </c>
    </row>
    <row r="118" spans="1:26" ht="15.75" x14ac:dyDescent="0.25">
      <c r="A118" s="329" t="s">
        <v>85</v>
      </c>
      <c r="B118" s="329"/>
      <c r="C118" s="329"/>
      <c r="D118" s="329"/>
      <c r="E118" s="82" t="e">
        <f>+JAN!E117+FEB!E118+MAR!E118+APR!E118+MEI!#REF!+JUN!E118+JUL!E118+AGS!E118+SEP!E118+OKT!E118+NOV!E118+DES!E118</f>
        <v>#REF!</v>
      </c>
      <c r="F118" s="92">
        <v>388</v>
      </c>
      <c r="G118" s="93">
        <f>JAN!G117</f>
        <v>292</v>
      </c>
      <c r="H118" s="82" t="e">
        <f>+JAN!H117+FEB!H118+MAR!H118+APR!H118+MEI!#REF!+JUN!H118+JUL!H118+AGS!H118+SEP!H118+OKT!H118+NOV!H118+DES!H118</f>
        <v>#REF!</v>
      </c>
      <c r="I118" s="82" t="e">
        <f>+JAN!I117+FEB!I118+MAR!I118+APR!I118+MEI!#REF!+JUN!I118+JUL!I118+AGS!I118+SEP!I118+OKT!I118+NOV!I118+DES!I118</f>
        <v>#REF!</v>
      </c>
      <c r="J118" s="93" t="e">
        <f t="shared" si="60"/>
        <v>#REF!</v>
      </c>
      <c r="K118" s="82" t="e">
        <f>+JAN!K117+FEB!K118+MAR!K118+APR!K118+MEI!#REF!+JUN!K118+JUL!K118+AGS!K118+SEP!K118+OKT!K118+NOV!K118+DES!K118</f>
        <v>#REF!</v>
      </c>
      <c r="L118" s="82" t="e">
        <f>+JAN!L117+FEB!L118+MAR!L118+APR!L118+MEI!#REF!+JUN!L118+JUL!L118+AGS!L118+SEP!L118+OKT!L118+NOV!L118+DES!L118</f>
        <v>#REF!</v>
      </c>
      <c r="M118" s="139" t="e">
        <f t="shared" si="61"/>
        <v>#REF!</v>
      </c>
      <c r="N118" s="82" t="e">
        <f>+JAN!N117+FEB!N118+MAR!N118+APR!N118+MEI!#REF!+JUN!N118+JUL!N118+AGS!N118+SEP!N118+OKT!N118+NOV!N118+DES!N118</f>
        <v>#REF!</v>
      </c>
      <c r="O118" s="82" t="e">
        <f>+JAN!O117+FEB!O118+MAR!O118+APR!O118+MEI!#REF!+JUN!O118+JUL!O118+AGS!O118+SEP!O118+OKT!O118+NOV!O118+DES!O118</f>
        <v>#REF!</v>
      </c>
      <c r="P118" s="139" t="e">
        <f t="shared" si="62"/>
        <v>#REF!</v>
      </c>
      <c r="Q118" s="82" t="e">
        <f>+JAN!Q117+FEB!Q118+MAR!Q118+APR!Q118+MEI!#REF!+JUN!Q118+JUL!Q118+AGS!Q118+SEP!Q118+OKT!Q118+NOV!Q118+DES!Q118</f>
        <v>#REF!</v>
      </c>
      <c r="R118" s="82" t="e">
        <f>+JAN!R117+FEB!R118+MAR!R118+APR!R118+MEI!#REF!+JUN!R118+JUL!R118+AGS!R118+SEP!R118+OKT!R118+NOV!R118+DES!R118</f>
        <v>#REF!</v>
      </c>
      <c r="S118" s="82" t="e">
        <f>+JAN!S117+FEB!S118+MAR!S118+APR!S118+MEI!#REF!+JUN!S118+JUL!S118+AGS!S118+SEP!S118+OKT!S118+NOV!S118+DES!S118</f>
        <v>#REF!</v>
      </c>
      <c r="T118" s="139" t="e">
        <f t="shared" si="63"/>
        <v>#REF!</v>
      </c>
      <c r="U118" s="139" t="e">
        <f t="shared" si="64"/>
        <v>#REF!</v>
      </c>
      <c r="V118" s="80" t="e">
        <f t="shared" ref="V118" si="70">$S118/$E118</f>
        <v>#REF!</v>
      </c>
      <c r="W118" s="81" t="e">
        <f t="shared" ref="W118" si="71">$V118/$F118*100</f>
        <v>#REF!</v>
      </c>
      <c r="X118" s="81" t="e">
        <f t="shared" ref="X118" si="72">$S118/($L118+$M118)</f>
        <v>#REF!</v>
      </c>
      <c r="Y118" s="81" t="e">
        <f t="shared" ref="Y118" si="73">(($F118-$V118)*$E118)/($L118+$M118)</f>
        <v>#REF!</v>
      </c>
      <c r="Z118" s="81" t="e">
        <f t="shared" ref="Z118" si="74">($L118+$M118)/$F118</f>
        <v>#REF!</v>
      </c>
    </row>
  </sheetData>
  <mergeCells count="131">
    <mergeCell ref="Z4:Z5"/>
    <mergeCell ref="Q3:Q5"/>
    <mergeCell ref="R3:R5"/>
    <mergeCell ref="S3:S5"/>
    <mergeCell ref="T3:T5"/>
    <mergeCell ref="U3:U6"/>
    <mergeCell ref="V4:V5"/>
    <mergeCell ref="K3:K5"/>
    <mergeCell ref="L3:L5"/>
    <mergeCell ref="M3:M5"/>
    <mergeCell ref="N3:N5"/>
    <mergeCell ref="O3:O5"/>
    <mergeCell ref="P3:P5"/>
    <mergeCell ref="W4:W5"/>
    <mergeCell ref="X4:X5"/>
    <mergeCell ref="Y4:Y5"/>
    <mergeCell ref="H3:H5"/>
    <mergeCell ref="I3:I5"/>
    <mergeCell ref="J3:J5"/>
    <mergeCell ref="E75:E78"/>
    <mergeCell ref="F75:F78"/>
    <mergeCell ref="G75:G77"/>
    <mergeCell ref="E66:E69"/>
    <mergeCell ref="F66:F69"/>
    <mergeCell ref="G66:G68"/>
    <mergeCell ref="H66:H68"/>
    <mergeCell ref="I66:I68"/>
    <mergeCell ref="J66:J68"/>
    <mergeCell ref="A3:A6"/>
    <mergeCell ref="B3:B6"/>
    <mergeCell ref="C3:C6"/>
    <mergeCell ref="D3:D6"/>
    <mergeCell ref="A66:A69"/>
    <mergeCell ref="B66:B69"/>
    <mergeCell ref="E3:E6"/>
    <mergeCell ref="F3:F6"/>
    <mergeCell ref="G3:G5"/>
    <mergeCell ref="Z67:Z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K66:K68"/>
    <mergeCell ref="X76:X77"/>
    <mergeCell ref="Y76:Y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R75:R77"/>
    <mergeCell ref="S75:S77"/>
    <mergeCell ref="T75:T77"/>
    <mergeCell ref="U75:U78"/>
    <mergeCell ref="V76:V77"/>
    <mergeCell ref="W76:W77"/>
    <mergeCell ref="U66:U69"/>
    <mergeCell ref="V67:V68"/>
    <mergeCell ref="W67:W68"/>
    <mergeCell ref="X67:X68"/>
    <mergeCell ref="Y67:Y68"/>
    <mergeCell ref="Z76:Z77"/>
    <mergeCell ref="A79:A80"/>
    <mergeCell ref="B79:B90"/>
    <mergeCell ref="A91:D91"/>
    <mergeCell ref="A93:A96"/>
    <mergeCell ref="B93:B96"/>
    <mergeCell ref="C93:C96"/>
    <mergeCell ref="D93:D96"/>
    <mergeCell ref="E93:E96"/>
    <mergeCell ref="F93:F96"/>
    <mergeCell ref="G93:G95"/>
    <mergeCell ref="H93:H95"/>
    <mergeCell ref="I93:I95"/>
    <mergeCell ref="J93:J95"/>
    <mergeCell ref="K93:K95"/>
    <mergeCell ref="L93:L95"/>
    <mergeCell ref="M93:M95"/>
    <mergeCell ref="N93:N95"/>
    <mergeCell ref="O93:O95"/>
    <mergeCell ref="P93:P95"/>
    <mergeCell ref="Q93:Q95"/>
    <mergeCell ref="R93:R95"/>
    <mergeCell ref="S93:S95"/>
    <mergeCell ref="Q75:Q77"/>
    <mergeCell ref="T93:T95"/>
    <mergeCell ref="U93:U96"/>
    <mergeCell ref="V94:V95"/>
    <mergeCell ref="W94:W95"/>
    <mergeCell ref="X94:X95"/>
    <mergeCell ref="Y94:Y95"/>
    <mergeCell ref="Z94:Z95"/>
    <mergeCell ref="B97:B116"/>
    <mergeCell ref="A101:A102"/>
    <mergeCell ref="A111:A112"/>
    <mergeCell ref="A113:A114"/>
    <mergeCell ref="A115:A116"/>
    <mergeCell ref="A97:A98"/>
    <mergeCell ref="A99:A100"/>
    <mergeCell ref="A103:A104"/>
    <mergeCell ref="A105:A106"/>
    <mergeCell ref="A109:A110"/>
    <mergeCell ref="A117:D117"/>
    <mergeCell ref="A118:D118"/>
    <mergeCell ref="C81:C84"/>
    <mergeCell ref="C86:C89"/>
    <mergeCell ref="A81:A85"/>
    <mergeCell ref="A86:A90"/>
    <mergeCell ref="A21:D21"/>
    <mergeCell ref="C23:C24"/>
    <mergeCell ref="C25:C26"/>
    <mergeCell ref="A27:D27"/>
    <mergeCell ref="A33:D33"/>
    <mergeCell ref="A35:D35"/>
    <mergeCell ref="A73:D73"/>
    <mergeCell ref="A74:D74"/>
    <mergeCell ref="A75:A78"/>
    <mergeCell ref="B75:B78"/>
    <mergeCell ref="C75:C78"/>
    <mergeCell ref="D75:D78"/>
    <mergeCell ref="C66:C69"/>
    <mergeCell ref="D66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11</vt:i4>
      </vt:variant>
    </vt:vector>
  </HeadingPairs>
  <TitlesOfParts>
    <vt:vector size="28" baseType="lpstr">
      <vt:lpstr>JAN</vt:lpstr>
      <vt:lpstr>FEBRUARI</vt:lpstr>
      <vt:lpstr>MARET</vt:lpstr>
      <vt:lpstr>JAN - MAR 2026</vt:lpstr>
      <vt:lpstr>APRIL</vt:lpstr>
      <vt:lpstr>FEB</vt:lpstr>
      <vt:lpstr>MAR</vt:lpstr>
      <vt:lpstr>APR</vt:lpstr>
      <vt:lpstr>MEI</vt:lpstr>
      <vt:lpstr>JUN</vt:lpstr>
      <vt:lpstr>JUL</vt:lpstr>
      <vt:lpstr>AGS</vt:lpstr>
      <vt:lpstr>SEP</vt:lpstr>
      <vt:lpstr>OKT</vt:lpstr>
      <vt:lpstr>NOV</vt:lpstr>
      <vt:lpstr>DES</vt:lpstr>
      <vt:lpstr>JAN-DES PER KELAS</vt:lpstr>
      <vt:lpstr>AGS!Print_Area</vt:lpstr>
      <vt:lpstr>APR!Print_Area</vt:lpstr>
      <vt:lpstr>FEB!Print_Area</vt:lpstr>
      <vt:lpstr>JAN!Print_Area</vt:lpstr>
      <vt:lpstr>JUL!Print_Area</vt:lpstr>
      <vt:lpstr>JUN!Print_Area</vt:lpstr>
      <vt:lpstr>MAR!Print_Area</vt:lpstr>
      <vt:lpstr>MEI!Print_Area</vt:lpstr>
      <vt:lpstr>NOV!Print_Area</vt:lpstr>
      <vt:lpstr>OKT!Print_Area</vt:lpstr>
      <vt:lpstr>SEP!Print_Area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Rekam Medis</cp:lastModifiedBy>
  <cp:lastPrinted>2025-12-16T00:28:14Z</cp:lastPrinted>
  <dcterms:created xsi:type="dcterms:W3CDTF">2024-02-15T01:49:33Z</dcterms:created>
  <dcterms:modified xsi:type="dcterms:W3CDTF">2026-07-09T08:03:30Z</dcterms:modified>
</cp:coreProperties>
</file>