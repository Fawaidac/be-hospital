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E\LAP KUNJUNGAN REKAM MEDIS\BARBER JOHNSON\DATA 2026\"/>
    </mc:Choice>
  </mc:AlternateContent>
  <xr:revisionPtr revIDLastSave="0" documentId="13_ncr:1_{EE009563-B57A-4ED4-B518-7CE5A5DB627E}" xr6:coauthVersionLast="47" xr6:coauthVersionMax="47" xr10:uidLastSave="{00000000-0000-0000-0000-000000000000}"/>
  <bookViews>
    <workbookView xWindow="-120" yWindow="-120" windowWidth="20730" windowHeight="11160" tabRatio="695" activeTab="12" xr2:uid="{00000000-000D-0000-FFFF-FFFF00000000}"/>
  </bookViews>
  <sheets>
    <sheet name="JAN" sheetId="1" r:id="rId1"/>
    <sheet name="FEB" sheetId="2" r:id="rId2"/>
    <sheet name="MAR" sheetId="3" r:id="rId3"/>
    <sheet name="JUL" sheetId="7" state="hidden" r:id="rId4"/>
    <sheet name="AGS" sheetId="8" state="hidden" r:id="rId5"/>
    <sheet name="SEP" sheetId="9" state="hidden" r:id="rId6"/>
    <sheet name="OKT" sheetId="10" state="hidden" r:id="rId7"/>
    <sheet name="NOV" sheetId="11" state="hidden" r:id="rId8"/>
    <sheet name="DES" sheetId="12" state="hidden" r:id="rId9"/>
    <sheet name="TOTAL JAN-MAR 2026" sheetId="13" r:id="rId10"/>
    <sheet name="APR" sheetId="4" r:id="rId11"/>
    <sheet name="MEI" sheetId="5" r:id="rId12"/>
    <sheet name="JUN" sheetId="6" r:id="rId13"/>
    <sheet name="." sheetId="14" r:id="rId14"/>
  </sheets>
  <externalReferences>
    <externalReference r:id="rId15"/>
  </externalReferences>
  <definedNames>
    <definedName name="_xlnm.Print_Area" localSheetId="4">AGS!#REF!</definedName>
    <definedName name="_xlnm.Print_Area" localSheetId="10">APR!#REF!</definedName>
    <definedName name="_xlnm.Print_Area" localSheetId="1">FEB!#REF!</definedName>
    <definedName name="_xlnm.Print_Area" localSheetId="3">JUL!#REF!</definedName>
    <definedName name="_xlnm.Print_Area" localSheetId="12">JUN!#REF!</definedName>
    <definedName name="_xlnm.Print_Area" localSheetId="2">MAR!#REF!</definedName>
    <definedName name="_xlnm.Print_Area" localSheetId="11">MEI!#REF!</definedName>
    <definedName name="_xlnm.Print_Area" localSheetId="5">SEP!#REF!</definedName>
    <definedName name="_xlnm.Print_Area" localSheetId="9">'TOTAL JAN-MAR 2026'!#REF!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2" i="13" l="1"/>
  <c r="F131" i="13"/>
  <c r="F129" i="13"/>
  <c r="F127" i="13"/>
  <c r="F125" i="13"/>
  <c r="F123" i="13"/>
  <c r="F121" i="13"/>
  <c r="F119" i="13"/>
  <c r="F117" i="13"/>
  <c r="F115" i="13"/>
  <c r="F113" i="13"/>
  <c r="F111" i="13"/>
  <c r="F102" i="13"/>
  <c r="F100" i="13"/>
  <c r="F99" i="13"/>
  <c r="F97" i="13"/>
  <c r="F95" i="13"/>
  <c r="F86" i="13"/>
  <c r="F84" i="13"/>
  <c r="F82" i="13"/>
  <c r="F81" i="13"/>
  <c r="F79" i="13"/>
  <c r="F77" i="13"/>
  <c r="F68" i="13"/>
  <c r="F66" i="13"/>
  <c r="F64" i="13"/>
  <c r="F56" i="13"/>
  <c r="F47" i="13"/>
  <c r="F45" i="13"/>
  <c r="F43" i="13"/>
  <c r="F41" i="13"/>
  <c r="F39" i="13"/>
  <c r="F37" i="13"/>
  <c r="F35" i="13"/>
  <c r="F33" i="13"/>
  <c r="F31" i="13"/>
  <c r="F30" i="13"/>
  <c r="F29" i="13"/>
  <c r="F28" i="13"/>
  <c r="F19" i="13"/>
  <c r="F17" i="13"/>
  <c r="F15" i="13"/>
  <c r="F13" i="13"/>
  <c r="F11" i="13"/>
  <c r="F9" i="13"/>
  <c r="F7" i="13"/>
  <c r="E135" i="13"/>
  <c r="S141" i="13" l="1"/>
  <c r="S142" i="13" s="1"/>
  <c r="R141" i="13"/>
  <c r="R142" i="13" s="1"/>
  <c r="Q141" i="13"/>
  <c r="Q142" i="13" s="1"/>
  <c r="O141" i="13"/>
  <c r="O142" i="13" s="1"/>
  <c r="N141" i="13"/>
  <c r="N142" i="13" s="1"/>
  <c r="L141" i="13"/>
  <c r="L142" i="13" s="1"/>
  <c r="K141" i="13"/>
  <c r="K142" i="13" s="1"/>
  <c r="I141" i="13"/>
  <c r="I142" i="13" s="1"/>
  <c r="S132" i="13"/>
  <c r="S131" i="13"/>
  <c r="S133" i="13" s="1"/>
  <c r="S130" i="13"/>
  <c r="S129" i="13"/>
  <c r="S127" i="13"/>
  <c r="S128" i="13" s="1"/>
  <c r="S126" i="13"/>
  <c r="S125" i="13"/>
  <c r="S123" i="13"/>
  <c r="S124" i="13" s="1"/>
  <c r="S122" i="13"/>
  <c r="S121" i="13"/>
  <c r="S119" i="13"/>
  <c r="S120" i="13" s="1"/>
  <c r="S118" i="13"/>
  <c r="S117" i="13"/>
  <c r="S115" i="13"/>
  <c r="S116" i="13" s="1"/>
  <c r="S114" i="13"/>
  <c r="S113" i="13"/>
  <c r="S111" i="13"/>
  <c r="S112" i="13" s="1"/>
  <c r="R132" i="13"/>
  <c r="R131" i="13"/>
  <c r="R133" i="13" s="1"/>
  <c r="R130" i="13"/>
  <c r="R129" i="13"/>
  <c r="R127" i="13"/>
  <c r="R128" i="13" s="1"/>
  <c r="R126" i="13"/>
  <c r="R125" i="13"/>
  <c r="R123" i="13"/>
  <c r="R124" i="13" s="1"/>
  <c r="R122" i="13"/>
  <c r="R121" i="13"/>
  <c r="R119" i="13"/>
  <c r="R120" i="13" s="1"/>
  <c r="R118" i="13"/>
  <c r="R117" i="13"/>
  <c r="R115" i="13"/>
  <c r="R116" i="13" s="1"/>
  <c r="R114" i="13"/>
  <c r="R113" i="13"/>
  <c r="R111" i="13"/>
  <c r="R112" i="13" s="1"/>
  <c r="Q132" i="13"/>
  <c r="Q131" i="13"/>
  <c r="Q133" i="13" s="1"/>
  <c r="Q130" i="13"/>
  <c r="Q129" i="13"/>
  <c r="Q127" i="13"/>
  <c r="Q128" i="13" s="1"/>
  <c r="Q126" i="13"/>
  <c r="Q125" i="13"/>
  <c r="Q124" i="13"/>
  <c r="Q123" i="13"/>
  <c r="Q122" i="13"/>
  <c r="Q121" i="13"/>
  <c r="Q120" i="13"/>
  <c r="Q119" i="13"/>
  <c r="Q118" i="13"/>
  <c r="Q117" i="13"/>
  <c r="Q115" i="13"/>
  <c r="Q116" i="13" s="1"/>
  <c r="Q114" i="13"/>
  <c r="Q113" i="13"/>
  <c r="Q111" i="13"/>
  <c r="Q112" i="13" s="1"/>
  <c r="O132" i="13"/>
  <c r="O131" i="13"/>
  <c r="O133" i="13" s="1"/>
  <c r="O130" i="13"/>
  <c r="O129" i="13"/>
  <c r="O127" i="13"/>
  <c r="O128" i="13" s="1"/>
  <c r="O126" i="13"/>
  <c r="O125" i="13"/>
  <c r="O123" i="13"/>
  <c r="O124" i="13" s="1"/>
  <c r="O122" i="13"/>
  <c r="O121" i="13"/>
  <c r="O119" i="13"/>
  <c r="O120" i="13" s="1"/>
  <c r="O118" i="13"/>
  <c r="O117" i="13"/>
  <c r="O115" i="13"/>
  <c r="O116" i="13" s="1"/>
  <c r="O114" i="13"/>
  <c r="O113" i="13"/>
  <c r="O111" i="13"/>
  <c r="O112" i="13" s="1"/>
  <c r="N132" i="13"/>
  <c r="N131" i="13"/>
  <c r="N133" i="13" s="1"/>
  <c r="N130" i="13"/>
  <c r="N129" i="13"/>
  <c r="N127" i="13"/>
  <c r="N128" i="13" s="1"/>
  <c r="N126" i="13"/>
  <c r="N125" i="13"/>
  <c r="N123" i="13"/>
  <c r="N124" i="13" s="1"/>
  <c r="N122" i="13"/>
  <c r="N121" i="13"/>
  <c r="N119" i="13"/>
  <c r="N120" i="13" s="1"/>
  <c r="N118" i="13"/>
  <c r="N117" i="13"/>
  <c r="N115" i="13"/>
  <c r="N116" i="13" s="1"/>
  <c r="N114" i="13"/>
  <c r="N113" i="13"/>
  <c r="N111" i="13"/>
  <c r="N112" i="13" s="1"/>
  <c r="L132" i="13"/>
  <c r="L131" i="13"/>
  <c r="L133" i="13" s="1"/>
  <c r="L130" i="13"/>
  <c r="L129" i="13"/>
  <c r="L127" i="13"/>
  <c r="L128" i="13" s="1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K132" i="13"/>
  <c r="K131" i="13"/>
  <c r="K133" i="13" s="1"/>
  <c r="K130" i="13"/>
  <c r="K129" i="13"/>
  <c r="K127" i="13"/>
  <c r="K128" i="13" s="1"/>
  <c r="K126" i="13"/>
  <c r="K125" i="13"/>
  <c r="K123" i="13"/>
  <c r="K124" i="13" s="1"/>
  <c r="K122" i="13"/>
  <c r="K121" i="13"/>
  <c r="K119" i="13"/>
  <c r="K120" i="13" s="1"/>
  <c r="K118" i="13"/>
  <c r="K117" i="13"/>
  <c r="K115" i="13"/>
  <c r="K116" i="13" s="1"/>
  <c r="K114" i="13"/>
  <c r="K113" i="13"/>
  <c r="K111" i="13"/>
  <c r="K112" i="13" s="1"/>
  <c r="I132" i="13"/>
  <c r="I131" i="13"/>
  <c r="I133" i="13" s="1"/>
  <c r="I130" i="13"/>
  <c r="I129" i="13"/>
  <c r="I127" i="13"/>
  <c r="I128" i="13" s="1"/>
  <c r="I126" i="13"/>
  <c r="I125" i="13"/>
  <c r="I123" i="13"/>
  <c r="I124" i="13" s="1"/>
  <c r="I122" i="13"/>
  <c r="I121" i="13"/>
  <c r="I119" i="13"/>
  <c r="I120" i="13" s="1"/>
  <c r="I118" i="13"/>
  <c r="I117" i="13"/>
  <c r="I115" i="13"/>
  <c r="I116" i="13" s="1"/>
  <c r="I114" i="13"/>
  <c r="I113" i="13"/>
  <c r="I111" i="13"/>
  <c r="I112" i="13" s="1"/>
  <c r="S102" i="13"/>
  <c r="S103" i="13" s="1"/>
  <c r="S100" i="13"/>
  <c r="S101" i="13" s="1"/>
  <c r="S99" i="13"/>
  <c r="S97" i="13"/>
  <c r="S98" i="13" s="1"/>
  <c r="S96" i="13"/>
  <c r="S95" i="13"/>
  <c r="R102" i="13"/>
  <c r="R103" i="13" s="1"/>
  <c r="R100" i="13"/>
  <c r="R99" i="13"/>
  <c r="R101" i="13" s="1"/>
  <c r="R98" i="13"/>
  <c r="R97" i="13"/>
  <c r="R96" i="13"/>
  <c r="R95" i="13"/>
  <c r="Q102" i="13"/>
  <c r="Q103" i="13" s="1"/>
  <c r="Q100" i="13"/>
  <c r="Q99" i="13"/>
  <c r="Q101" i="13" s="1"/>
  <c r="Q97" i="13"/>
  <c r="Q98" i="13" s="1"/>
  <c r="Q96" i="13"/>
  <c r="Q95" i="13"/>
  <c r="O102" i="13"/>
  <c r="O103" i="13" s="1"/>
  <c r="O100" i="13"/>
  <c r="O99" i="13"/>
  <c r="O101" i="13" s="1"/>
  <c r="O98" i="13"/>
  <c r="O97" i="13"/>
  <c r="O96" i="13"/>
  <c r="O95" i="13"/>
  <c r="N102" i="13"/>
  <c r="N103" i="13" s="1"/>
  <c r="N100" i="13"/>
  <c r="N101" i="13" s="1"/>
  <c r="N99" i="13"/>
  <c r="N97" i="13"/>
  <c r="N98" i="13" s="1"/>
  <c r="N96" i="13"/>
  <c r="N95" i="13"/>
  <c r="L102" i="13"/>
  <c r="L103" i="13" s="1"/>
  <c r="L100" i="13"/>
  <c r="L101" i="13" s="1"/>
  <c r="L99" i="13"/>
  <c r="L97" i="13"/>
  <c r="L98" i="13" s="1"/>
  <c r="L96" i="13"/>
  <c r="L95" i="13"/>
  <c r="K102" i="13"/>
  <c r="K103" i="13" s="1"/>
  <c r="K100" i="13"/>
  <c r="K101" i="13" s="1"/>
  <c r="K99" i="13"/>
  <c r="K97" i="13"/>
  <c r="K98" i="13" s="1"/>
  <c r="K96" i="13"/>
  <c r="K95" i="13"/>
  <c r="I102" i="13"/>
  <c r="I103" i="13" s="1"/>
  <c r="I100" i="13"/>
  <c r="I101" i="13" s="1"/>
  <c r="I99" i="13"/>
  <c r="I97" i="13"/>
  <c r="I98" i="13" s="1"/>
  <c r="I96" i="13"/>
  <c r="I95" i="13"/>
  <c r="S86" i="13"/>
  <c r="S87" i="13" s="1"/>
  <c r="S84" i="13"/>
  <c r="S85" i="13" s="1"/>
  <c r="S82" i="13"/>
  <c r="S81" i="13"/>
  <c r="S83" i="13" s="1"/>
  <c r="S80" i="13"/>
  <c r="S79" i="13"/>
  <c r="S77" i="13"/>
  <c r="S78" i="13" s="1"/>
  <c r="R86" i="13"/>
  <c r="R87" i="13" s="1"/>
  <c r="R84" i="13"/>
  <c r="R85" i="13" s="1"/>
  <c r="R82" i="13"/>
  <c r="R81" i="13"/>
  <c r="R83" i="13" s="1"/>
  <c r="R80" i="13"/>
  <c r="R79" i="13"/>
  <c r="R77" i="13"/>
  <c r="R78" i="13" s="1"/>
  <c r="Q86" i="13"/>
  <c r="Q87" i="13" s="1"/>
  <c r="Q84" i="13"/>
  <c r="Q85" i="13" s="1"/>
  <c r="Q82" i="13"/>
  <c r="Q81" i="13"/>
  <c r="Q83" i="13" s="1"/>
  <c r="Q80" i="13"/>
  <c r="Q79" i="13"/>
  <c r="Q77" i="13"/>
  <c r="Q78" i="13" s="1"/>
  <c r="O86" i="13"/>
  <c r="O87" i="13" s="1"/>
  <c r="O84" i="13"/>
  <c r="O85" i="13" s="1"/>
  <c r="O82" i="13"/>
  <c r="O81" i="13"/>
  <c r="O83" i="13" s="1"/>
  <c r="O80" i="13"/>
  <c r="O79" i="13"/>
  <c r="O77" i="13"/>
  <c r="O78" i="13" s="1"/>
  <c r="N86" i="13"/>
  <c r="N87" i="13" s="1"/>
  <c r="N84" i="13"/>
  <c r="N85" i="13" s="1"/>
  <c r="N82" i="13"/>
  <c r="N81" i="13"/>
  <c r="N83" i="13" s="1"/>
  <c r="N80" i="13"/>
  <c r="N79" i="13"/>
  <c r="N78" i="13"/>
  <c r="N77" i="13"/>
  <c r="L86" i="13"/>
  <c r="L87" i="13" s="1"/>
  <c r="L84" i="13"/>
  <c r="L85" i="13" s="1"/>
  <c r="L82" i="13"/>
  <c r="L81" i="13"/>
  <c r="L83" i="13" s="1"/>
  <c r="L80" i="13"/>
  <c r="L79" i="13"/>
  <c r="L77" i="13"/>
  <c r="L78" i="13" s="1"/>
  <c r="K86" i="13"/>
  <c r="K87" i="13" s="1"/>
  <c r="K84" i="13"/>
  <c r="K85" i="13" s="1"/>
  <c r="K82" i="13"/>
  <c r="K81" i="13"/>
  <c r="K83" i="13" s="1"/>
  <c r="K79" i="13"/>
  <c r="K80" i="13" s="1"/>
  <c r="K78" i="13"/>
  <c r="K77" i="13"/>
  <c r="I86" i="13"/>
  <c r="I87" i="13" s="1"/>
  <c r="I84" i="13"/>
  <c r="I85" i="13" s="1"/>
  <c r="I82" i="13"/>
  <c r="I81" i="13"/>
  <c r="I83" i="13" s="1"/>
  <c r="I80" i="13"/>
  <c r="I79" i="13"/>
  <c r="I77" i="13"/>
  <c r="I78" i="13" s="1"/>
  <c r="S68" i="13"/>
  <c r="S69" i="13" s="1"/>
  <c r="S66" i="13"/>
  <c r="S67" i="13" s="1"/>
  <c r="S64" i="13"/>
  <c r="S65" i="13" s="1"/>
  <c r="R68" i="13"/>
  <c r="R69" i="13" s="1"/>
  <c r="R66" i="13"/>
  <c r="R67" i="13" s="1"/>
  <c r="R64" i="13"/>
  <c r="R65" i="13" s="1"/>
  <c r="Q68" i="13"/>
  <c r="Q69" i="13" s="1"/>
  <c r="Q66" i="13"/>
  <c r="Q67" i="13" s="1"/>
  <c r="Q64" i="13"/>
  <c r="Q65" i="13" s="1"/>
  <c r="O68" i="13"/>
  <c r="O69" i="13" s="1"/>
  <c r="O66" i="13"/>
  <c r="O67" i="13" s="1"/>
  <c r="O64" i="13"/>
  <c r="O65" i="13" s="1"/>
  <c r="N68" i="13"/>
  <c r="N69" i="13" s="1"/>
  <c r="N66" i="13"/>
  <c r="N67" i="13" s="1"/>
  <c r="N64" i="13"/>
  <c r="N65" i="13" s="1"/>
  <c r="L68" i="13"/>
  <c r="L69" i="13" s="1"/>
  <c r="L66" i="13"/>
  <c r="L67" i="13" s="1"/>
  <c r="L64" i="13"/>
  <c r="L65" i="13" s="1"/>
  <c r="K68" i="13"/>
  <c r="K69" i="13" s="1"/>
  <c r="K66" i="13"/>
  <c r="K67" i="13" s="1"/>
  <c r="K64" i="13"/>
  <c r="K65" i="13" s="1"/>
  <c r="I68" i="13"/>
  <c r="I69" i="13" s="1"/>
  <c r="I66" i="13"/>
  <c r="I67" i="13" s="1"/>
  <c r="I64" i="13"/>
  <c r="I65" i="13" s="1"/>
  <c r="S56" i="13"/>
  <c r="R56" i="13"/>
  <c r="Q56" i="13"/>
  <c r="O56" i="13"/>
  <c r="N56" i="13"/>
  <c r="L56" i="13"/>
  <c r="K56" i="13"/>
  <c r="I56" i="13"/>
  <c r="S47" i="13"/>
  <c r="S48" i="13" s="1"/>
  <c r="S45" i="13"/>
  <c r="S46" i="13" s="1"/>
  <c r="S43" i="13"/>
  <c r="S44" i="13" s="1"/>
  <c r="S41" i="13"/>
  <c r="S42" i="13" s="1"/>
  <c r="S39" i="13"/>
  <c r="S40" i="13" s="1"/>
  <c r="S37" i="13"/>
  <c r="S38" i="13" s="1"/>
  <c r="S35" i="13"/>
  <c r="S36" i="13" s="1"/>
  <c r="S33" i="13"/>
  <c r="S34" i="13" s="1"/>
  <c r="S31" i="13"/>
  <c r="S30" i="13"/>
  <c r="S29" i="13"/>
  <c r="S28" i="13"/>
  <c r="S32" i="13" s="1"/>
  <c r="R47" i="13"/>
  <c r="R48" i="13" s="1"/>
  <c r="R45" i="13"/>
  <c r="R46" i="13" s="1"/>
  <c r="R43" i="13"/>
  <c r="R44" i="13" s="1"/>
  <c r="R41" i="13"/>
  <c r="R42" i="13" s="1"/>
  <c r="R39" i="13"/>
  <c r="R40" i="13" s="1"/>
  <c r="R37" i="13"/>
  <c r="R38" i="13" s="1"/>
  <c r="R35" i="13"/>
  <c r="R36" i="13" s="1"/>
  <c r="R33" i="13"/>
  <c r="R34" i="13" s="1"/>
  <c r="R31" i="13"/>
  <c r="R30" i="13"/>
  <c r="R29" i="13"/>
  <c r="R28" i="13"/>
  <c r="R32" i="13" s="1"/>
  <c r="Q47" i="13"/>
  <c r="Q48" i="13" s="1"/>
  <c r="Q45" i="13"/>
  <c r="Q46" i="13" s="1"/>
  <c r="Q43" i="13"/>
  <c r="Q44" i="13" s="1"/>
  <c r="Q41" i="13"/>
  <c r="Q42" i="13" s="1"/>
  <c r="Q39" i="13"/>
  <c r="Q40" i="13" s="1"/>
  <c r="Q37" i="13"/>
  <c r="Q38" i="13" s="1"/>
  <c r="Q35" i="13"/>
  <c r="Q36" i="13" s="1"/>
  <c r="Q33" i="13"/>
  <c r="Q34" i="13" s="1"/>
  <c r="Q31" i="13"/>
  <c r="Q30" i="13"/>
  <c r="Q29" i="13"/>
  <c r="Q28" i="13"/>
  <c r="Q32" i="13" s="1"/>
  <c r="O47" i="13"/>
  <c r="O48" i="13" s="1"/>
  <c r="O45" i="13"/>
  <c r="O46" i="13" s="1"/>
  <c r="O43" i="13"/>
  <c r="O44" i="13" s="1"/>
  <c r="O41" i="13"/>
  <c r="O42" i="13" s="1"/>
  <c r="O39" i="13"/>
  <c r="O40" i="13" s="1"/>
  <c r="O37" i="13"/>
  <c r="O38" i="13" s="1"/>
  <c r="O35" i="13"/>
  <c r="O36" i="13" s="1"/>
  <c r="O33" i="13"/>
  <c r="O34" i="13" s="1"/>
  <c r="O31" i="13"/>
  <c r="O30" i="13"/>
  <c r="O29" i="13"/>
  <c r="O28" i="13"/>
  <c r="O32" i="13" s="1"/>
  <c r="N47" i="13"/>
  <c r="N48" i="13" s="1"/>
  <c r="N45" i="13"/>
  <c r="N46" i="13" s="1"/>
  <c r="N43" i="13"/>
  <c r="N44" i="13" s="1"/>
  <c r="N41" i="13"/>
  <c r="N42" i="13" s="1"/>
  <c r="N39" i="13"/>
  <c r="N40" i="13" s="1"/>
  <c r="N37" i="13"/>
  <c r="N38" i="13" s="1"/>
  <c r="N35" i="13"/>
  <c r="N36" i="13" s="1"/>
  <c r="N33" i="13"/>
  <c r="N34" i="13" s="1"/>
  <c r="N31" i="13"/>
  <c r="N30" i="13"/>
  <c r="N29" i="13"/>
  <c r="N28" i="13"/>
  <c r="N32" i="13" s="1"/>
  <c r="L47" i="13"/>
  <c r="L48" i="13" s="1"/>
  <c r="L45" i="13"/>
  <c r="L46" i="13" s="1"/>
  <c r="L43" i="13"/>
  <c r="L44" i="13" s="1"/>
  <c r="L41" i="13"/>
  <c r="L42" i="13" s="1"/>
  <c r="L39" i="13"/>
  <c r="L40" i="13" s="1"/>
  <c r="L37" i="13"/>
  <c r="L38" i="13" s="1"/>
  <c r="L35" i="13"/>
  <c r="L36" i="13" s="1"/>
  <c r="L33" i="13"/>
  <c r="L34" i="13" s="1"/>
  <c r="L31" i="13"/>
  <c r="L30" i="13"/>
  <c r="L29" i="13"/>
  <c r="L28" i="13"/>
  <c r="L32" i="13" s="1"/>
  <c r="K47" i="13"/>
  <c r="K48" i="13" s="1"/>
  <c r="K45" i="13"/>
  <c r="K46" i="13" s="1"/>
  <c r="K43" i="13"/>
  <c r="K44" i="13" s="1"/>
  <c r="K41" i="13"/>
  <c r="K42" i="13" s="1"/>
  <c r="K39" i="13"/>
  <c r="K40" i="13" s="1"/>
  <c r="K37" i="13"/>
  <c r="K38" i="13" s="1"/>
  <c r="K35" i="13"/>
  <c r="K36" i="13" s="1"/>
  <c r="K33" i="13"/>
  <c r="K34" i="13" s="1"/>
  <c r="K31" i="13"/>
  <c r="K30" i="13"/>
  <c r="K29" i="13"/>
  <c r="K28" i="13"/>
  <c r="K32" i="13" s="1"/>
  <c r="I47" i="13"/>
  <c r="I48" i="13" s="1"/>
  <c r="I45" i="13"/>
  <c r="I46" i="13" s="1"/>
  <c r="I43" i="13"/>
  <c r="I44" i="13" s="1"/>
  <c r="I41" i="13"/>
  <c r="I42" i="13" s="1"/>
  <c r="I39" i="13"/>
  <c r="I40" i="13" s="1"/>
  <c r="I37" i="13"/>
  <c r="I38" i="13" s="1"/>
  <c r="I35" i="13"/>
  <c r="I36" i="13" s="1"/>
  <c r="I33" i="13"/>
  <c r="I34" i="13" s="1"/>
  <c r="I31" i="13"/>
  <c r="I30" i="13"/>
  <c r="I29" i="13"/>
  <c r="I28" i="13"/>
  <c r="I32" i="13" s="1"/>
  <c r="S19" i="13"/>
  <c r="S20" i="13" s="1"/>
  <c r="S17" i="13"/>
  <c r="S18" i="13" s="1"/>
  <c r="S15" i="13"/>
  <c r="S16" i="13" s="1"/>
  <c r="S13" i="13"/>
  <c r="S14" i="13" s="1"/>
  <c r="S11" i="13"/>
  <c r="S12" i="13" s="1"/>
  <c r="S9" i="13"/>
  <c r="S10" i="13" s="1"/>
  <c r="S7" i="13"/>
  <c r="S8" i="13" s="1"/>
  <c r="R19" i="13"/>
  <c r="R20" i="13" s="1"/>
  <c r="R17" i="13"/>
  <c r="R18" i="13" s="1"/>
  <c r="R15" i="13"/>
  <c r="R16" i="13" s="1"/>
  <c r="R13" i="13"/>
  <c r="R14" i="13" s="1"/>
  <c r="R11" i="13"/>
  <c r="R12" i="13" s="1"/>
  <c r="R9" i="13"/>
  <c r="R10" i="13" s="1"/>
  <c r="R7" i="13"/>
  <c r="R8" i="13" s="1"/>
  <c r="Q19" i="13"/>
  <c r="Q20" i="13" s="1"/>
  <c r="Q17" i="13"/>
  <c r="Q18" i="13" s="1"/>
  <c r="Q15" i="13"/>
  <c r="Q16" i="13" s="1"/>
  <c r="Q13" i="13"/>
  <c r="Q14" i="13" s="1"/>
  <c r="Q11" i="13"/>
  <c r="Q12" i="13" s="1"/>
  <c r="Q9" i="13"/>
  <c r="Q10" i="13" s="1"/>
  <c r="Q7" i="13"/>
  <c r="Q8" i="13" s="1"/>
  <c r="O19" i="13"/>
  <c r="O20" i="13" s="1"/>
  <c r="O17" i="13"/>
  <c r="O18" i="13" s="1"/>
  <c r="O15" i="13"/>
  <c r="O16" i="13" s="1"/>
  <c r="O13" i="13"/>
  <c r="O14" i="13" s="1"/>
  <c r="O11" i="13"/>
  <c r="O12" i="13" s="1"/>
  <c r="O9" i="13"/>
  <c r="O10" i="13" s="1"/>
  <c r="O7" i="13"/>
  <c r="O8" i="13" s="1"/>
  <c r="N19" i="13"/>
  <c r="N20" i="13" s="1"/>
  <c r="N17" i="13"/>
  <c r="N18" i="13" s="1"/>
  <c r="N15" i="13"/>
  <c r="N16" i="13" s="1"/>
  <c r="N13" i="13"/>
  <c r="N14" i="13" s="1"/>
  <c r="N11" i="13"/>
  <c r="N12" i="13" s="1"/>
  <c r="N9" i="13"/>
  <c r="N10" i="13" s="1"/>
  <c r="N7" i="13"/>
  <c r="N8" i="13" s="1"/>
  <c r="L19" i="13"/>
  <c r="L20" i="13" s="1"/>
  <c r="L17" i="13"/>
  <c r="L18" i="13" s="1"/>
  <c r="L15" i="13"/>
  <c r="L16" i="13" s="1"/>
  <c r="L13" i="13"/>
  <c r="L14" i="13" s="1"/>
  <c r="L11" i="13"/>
  <c r="L12" i="13" s="1"/>
  <c r="L9" i="13"/>
  <c r="L10" i="13" s="1"/>
  <c r="L7" i="13"/>
  <c r="L8" i="13" s="1"/>
  <c r="K19" i="13"/>
  <c r="K20" i="13" s="1"/>
  <c r="K17" i="13"/>
  <c r="K18" i="13" s="1"/>
  <c r="K15" i="13"/>
  <c r="K16" i="13" s="1"/>
  <c r="K13" i="13"/>
  <c r="K14" i="13" s="1"/>
  <c r="K11" i="13"/>
  <c r="K12" i="13" s="1"/>
  <c r="K9" i="13"/>
  <c r="K10" i="13" s="1"/>
  <c r="K7" i="13"/>
  <c r="K8" i="13" s="1"/>
  <c r="I19" i="13"/>
  <c r="I20" i="13" s="1"/>
  <c r="I17" i="13"/>
  <c r="I18" i="13" s="1"/>
  <c r="I15" i="13"/>
  <c r="I16" i="13" s="1"/>
  <c r="I13" i="13"/>
  <c r="I14" i="13" s="1"/>
  <c r="I11" i="13"/>
  <c r="I12" i="13" s="1"/>
  <c r="I9" i="13"/>
  <c r="I10" i="13" s="1"/>
  <c r="I7" i="13"/>
  <c r="I8" i="13" s="1"/>
  <c r="H141" i="13"/>
  <c r="H132" i="13"/>
  <c r="H131" i="13"/>
  <c r="H129" i="13"/>
  <c r="H127" i="13"/>
  <c r="H125" i="13"/>
  <c r="H123" i="13"/>
  <c r="H121" i="13"/>
  <c r="H119" i="13"/>
  <c r="H117" i="13"/>
  <c r="H115" i="13"/>
  <c r="H113" i="13"/>
  <c r="H111" i="13"/>
  <c r="H102" i="13"/>
  <c r="H100" i="13"/>
  <c r="H99" i="13"/>
  <c r="H97" i="13"/>
  <c r="H95" i="13"/>
  <c r="H86" i="13"/>
  <c r="H84" i="13"/>
  <c r="H82" i="13"/>
  <c r="H81" i="13"/>
  <c r="H79" i="13"/>
  <c r="H77" i="13"/>
  <c r="H68" i="13"/>
  <c r="H66" i="13"/>
  <c r="H64" i="13"/>
  <c r="H56" i="13"/>
  <c r="H47" i="13"/>
  <c r="H45" i="13"/>
  <c r="H43" i="13"/>
  <c r="H41" i="13"/>
  <c r="H39" i="13"/>
  <c r="H37" i="13"/>
  <c r="H35" i="13"/>
  <c r="H33" i="13"/>
  <c r="H31" i="13"/>
  <c r="H30" i="13"/>
  <c r="H29" i="13"/>
  <c r="H28" i="13"/>
  <c r="H19" i="13"/>
  <c r="H17" i="13"/>
  <c r="H15" i="13"/>
  <c r="H13" i="13"/>
  <c r="H11" i="13"/>
  <c r="H9" i="13"/>
  <c r="H7" i="13"/>
  <c r="E143" i="13"/>
  <c r="E142" i="13"/>
  <c r="E141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04" i="13"/>
  <c r="E103" i="13"/>
  <c r="E102" i="13"/>
  <c r="E101" i="13"/>
  <c r="E100" i="13"/>
  <c r="E99" i="13"/>
  <c r="E98" i="13"/>
  <c r="E97" i="13"/>
  <c r="E96" i="13"/>
  <c r="E95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0" i="13"/>
  <c r="E69" i="13"/>
  <c r="E68" i="13"/>
  <c r="E67" i="13"/>
  <c r="E66" i="13"/>
  <c r="E65" i="13"/>
  <c r="E64" i="13"/>
  <c r="E57" i="13"/>
  <c r="E56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S135" i="2" l="1"/>
  <c r="V135" i="2" s="1"/>
  <c r="W135" i="2" s="1"/>
  <c r="R135" i="2"/>
  <c r="Q135" i="2"/>
  <c r="O135" i="2"/>
  <c r="N135" i="2"/>
  <c r="M135" i="2" s="1"/>
  <c r="L135" i="2"/>
  <c r="K135" i="2"/>
  <c r="I135" i="2"/>
  <c r="H135" i="2"/>
  <c r="G135" i="2"/>
  <c r="J135" i="2" s="1"/>
  <c r="F135" i="2"/>
  <c r="S135" i="1"/>
  <c r="R135" i="1"/>
  <c r="Q135" i="1"/>
  <c r="O135" i="1"/>
  <c r="N135" i="1"/>
  <c r="L135" i="1"/>
  <c r="K135" i="1"/>
  <c r="I135" i="1"/>
  <c r="J135" i="1" s="1"/>
  <c r="H135" i="1"/>
  <c r="G135" i="1"/>
  <c r="F135" i="1"/>
  <c r="V135" i="1"/>
  <c r="H105" i="13"/>
  <c r="H89" i="13"/>
  <c r="H71" i="13"/>
  <c r="H58" i="13"/>
  <c r="H50" i="13"/>
  <c r="H22" i="13"/>
  <c r="H142" i="13"/>
  <c r="H130" i="13"/>
  <c r="H128" i="13"/>
  <c r="H126" i="13"/>
  <c r="H124" i="13"/>
  <c r="H118" i="13"/>
  <c r="H116" i="13"/>
  <c r="H122" i="13"/>
  <c r="H120" i="13"/>
  <c r="H114" i="13"/>
  <c r="H112" i="13"/>
  <c r="S104" i="13"/>
  <c r="L104" i="13"/>
  <c r="I104" i="13"/>
  <c r="H101" i="13"/>
  <c r="H98" i="13"/>
  <c r="H103" i="13"/>
  <c r="H96" i="13"/>
  <c r="H85" i="13"/>
  <c r="H83" i="13"/>
  <c r="H78" i="13"/>
  <c r="H87" i="13"/>
  <c r="H80" i="13"/>
  <c r="H69" i="13"/>
  <c r="H67" i="13"/>
  <c r="H65" i="13"/>
  <c r="Y135" i="2" l="1"/>
  <c r="P135" i="2"/>
  <c r="T135" i="2"/>
  <c r="Z135" i="2"/>
  <c r="X135" i="2"/>
  <c r="U135" i="2"/>
  <c r="O104" i="13"/>
  <c r="K104" i="13"/>
  <c r="N104" i="13"/>
  <c r="I134" i="13"/>
  <c r="K134" i="13"/>
  <c r="L134" i="13"/>
  <c r="N134" i="13"/>
  <c r="O134" i="13"/>
  <c r="Q134" i="13"/>
  <c r="R134" i="13"/>
  <c r="S134" i="13"/>
  <c r="N70" i="13"/>
  <c r="O70" i="13"/>
  <c r="Q70" i="13"/>
  <c r="R70" i="13"/>
  <c r="S70" i="13"/>
  <c r="I88" i="13"/>
  <c r="S88" i="13"/>
  <c r="O88" i="13"/>
  <c r="R104" i="13"/>
  <c r="L88" i="13"/>
  <c r="K88" i="13"/>
  <c r="Q88" i="13"/>
  <c r="R88" i="13"/>
  <c r="Q104" i="13"/>
  <c r="I70" i="13"/>
  <c r="K70" i="13"/>
  <c r="L70" i="13"/>
  <c r="M135" i="1"/>
  <c r="U135" i="1" s="1"/>
  <c r="W135" i="1"/>
  <c r="Z135" i="1"/>
  <c r="X135" i="1"/>
  <c r="H70" i="13"/>
  <c r="H133" i="13"/>
  <c r="H134" i="13" s="1"/>
  <c r="H104" i="13"/>
  <c r="N88" i="13"/>
  <c r="H88" i="13"/>
  <c r="S135" i="13" l="1"/>
  <c r="V135" i="13" s="1"/>
  <c r="Q135" i="13"/>
  <c r="O135" i="13"/>
  <c r="M134" i="13"/>
  <c r="X134" i="13" s="1"/>
  <c r="L135" i="13"/>
  <c r="I135" i="13"/>
  <c r="R135" i="13"/>
  <c r="M104" i="13"/>
  <c r="K135" i="13"/>
  <c r="M88" i="13"/>
  <c r="N135" i="13"/>
  <c r="M135" i="13" s="1"/>
  <c r="U135" i="13" s="1"/>
  <c r="M70" i="13"/>
  <c r="H135" i="13"/>
  <c r="P135" i="1"/>
  <c r="T135" i="1" s="1"/>
  <c r="Y135" i="1"/>
  <c r="X142" i="13"/>
  <c r="V142" i="13"/>
  <c r="U142" i="13"/>
  <c r="T142" i="13"/>
  <c r="X141" i="13"/>
  <c r="U141" i="13"/>
  <c r="T141" i="13"/>
  <c r="U134" i="13"/>
  <c r="T134" i="13"/>
  <c r="X133" i="13"/>
  <c r="U133" i="13"/>
  <c r="T133" i="13"/>
  <c r="X132" i="13"/>
  <c r="V132" i="13"/>
  <c r="U132" i="13"/>
  <c r="T132" i="13"/>
  <c r="X131" i="13"/>
  <c r="U131" i="13"/>
  <c r="T131" i="13"/>
  <c r="X130" i="13"/>
  <c r="U130" i="13"/>
  <c r="T130" i="13"/>
  <c r="X129" i="13"/>
  <c r="U129" i="13"/>
  <c r="T129" i="13"/>
  <c r="X128" i="13"/>
  <c r="V128" i="13"/>
  <c r="U128" i="13"/>
  <c r="T128" i="13"/>
  <c r="X127" i="13"/>
  <c r="U127" i="13"/>
  <c r="T127" i="13"/>
  <c r="X126" i="13"/>
  <c r="U126" i="13"/>
  <c r="T126" i="13"/>
  <c r="X125" i="13"/>
  <c r="U125" i="13"/>
  <c r="T125" i="13"/>
  <c r="X124" i="13"/>
  <c r="V124" i="13"/>
  <c r="U124" i="13"/>
  <c r="T124" i="13"/>
  <c r="X123" i="13"/>
  <c r="U123" i="13"/>
  <c r="T123" i="13"/>
  <c r="X122" i="13"/>
  <c r="U122" i="13"/>
  <c r="T122" i="13"/>
  <c r="X121" i="13"/>
  <c r="U121" i="13"/>
  <c r="T121" i="13"/>
  <c r="X120" i="13"/>
  <c r="U120" i="13"/>
  <c r="T120" i="13"/>
  <c r="X119" i="13"/>
  <c r="U119" i="13"/>
  <c r="T119" i="13"/>
  <c r="X118" i="13"/>
  <c r="U118" i="13"/>
  <c r="T118" i="13"/>
  <c r="X117" i="13"/>
  <c r="U117" i="13"/>
  <c r="T117" i="13"/>
  <c r="X116" i="13"/>
  <c r="U116" i="13"/>
  <c r="T116" i="13"/>
  <c r="X115" i="13"/>
  <c r="U115" i="13"/>
  <c r="T115" i="13"/>
  <c r="X114" i="13"/>
  <c r="U114" i="13"/>
  <c r="T114" i="13"/>
  <c r="X113" i="13"/>
  <c r="U113" i="13"/>
  <c r="T113" i="13"/>
  <c r="X112" i="13"/>
  <c r="U112" i="13"/>
  <c r="T112" i="13"/>
  <c r="X111" i="13"/>
  <c r="U111" i="13"/>
  <c r="T111" i="13"/>
  <c r="X104" i="13"/>
  <c r="U104" i="13"/>
  <c r="T104" i="13"/>
  <c r="X103" i="13"/>
  <c r="U103" i="13"/>
  <c r="T103" i="13"/>
  <c r="X102" i="13"/>
  <c r="U102" i="13"/>
  <c r="T102" i="13"/>
  <c r="X101" i="13"/>
  <c r="U101" i="13"/>
  <c r="T101" i="13"/>
  <c r="X100" i="13"/>
  <c r="U100" i="13"/>
  <c r="T100" i="13"/>
  <c r="X99" i="13"/>
  <c r="U99" i="13"/>
  <c r="T99" i="13"/>
  <c r="X98" i="13"/>
  <c r="U98" i="13"/>
  <c r="T98" i="13"/>
  <c r="X97" i="13"/>
  <c r="U97" i="13"/>
  <c r="T97" i="13"/>
  <c r="X96" i="13"/>
  <c r="U96" i="13"/>
  <c r="T96" i="13"/>
  <c r="X95" i="13"/>
  <c r="U95" i="13"/>
  <c r="T95" i="13"/>
  <c r="X88" i="13"/>
  <c r="U88" i="13"/>
  <c r="T88" i="13"/>
  <c r="X87" i="13"/>
  <c r="U87" i="13"/>
  <c r="T87" i="13"/>
  <c r="X86" i="13"/>
  <c r="U86" i="13"/>
  <c r="T86" i="13"/>
  <c r="X85" i="13"/>
  <c r="U85" i="13"/>
  <c r="T85" i="13"/>
  <c r="X84" i="13"/>
  <c r="U84" i="13"/>
  <c r="T84" i="13"/>
  <c r="X83" i="13"/>
  <c r="U83" i="13"/>
  <c r="T83" i="13"/>
  <c r="X82" i="13"/>
  <c r="U82" i="13"/>
  <c r="T82" i="13"/>
  <c r="X81" i="13"/>
  <c r="U81" i="13"/>
  <c r="T81" i="13"/>
  <c r="X80" i="13"/>
  <c r="U80" i="13"/>
  <c r="T80" i="13"/>
  <c r="X79" i="13"/>
  <c r="U79" i="13"/>
  <c r="T79" i="13"/>
  <c r="X78" i="13"/>
  <c r="U78" i="13"/>
  <c r="T78" i="13"/>
  <c r="X77" i="13"/>
  <c r="U77" i="13"/>
  <c r="T77" i="13"/>
  <c r="X70" i="13"/>
  <c r="U70" i="13"/>
  <c r="T70" i="13"/>
  <c r="X69" i="13"/>
  <c r="U69" i="13"/>
  <c r="T69" i="13"/>
  <c r="X68" i="13"/>
  <c r="U68" i="13"/>
  <c r="T68" i="13"/>
  <c r="X67" i="13"/>
  <c r="U67" i="13"/>
  <c r="T67" i="13"/>
  <c r="X66" i="13"/>
  <c r="U66" i="13"/>
  <c r="T66" i="13"/>
  <c r="X65" i="13"/>
  <c r="U65" i="13"/>
  <c r="T65" i="13"/>
  <c r="X64" i="13"/>
  <c r="U64" i="13"/>
  <c r="T64" i="13"/>
  <c r="T57" i="13"/>
  <c r="T56" i="13"/>
  <c r="T49" i="13"/>
  <c r="T48" i="13"/>
  <c r="T47" i="13"/>
  <c r="T46" i="13"/>
  <c r="U45" i="13"/>
  <c r="T45" i="13"/>
  <c r="U44" i="13"/>
  <c r="T44" i="13"/>
  <c r="U43" i="13"/>
  <c r="T43" i="13"/>
  <c r="T42" i="13"/>
  <c r="T41" i="13"/>
  <c r="U40" i="13"/>
  <c r="T40" i="13"/>
  <c r="U39" i="13"/>
  <c r="T39" i="13"/>
  <c r="T38" i="13"/>
  <c r="T37" i="13"/>
  <c r="T36" i="13"/>
  <c r="T35" i="13"/>
  <c r="T34" i="13"/>
  <c r="U33" i="13"/>
  <c r="T33" i="13"/>
  <c r="T32" i="13"/>
  <c r="T31" i="13"/>
  <c r="T30" i="13"/>
  <c r="U29" i="13"/>
  <c r="T29" i="13"/>
  <c r="U28" i="13"/>
  <c r="T28" i="13"/>
  <c r="T21" i="13"/>
  <c r="T20" i="13"/>
  <c r="T19" i="13"/>
  <c r="T18" i="13"/>
  <c r="U17" i="13"/>
  <c r="T17" i="13"/>
  <c r="T16" i="13"/>
  <c r="T15" i="13"/>
  <c r="T14" i="13"/>
  <c r="U13" i="13"/>
  <c r="T13" i="13"/>
  <c r="T12" i="13"/>
  <c r="T11" i="13"/>
  <c r="T10" i="13"/>
  <c r="U9" i="13"/>
  <c r="T9" i="13"/>
  <c r="T8" i="13"/>
  <c r="T7" i="13"/>
  <c r="S57" i="13"/>
  <c r="R57" i="13"/>
  <c r="Q57" i="13"/>
  <c r="O57" i="13"/>
  <c r="N57" i="13"/>
  <c r="L57" i="13"/>
  <c r="K57" i="13"/>
  <c r="I57" i="13"/>
  <c r="H57" i="13"/>
  <c r="X48" i="13"/>
  <c r="X46" i="13"/>
  <c r="X45" i="13"/>
  <c r="X44" i="13"/>
  <c r="X41" i="13"/>
  <c r="X40" i="13"/>
  <c r="X37" i="13"/>
  <c r="X36" i="13"/>
  <c r="X33" i="13"/>
  <c r="X31" i="13"/>
  <c r="X30" i="13"/>
  <c r="X29" i="13"/>
  <c r="U48" i="13"/>
  <c r="U46" i="13"/>
  <c r="U41" i="13"/>
  <c r="U38" i="13"/>
  <c r="U36" i="13"/>
  <c r="U34" i="13"/>
  <c r="U31" i="13"/>
  <c r="U30" i="13"/>
  <c r="H48" i="13"/>
  <c r="H40" i="13"/>
  <c r="H46" i="13"/>
  <c r="H44" i="13"/>
  <c r="H42" i="13"/>
  <c r="H38" i="13"/>
  <c r="H36" i="13"/>
  <c r="H34" i="13"/>
  <c r="H32" i="13"/>
  <c r="X17" i="13"/>
  <c r="X13" i="13"/>
  <c r="X9" i="13"/>
  <c r="U19" i="13"/>
  <c r="U18" i="13"/>
  <c r="U15" i="13"/>
  <c r="U14" i="13"/>
  <c r="U11" i="13"/>
  <c r="U10" i="13"/>
  <c r="H20" i="13"/>
  <c r="H18" i="13"/>
  <c r="H14" i="13"/>
  <c r="H16" i="13"/>
  <c r="H12" i="13"/>
  <c r="H10" i="13"/>
  <c r="H8" i="13"/>
  <c r="G141" i="13"/>
  <c r="G142" i="13" s="1"/>
  <c r="F141" i="13"/>
  <c r="Z141" i="13" s="1"/>
  <c r="G132" i="13"/>
  <c r="Z132" i="13"/>
  <c r="G131" i="13"/>
  <c r="G129" i="13"/>
  <c r="G130" i="13" s="1"/>
  <c r="Z129" i="13"/>
  <c r="G127" i="13"/>
  <c r="G128" i="13" s="1"/>
  <c r="F128" i="13"/>
  <c r="G125" i="13"/>
  <c r="G126" i="13" s="1"/>
  <c r="Z125" i="13"/>
  <c r="G123" i="13"/>
  <c r="G124" i="13" s="1"/>
  <c r="Z123" i="13"/>
  <c r="G121" i="13"/>
  <c r="G122" i="13" s="1"/>
  <c r="F122" i="13"/>
  <c r="G119" i="13"/>
  <c r="G120" i="13" s="1"/>
  <c r="Z119" i="13"/>
  <c r="G117" i="13"/>
  <c r="G118" i="13" s="1"/>
  <c r="F118" i="13"/>
  <c r="Z118" i="13" s="1"/>
  <c r="G115" i="13"/>
  <c r="G116" i="13" s="1"/>
  <c r="Z115" i="13"/>
  <c r="G113" i="13"/>
  <c r="G114" i="13" s="1"/>
  <c r="Z113" i="13"/>
  <c r="G111" i="13"/>
  <c r="G112" i="13" s="1"/>
  <c r="F112" i="13"/>
  <c r="G102" i="13"/>
  <c r="G103" i="13" s="1"/>
  <c r="F103" i="13"/>
  <c r="Z103" i="13" s="1"/>
  <c r="G100" i="13"/>
  <c r="Z100" i="13"/>
  <c r="G99" i="13"/>
  <c r="G97" i="13"/>
  <c r="G98" i="13" s="1"/>
  <c r="Z97" i="13"/>
  <c r="G95" i="13"/>
  <c r="G96" i="13" s="1"/>
  <c r="Z95" i="13"/>
  <c r="G86" i="13"/>
  <c r="G87" i="13" s="1"/>
  <c r="F87" i="13"/>
  <c r="Z87" i="13" s="1"/>
  <c r="G84" i="13"/>
  <c r="G85" i="13" s="1"/>
  <c r="F85" i="13"/>
  <c r="Z85" i="13" s="1"/>
  <c r="G82" i="13"/>
  <c r="Z82" i="13"/>
  <c r="G81" i="13"/>
  <c r="G79" i="13"/>
  <c r="G80" i="13" s="1"/>
  <c r="Z79" i="13"/>
  <c r="G77" i="13"/>
  <c r="G78" i="13" s="1"/>
  <c r="Z77" i="13"/>
  <c r="G68" i="13"/>
  <c r="G69" i="13" s="1"/>
  <c r="F69" i="13"/>
  <c r="Z69" i="13" s="1"/>
  <c r="G66" i="13"/>
  <c r="G67" i="13" s="1"/>
  <c r="F67" i="13"/>
  <c r="Z67" i="13" s="1"/>
  <c r="G64" i="13"/>
  <c r="G65" i="13" s="1"/>
  <c r="F65" i="13"/>
  <c r="Z65" i="13" s="1"/>
  <c r="G56" i="13"/>
  <c r="G57" i="13" s="1"/>
  <c r="F57" i="13"/>
  <c r="G47" i="13"/>
  <c r="G48" i="13" s="1"/>
  <c r="F48" i="13"/>
  <c r="G45" i="13"/>
  <c r="G46" i="13" s="1"/>
  <c r="Z45" i="13"/>
  <c r="G43" i="13"/>
  <c r="G44" i="13" s="1"/>
  <c r="G41" i="13"/>
  <c r="G42" i="13" s="1"/>
  <c r="G39" i="13"/>
  <c r="G40" i="13" s="1"/>
  <c r="F40" i="13"/>
  <c r="Z40" i="13" s="1"/>
  <c r="G37" i="13"/>
  <c r="G38" i="13" s="1"/>
  <c r="G35" i="13"/>
  <c r="G36" i="13" s="1"/>
  <c r="Z35" i="13"/>
  <c r="G33" i="13"/>
  <c r="G34" i="13" s="1"/>
  <c r="Z33" i="13"/>
  <c r="G31" i="13"/>
  <c r="G30" i="13"/>
  <c r="G29" i="13"/>
  <c r="Z29" i="13"/>
  <c r="G28" i="13"/>
  <c r="G19" i="13"/>
  <c r="G20" i="13" s="1"/>
  <c r="G17" i="13"/>
  <c r="G18" i="13" s="1"/>
  <c r="G15" i="13"/>
  <c r="G16" i="13" s="1"/>
  <c r="G13" i="13"/>
  <c r="G14" i="13" s="1"/>
  <c r="G11" i="13"/>
  <c r="G12" i="13" s="1"/>
  <c r="G9" i="13"/>
  <c r="G10" i="13" s="1"/>
  <c r="G7" i="13"/>
  <c r="G8" i="13" s="1"/>
  <c r="F8" i="13"/>
  <c r="V141" i="13"/>
  <c r="V134" i="13"/>
  <c r="V133" i="13"/>
  <c r="V131" i="13"/>
  <c r="W131" i="13" s="1"/>
  <c r="V130" i="13"/>
  <c r="V129" i="13"/>
  <c r="V127" i="13"/>
  <c r="V126" i="13"/>
  <c r="V125" i="13"/>
  <c r="V123" i="13"/>
  <c r="V122" i="13"/>
  <c r="V121" i="13"/>
  <c r="V120" i="13"/>
  <c r="V119" i="13"/>
  <c r="V118" i="13"/>
  <c r="V117" i="13"/>
  <c r="V116" i="13"/>
  <c r="V115" i="13"/>
  <c r="V114" i="13"/>
  <c r="V113" i="13"/>
  <c r="V112" i="13"/>
  <c r="V111" i="13"/>
  <c r="V104" i="13"/>
  <c r="V103" i="13"/>
  <c r="V102" i="13"/>
  <c r="V101" i="13"/>
  <c r="V100" i="13"/>
  <c r="V99" i="13"/>
  <c r="V98" i="13"/>
  <c r="V97" i="13"/>
  <c r="V96" i="13"/>
  <c r="V95" i="13"/>
  <c r="V88" i="13"/>
  <c r="V87" i="13"/>
  <c r="V86" i="13"/>
  <c r="V85" i="13"/>
  <c r="V84" i="13"/>
  <c r="V83" i="13"/>
  <c r="V82" i="13"/>
  <c r="V81" i="13"/>
  <c r="V80" i="13"/>
  <c r="V79" i="13"/>
  <c r="V78" i="13"/>
  <c r="V77" i="13"/>
  <c r="V70" i="13"/>
  <c r="V69" i="13"/>
  <c r="V68" i="13"/>
  <c r="V67" i="13"/>
  <c r="V66" i="13"/>
  <c r="V65" i="13"/>
  <c r="V64" i="13"/>
  <c r="V7" i="13"/>
  <c r="Y125" i="13" l="1"/>
  <c r="W141" i="13"/>
  <c r="F126" i="13"/>
  <c r="Z126" i="13" s="1"/>
  <c r="F98" i="13"/>
  <c r="Z98" i="13" s="1"/>
  <c r="X135" i="13"/>
  <c r="P135" i="13"/>
  <c r="Z7" i="13"/>
  <c r="Z117" i="13"/>
  <c r="Z121" i="13"/>
  <c r="X10" i="13"/>
  <c r="X12" i="13"/>
  <c r="X8" i="13"/>
  <c r="H49" i="13"/>
  <c r="X16" i="13"/>
  <c r="X34" i="13"/>
  <c r="U7" i="13"/>
  <c r="U12" i="13"/>
  <c r="U16" i="13"/>
  <c r="U20" i="13"/>
  <c r="U42" i="13"/>
  <c r="U35" i="13"/>
  <c r="U37" i="13"/>
  <c r="U47" i="13"/>
  <c r="U56" i="13"/>
  <c r="Q49" i="13"/>
  <c r="R49" i="13"/>
  <c r="M57" i="13"/>
  <c r="U57" i="13" s="1"/>
  <c r="X7" i="13"/>
  <c r="V8" i="13"/>
  <c r="Y8" i="13" s="1"/>
  <c r="V9" i="13"/>
  <c r="V10" i="13"/>
  <c r="V11" i="13"/>
  <c r="W11" i="13" s="1"/>
  <c r="V12" i="13"/>
  <c r="V13" i="13"/>
  <c r="Y13" i="13" s="1"/>
  <c r="V15" i="13"/>
  <c r="W15" i="13" s="1"/>
  <c r="V16" i="13"/>
  <c r="V17" i="13"/>
  <c r="Y17" i="13" s="1"/>
  <c r="V19" i="13"/>
  <c r="Y19" i="13" s="1"/>
  <c r="V20" i="13"/>
  <c r="V28" i="13"/>
  <c r="W28" i="13" s="1"/>
  <c r="V29" i="13"/>
  <c r="Y29" i="13" s="1"/>
  <c r="V30" i="13"/>
  <c r="Y30" i="13" s="1"/>
  <c r="V31" i="13"/>
  <c r="Y31" i="13" s="1"/>
  <c r="V33" i="13"/>
  <c r="Y33" i="13" s="1"/>
  <c r="V34" i="13"/>
  <c r="V35" i="13"/>
  <c r="W35" i="13" s="1"/>
  <c r="V36" i="13"/>
  <c r="V37" i="13"/>
  <c r="W37" i="13" s="1"/>
  <c r="V39" i="13"/>
  <c r="Y39" i="13" s="1"/>
  <c r="V40" i="13"/>
  <c r="Y40" i="13" s="1"/>
  <c r="V41" i="13"/>
  <c r="W41" i="13" s="1"/>
  <c r="V43" i="13"/>
  <c r="W43" i="13" s="1"/>
  <c r="V44" i="13"/>
  <c r="V45" i="13"/>
  <c r="Y45" i="13" s="1"/>
  <c r="V46" i="13"/>
  <c r="V47" i="13"/>
  <c r="V48" i="13"/>
  <c r="W48" i="13" s="1"/>
  <c r="V56" i="13"/>
  <c r="Y56" i="13" s="1"/>
  <c r="V57" i="13"/>
  <c r="Y57" i="13" s="1"/>
  <c r="F46" i="13"/>
  <c r="Z46" i="13" s="1"/>
  <c r="I49" i="13"/>
  <c r="K49" i="13"/>
  <c r="Y9" i="13"/>
  <c r="F32" i="13"/>
  <c r="Z37" i="13"/>
  <c r="F44" i="13"/>
  <c r="Z44" i="13" s="1"/>
  <c r="Z48" i="13"/>
  <c r="F142" i="13"/>
  <c r="Z142" i="13" s="1"/>
  <c r="X11" i="13"/>
  <c r="X15" i="13"/>
  <c r="X19" i="13"/>
  <c r="X28" i="13"/>
  <c r="X35" i="13"/>
  <c r="X39" i="13"/>
  <c r="X43" i="13"/>
  <c r="X47" i="13"/>
  <c r="X56" i="13"/>
  <c r="W85" i="13"/>
  <c r="Z17" i="13"/>
  <c r="W100" i="13"/>
  <c r="W81" i="13"/>
  <c r="F18" i="13"/>
  <c r="Z18" i="13" s="1"/>
  <c r="G32" i="13"/>
  <c r="G49" i="13" s="1"/>
  <c r="F96" i="13"/>
  <c r="Z96" i="13" s="1"/>
  <c r="F101" i="13"/>
  <c r="Z101" i="13" s="1"/>
  <c r="F116" i="13"/>
  <c r="Z116" i="13" s="1"/>
  <c r="Z99" i="13"/>
  <c r="F80" i="13"/>
  <c r="W80" i="13" s="1"/>
  <c r="F16" i="13"/>
  <c r="Z9" i="13"/>
  <c r="Z19" i="13"/>
  <c r="Y77" i="13"/>
  <c r="Y103" i="13"/>
  <c r="G21" i="13"/>
  <c r="F10" i="13"/>
  <c r="Z10" i="13" s="1"/>
  <c r="F38" i="13"/>
  <c r="Z38" i="13" s="1"/>
  <c r="F78" i="13"/>
  <c r="W78" i="13" s="1"/>
  <c r="F83" i="13"/>
  <c r="Z83" i="13" s="1"/>
  <c r="F124" i="13"/>
  <c r="Y124" i="13" s="1"/>
  <c r="Z11" i="13"/>
  <c r="Z31" i="13"/>
  <c r="Y65" i="13"/>
  <c r="Y102" i="13"/>
  <c r="W115" i="13"/>
  <c r="F36" i="13"/>
  <c r="Z36" i="13" s="1"/>
  <c r="G133" i="13"/>
  <c r="G134" i="13" s="1"/>
  <c r="Z15" i="13"/>
  <c r="Z43" i="13"/>
  <c r="W122" i="13"/>
  <c r="Z122" i="13"/>
  <c r="Z128" i="13"/>
  <c r="Y128" i="13"/>
  <c r="Z112" i="13"/>
  <c r="Y112" i="13"/>
  <c r="Z13" i="13"/>
  <c r="Z111" i="13"/>
  <c r="Z127" i="13"/>
  <c r="F114" i="13"/>
  <c r="Z114" i="13" s="1"/>
  <c r="F130" i="13"/>
  <c r="Z130" i="13" s="1"/>
  <c r="Z8" i="13"/>
  <c r="W9" i="13"/>
  <c r="W13" i="13"/>
  <c r="W17" i="13"/>
  <c r="W19" i="13"/>
  <c r="Z28" i="13"/>
  <c r="W29" i="13"/>
  <c r="W33" i="13"/>
  <c r="Z41" i="13"/>
  <c r="Y47" i="13"/>
  <c r="Y48" i="13"/>
  <c r="Z64" i="13"/>
  <c r="Y66" i="13"/>
  <c r="Z68" i="13"/>
  <c r="Y79" i="13"/>
  <c r="W82" i="13"/>
  <c r="Z84" i="13"/>
  <c r="W86" i="13"/>
  <c r="Y95" i="13"/>
  <c r="Y97" i="13"/>
  <c r="W98" i="13"/>
  <c r="Z102" i="13"/>
  <c r="Y113" i="13"/>
  <c r="Y123" i="13"/>
  <c r="Y126" i="13"/>
  <c r="Y129" i="13"/>
  <c r="W132" i="13"/>
  <c r="Z86" i="13"/>
  <c r="F14" i="13"/>
  <c r="F34" i="13"/>
  <c r="F42" i="13"/>
  <c r="Z42" i="13" s="1"/>
  <c r="G83" i="13"/>
  <c r="G88" i="13" s="1"/>
  <c r="G101" i="13"/>
  <c r="G104" i="13" s="1"/>
  <c r="F120" i="13"/>
  <c r="Z120" i="13" s="1"/>
  <c r="F133" i="13"/>
  <c r="Z133" i="13" s="1"/>
  <c r="Y7" i="13"/>
  <c r="Z30" i="13"/>
  <c r="Y35" i="13"/>
  <c r="Z39" i="13"/>
  <c r="Y41" i="13"/>
  <c r="Z47" i="13"/>
  <c r="Z56" i="13"/>
  <c r="W67" i="13"/>
  <c r="W77" i="13"/>
  <c r="Z78" i="13"/>
  <c r="Z81" i="13"/>
  <c r="Y99" i="13"/>
  <c r="W102" i="13"/>
  <c r="Y111" i="13"/>
  <c r="Y117" i="13"/>
  <c r="Y121" i="13"/>
  <c r="Y127" i="13"/>
  <c r="Z131" i="13"/>
  <c r="G70" i="13"/>
  <c r="Y69" i="13"/>
  <c r="Y119" i="13"/>
  <c r="F12" i="13"/>
  <c r="Z12" i="13" s="1"/>
  <c r="F20" i="13"/>
  <c r="Y28" i="13"/>
  <c r="W47" i="13"/>
  <c r="Y64" i="13"/>
  <c r="Z66" i="13"/>
  <c r="Y68" i="13"/>
  <c r="Y84" i="13"/>
  <c r="Y86" i="13"/>
  <c r="Y87" i="13"/>
  <c r="W97" i="13"/>
  <c r="Y100" i="13"/>
  <c r="W112" i="13"/>
  <c r="Y115" i="13"/>
  <c r="Y118" i="13"/>
  <c r="Y122" i="13"/>
  <c r="W128" i="13"/>
  <c r="Y131" i="13"/>
  <c r="Y141" i="13"/>
  <c r="W118" i="13"/>
  <c r="W123" i="13"/>
  <c r="W111" i="13"/>
  <c r="W127" i="13"/>
  <c r="W119" i="13"/>
  <c r="W126" i="13"/>
  <c r="Y132" i="13"/>
  <c r="Y82" i="13"/>
  <c r="Y85" i="13"/>
  <c r="Y81" i="13"/>
  <c r="W84" i="13"/>
  <c r="W66" i="13"/>
  <c r="W64" i="13"/>
  <c r="W68" i="13"/>
  <c r="W113" i="13"/>
  <c r="W117" i="13"/>
  <c r="W121" i="13"/>
  <c r="W125" i="13"/>
  <c r="W129" i="13"/>
  <c r="W95" i="13"/>
  <c r="W99" i="13"/>
  <c r="W103" i="13"/>
  <c r="W79" i="13"/>
  <c r="W87" i="13"/>
  <c r="W65" i="13"/>
  <c r="Y67" i="13"/>
  <c r="W69" i="13"/>
  <c r="W7" i="13"/>
  <c r="O49" i="13"/>
  <c r="N49" i="13"/>
  <c r="R21" i="13"/>
  <c r="Q21" i="13"/>
  <c r="O21" i="13"/>
  <c r="N21" i="13"/>
  <c r="K21" i="13"/>
  <c r="I21" i="13"/>
  <c r="H21" i="13"/>
  <c r="F70" i="13"/>
  <c r="Y70" i="13" s="1"/>
  <c r="W142" i="13" l="1"/>
  <c r="Y98" i="13"/>
  <c r="Y44" i="13"/>
  <c r="W34" i="13"/>
  <c r="W114" i="13"/>
  <c r="Y114" i="13"/>
  <c r="Y96" i="13"/>
  <c r="W46" i="13"/>
  <c r="W20" i="13"/>
  <c r="W56" i="13"/>
  <c r="Z57" i="13"/>
  <c r="W40" i="13"/>
  <c r="W45" i="13"/>
  <c r="W30" i="13"/>
  <c r="Q143" i="13"/>
  <c r="O143" i="13"/>
  <c r="M49" i="13"/>
  <c r="K143" i="13"/>
  <c r="I143" i="13"/>
  <c r="Y15" i="13"/>
  <c r="H143" i="13"/>
  <c r="W57" i="13"/>
  <c r="W36" i="13"/>
  <c r="W31" i="13"/>
  <c r="W8" i="13"/>
  <c r="G135" i="13"/>
  <c r="J135" i="13" s="1"/>
  <c r="T135" i="13" s="1"/>
  <c r="W130" i="13"/>
  <c r="Y80" i="13"/>
  <c r="W83" i="13"/>
  <c r="Y46" i="13"/>
  <c r="W44" i="13"/>
  <c r="Y142" i="13"/>
  <c r="L49" i="13"/>
  <c r="U49" i="13" s="1"/>
  <c r="U32" i="13"/>
  <c r="Y43" i="13"/>
  <c r="Y11" i="13"/>
  <c r="R143" i="13"/>
  <c r="W133" i="13"/>
  <c r="Y116" i="13"/>
  <c r="W39" i="13"/>
  <c r="W116" i="13"/>
  <c r="Y37" i="13"/>
  <c r="Z16" i="13"/>
  <c r="Z32" i="13"/>
  <c r="X42" i="13"/>
  <c r="V42" i="13"/>
  <c r="W42" i="13" s="1"/>
  <c r="X20" i="13"/>
  <c r="X57" i="13"/>
  <c r="X18" i="13"/>
  <c r="V18" i="13"/>
  <c r="W18" i="13" s="1"/>
  <c r="S49" i="13"/>
  <c r="X32" i="13"/>
  <c r="V32" i="13"/>
  <c r="M21" i="13"/>
  <c r="N143" i="13"/>
  <c r="S21" i="13"/>
  <c r="Z20" i="13"/>
  <c r="W14" i="13"/>
  <c r="X14" i="13"/>
  <c r="V14" i="13"/>
  <c r="X38" i="13"/>
  <c r="V38" i="13"/>
  <c r="W38" i="13" s="1"/>
  <c r="L21" i="13"/>
  <c r="U8" i="13"/>
  <c r="Y12" i="13"/>
  <c r="W10" i="13"/>
  <c r="F104" i="13"/>
  <c r="Z104" i="13" s="1"/>
  <c r="Y83" i="13"/>
  <c r="Y36" i="13"/>
  <c r="Z80" i="13"/>
  <c r="F88" i="13"/>
  <c r="Y88" i="13" s="1"/>
  <c r="Y101" i="13"/>
  <c r="W12" i="13"/>
  <c r="W96" i="13"/>
  <c r="W101" i="13"/>
  <c r="W70" i="13"/>
  <c r="Y78" i="13"/>
  <c r="Y16" i="13"/>
  <c r="Y133" i="13"/>
  <c r="W124" i="13"/>
  <c r="Y10" i="13"/>
  <c r="F49" i="13"/>
  <c r="G143" i="13"/>
  <c r="W16" i="13"/>
  <c r="Y130" i="13"/>
  <c r="Z124" i="13"/>
  <c r="Z14" i="13"/>
  <c r="Y14" i="13"/>
  <c r="F21" i="13"/>
  <c r="F134" i="13"/>
  <c r="Z34" i="13"/>
  <c r="Y34" i="13"/>
  <c r="Z70" i="13"/>
  <c r="Y120" i="13"/>
  <c r="Y20" i="13"/>
  <c r="W120" i="13"/>
  <c r="M143" i="13" l="1"/>
  <c r="Y38" i="13"/>
  <c r="J143" i="13"/>
  <c r="Z88" i="13"/>
  <c r="F135" i="13"/>
  <c r="W88" i="13"/>
  <c r="L143" i="13"/>
  <c r="U21" i="13"/>
  <c r="Y42" i="13"/>
  <c r="S143" i="13"/>
  <c r="X21" i="13"/>
  <c r="V21" i="13"/>
  <c r="W21" i="13" s="1"/>
  <c r="Y49" i="13"/>
  <c r="Y18" i="13"/>
  <c r="Y32" i="13"/>
  <c r="W32" i="13"/>
  <c r="W104" i="13"/>
  <c r="X49" i="13"/>
  <c r="V49" i="13"/>
  <c r="W49" i="13" s="1"/>
  <c r="Y104" i="13"/>
  <c r="Z49" i="13"/>
  <c r="Z21" i="13"/>
  <c r="Z134" i="13"/>
  <c r="Y134" i="13"/>
  <c r="W134" i="13"/>
  <c r="F143" i="13"/>
  <c r="Y21" i="13" l="1"/>
  <c r="Y135" i="13"/>
  <c r="Z135" i="13"/>
  <c r="W135" i="13"/>
  <c r="V143" i="13"/>
  <c r="X143" i="13"/>
  <c r="U143" i="13"/>
  <c r="P143" i="13"/>
  <c r="T143" i="13" s="1"/>
  <c r="Z143" i="13"/>
  <c r="W143" i="13"/>
  <c r="Y143" i="13"/>
</calcChain>
</file>

<file path=xl/sharedStrings.xml><?xml version="1.0" encoding="utf-8"?>
<sst xmlns="http://schemas.openxmlformats.org/spreadsheetml/2006/main" count="3010" uniqueCount="92">
  <si>
    <t>DATA PELAYANAN RI RSD Dr.SOEBANDI JEMBER</t>
  </si>
  <si>
    <t>NO</t>
  </si>
  <si>
    <t>PELAYANAN</t>
  </si>
  <si>
    <t>RAWAT INAP</t>
  </si>
  <si>
    <t>KLAS PERAWATAN</t>
  </si>
  <si>
    <t>PERIODE</t>
  </si>
  <si>
    <t>TT (T)</t>
  </si>
  <si>
    <t>PX AWAL</t>
  </si>
  <si>
    <t>PX MASUK</t>
  </si>
  <si>
    <t>PX PINDAHAN</t>
  </si>
  <si>
    <t>JUMLAH (1+2+3)</t>
  </si>
  <si>
    <t>PX DI PINDAHKAN</t>
  </si>
  <si>
    <t>PX KELUAR HIDUP</t>
  </si>
  <si>
    <t>PX MATI</t>
  </si>
  <si>
    <t>KURANG 48 JAM</t>
  </si>
  <si>
    <t>LEBIH 48 JAM</t>
  </si>
  <si>
    <t>JUMLAH (5+6+7)</t>
  </si>
  <si>
    <t>LAMA DI RAWAT</t>
  </si>
  <si>
    <t>PX KELUAR/MASUK HR SAMA</t>
  </si>
  <si>
    <t>HARI PERAWATAN</t>
  </si>
  <si>
    <t xml:space="preserve">Px AKHIR </t>
  </si>
  <si>
    <t>KUNJUNGN</t>
  </si>
  <si>
    <t xml:space="preserve">O               </t>
  </si>
  <si>
    <t>BOR (O/T)</t>
  </si>
  <si>
    <t xml:space="preserve">LOS            </t>
  </si>
  <si>
    <t xml:space="preserve">TOI            </t>
  </si>
  <si>
    <t xml:space="preserve">BTO           </t>
  </si>
  <si>
    <t xml:space="preserve"> (TT terpakai)</t>
  </si>
  <si>
    <t>(75%-85%)</t>
  </si>
  <si>
    <t>(3-12 hari)</t>
  </si>
  <si>
    <t xml:space="preserve"> (1-3 hr)</t>
  </si>
  <si>
    <t>(30 px)</t>
  </si>
  <si>
    <t>III</t>
  </si>
  <si>
    <t>ADENIUM</t>
  </si>
  <si>
    <t>ANTURIUM</t>
  </si>
  <si>
    <t>TULIP</t>
  </si>
  <si>
    <t>II</t>
  </si>
  <si>
    <t>ASTER</t>
  </si>
  <si>
    <t>ISOLASI</t>
  </si>
  <si>
    <t>SERUNI</t>
  </si>
  <si>
    <t>MAWAR</t>
  </si>
  <si>
    <t>GARDENA</t>
  </si>
  <si>
    <t>BOGENVILE</t>
  </si>
  <si>
    <t>I</t>
  </si>
  <si>
    <t>ALAMANDA</t>
  </si>
  <si>
    <t>CATALYA ATAS</t>
  </si>
  <si>
    <t>CATALYA BAWAH</t>
  </si>
  <si>
    <t>NUSA INDAH</t>
  </si>
  <si>
    <t>VIP</t>
  </si>
  <si>
    <t>TB MDR II</t>
  </si>
  <si>
    <t>TB MDR III</t>
  </si>
  <si>
    <t>TB PARU II</t>
  </si>
  <si>
    <t>TB PARU III</t>
  </si>
  <si>
    <t>SAKURA</t>
  </si>
  <si>
    <t>ANGGREK</t>
  </si>
  <si>
    <t>LAVENDER</t>
  </si>
  <si>
    <t>DAHLIA IBU</t>
  </si>
  <si>
    <t>PERINATOLOGI</t>
  </si>
  <si>
    <t>RICU ED</t>
  </si>
  <si>
    <t>PERISTI</t>
  </si>
  <si>
    <t>DAHLIA BAYI</t>
  </si>
  <si>
    <t>TOTAL PERISTI</t>
  </si>
  <si>
    <t>INTENSIVE</t>
  </si>
  <si>
    <t>ICU</t>
  </si>
  <si>
    <t>ICCU</t>
  </si>
  <si>
    <t>PICU</t>
  </si>
  <si>
    <t>NICU</t>
  </si>
  <si>
    <t>ICU MEDICAL</t>
  </si>
  <si>
    <t>BERSALIN</t>
  </si>
  <si>
    <t>TOTAL INTENSIVE</t>
  </si>
  <si>
    <t>TOTAL RS</t>
  </si>
  <si>
    <t>CATALYA</t>
  </si>
  <si>
    <t>BULAN  : JANUARI 2026</t>
  </si>
  <si>
    <t>HCU MELATI BAWAH</t>
  </si>
  <si>
    <t>MELATI ATAS</t>
  </si>
  <si>
    <t>PAVILIUN</t>
  </si>
  <si>
    <t>KELAS I</t>
  </si>
  <si>
    <t>DAHLIA</t>
  </si>
  <si>
    <t>KELAS II</t>
  </si>
  <si>
    <t>KELAS III</t>
  </si>
  <si>
    <t>VK</t>
  </si>
  <si>
    <t>BULAN  : FEBRUARI 2026</t>
  </si>
  <si>
    <t>BULAN  : JANUARI - FEBRUARI2026</t>
  </si>
  <si>
    <t>TOTAL KELAS II</t>
  </si>
  <si>
    <t>TOTAL KELAS I,II,III</t>
  </si>
  <si>
    <t>TOTAL ISOLASI</t>
  </si>
  <si>
    <t>TOTAL KELAS I</t>
  </si>
  <si>
    <t>BULAN  : MARET 2026</t>
  </si>
  <si>
    <t>TOTAL KELAS III</t>
  </si>
  <si>
    <t>BULAN  : APRIL 2026</t>
  </si>
  <si>
    <t>BULAN  : MEI 2026</t>
  </si>
  <si>
    <t>BULAN  :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</si>
</sst>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sz val="8"/>
      <name val="Calibri"/>
      <family val="2"/>
      <charset val="1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horizontal="left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0" xfId="0" applyProtection="1">
      <protection hidden="1"/>
    </xf>
    <xf numFmtId="0" fontId="2" fillId="0" borderId="3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2" fontId="0" fillId="0" borderId="0" xfId="0" applyNumberFormat="1"/>
    <xf numFmtId="2" fontId="0" fillId="5" borderId="1" xfId="0" applyNumberForma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2" fontId="2" fillId="4" borderId="1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2" fontId="7" fillId="4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2" fontId="8" fillId="0" borderId="1" xfId="0" applyNumberFormat="1" applyFont="1" applyBorder="1" applyAlignment="1">
      <alignment horizontal="center"/>
    </xf>
    <xf numFmtId="2" fontId="8" fillId="3" borderId="1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2" fontId="6" fillId="6" borderId="1" xfId="0" applyNumberFormat="1" applyFont="1" applyFill="1" applyBorder="1" applyAlignment="1">
      <alignment horizontal="center"/>
    </xf>
    <xf numFmtId="2" fontId="5" fillId="6" borderId="1" xfId="0" applyNumberFormat="1" applyFont="1" applyFill="1" applyBorder="1" applyAlignment="1">
      <alignment horizontal="center"/>
    </xf>
    <xf numFmtId="0" fontId="0" fillId="8" borderId="1" xfId="0" applyFill="1" applyBorder="1" applyAlignment="1" applyProtection="1">
      <alignment horizontal="center"/>
      <protection hidden="1"/>
    </xf>
    <xf numFmtId="2" fontId="0" fillId="8" borderId="1" xfId="0" applyNumberFormat="1" applyFill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2" fontId="3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/>
      <protection hidden="1"/>
    </xf>
    <xf numFmtId="2" fontId="2" fillId="0" borderId="1" xfId="0" applyNumberFormat="1" applyFont="1" applyBorder="1" applyAlignment="1" applyProtection="1">
      <alignment horizontal="center"/>
      <protection hidden="1"/>
    </xf>
    <xf numFmtId="2" fontId="2" fillId="3" borderId="1" xfId="0" applyNumberFormat="1" applyFont="1" applyFill="1" applyBorder="1" applyAlignment="1" applyProtection="1">
      <alignment horizontal="center"/>
      <protection hidden="1"/>
    </xf>
    <xf numFmtId="0" fontId="5" fillId="4" borderId="1" xfId="0" applyFont="1" applyFill="1" applyBorder="1" applyAlignment="1" applyProtection="1">
      <alignment horizontal="center"/>
      <protection hidden="1"/>
    </xf>
    <xf numFmtId="0" fontId="5" fillId="7" borderId="1" xfId="0" applyFont="1" applyFill="1" applyBorder="1" applyAlignment="1" applyProtection="1">
      <alignment horizontal="center"/>
      <protection hidden="1"/>
    </xf>
    <xf numFmtId="2" fontId="2" fillId="7" borderId="1" xfId="0" applyNumberFormat="1" applyFont="1" applyFill="1" applyBorder="1" applyAlignment="1" applyProtection="1">
      <alignment horizontal="center"/>
      <protection hidden="1"/>
    </xf>
    <xf numFmtId="0" fontId="0" fillId="5" borderId="1" xfId="0" applyFill="1" applyBorder="1" applyAlignment="1" applyProtection="1">
      <alignment horizontal="center"/>
      <protection hidden="1"/>
    </xf>
    <xf numFmtId="0" fontId="5" fillId="5" borderId="1" xfId="0" applyFont="1" applyFill="1" applyBorder="1" applyAlignment="1" applyProtection="1">
      <alignment horizontal="center"/>
      <protection hidden="1"/>
    </xf>
    <xf numFmtId="2" fontId="2" fillId="5" borderId="1" xfId="0" applyNumberFormat="1" applyFont="1" applyFill="1" applyBorder="1" applyAlignment="1" applyProtection="1">
      <alignment horizontal="center"/>
      <protection hidden="1"/>
    </xf>
    <xf numFmtId="0" fontId="11" fillId="0" borderId="1" xfId="0" applyFont="1" applyBorder="1" applyAlignment="1" applyProtection="1">
      <alignment vertical="center" wrapText="1"/>
      <protection hidden="1"/>
    </xf>
    <xf numFmtId="0" fontId="5" fillId="0" borderId="3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vertical="center" wrapText="1"/>
      <protection hidden="1"/>
    </xf>
    <xf numFmtId="0" fontId="9" fillId="5" borderId="1" xfId="0" applyFont="1" applyFill="1" applyBorder="1" applyAlignment="1" applyProtection="1">
      <alignment horizontal="left"/>
      <protection hidden="1"/>
    </xf>
    <xf numFmtId="0" fontId="9" fillId="5" borderId="1" xfId="0" applyFont="1" applyFill="1" applyBorder="1" applyAlignment="1" applyProtection="1">
      <alignment horizontal="center"/>
      <protection hidden="1"/>
    </xf>
    <xf numFmtId="2" fontId="2" fillId="4" borderId="1" xfId="0" applyNumberFormat="1" applyFont="1" applyFill="1" applyBorder="1" applyAlignment="1" applyProtection="1">
      <alignment horizontal="center"/>
      <protection hidden="1"/>
    </xf>
    <xf numFmtId="0" fontId="5" fillId="4" borderId="4" xfId="0" applyFont="1" applyFill="1" applyBorder="1" applyAlignment="1" applyProtection="1">
      <alignment horizontal="center"/>
      <protection hidden="1"/>
    </xf>
    <xf numFmtId="0" fontId="5" fillId="2" borderId="3" xfId="0" applyFont="1" applyFill="1" applyBorder="1" applyAlignment="1" applyProtection="1">
      <alignment horizontal="center"/>
      <protection hidden="1"/>
    </xf>
    <xf numFmtId="0" fontId="5" fillId="6" borderId="1" xfId="0" applyFont="1" applyFill="1" applyBorder="1" applyAlignment="1" applyProtection="1">
      <alignment horizontal="center"/>
      <protection hidden="1"/>
    </xf>
    <xf numFmtId="2" fontId="2" fillId="6" borderId="1" xfId="0" applyNumberFormat="1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vertical="center"/>
      <protection hidden="1"/>
    </xf>
    <xf numFmtId="0" fontId="5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2" fontId="2" fillId="9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6" fillId="9" borderId="1" xfId="0" applyNumberFormat="1" applyFont="1" applyFill="1" applyBorder="1" applyAlignment="1">
      <alignment horizontal="center"/>
    </xf>
    <xf numFmtId="2" fontId="5" fillId="9" borderId="1" xfId="0" applyNumberFormat="1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textRotation="90" wrapText="1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2" fontId="3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center" vertical="center" textRotation="90" wrapText="1"/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center" vertical="center" textRotation="90" wrapText="1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0" fillId="5" borderId="2" xfId="0" applyFill="1" applyBorder="1" applyAlignment="1" applyProtection="1">
      <alignment horizontal="center" vertical="center"/>
      <protection hidden="1"/>
    </xf>
    <xf numFmtId="0" fontId="0" fillId="5" borderId="4" xfId="0" applyFill="1" applyBorder="1" applyAlignment="1" applyProtection="1">
      <alignment horizontal="center" vertical="center"/>
      <protection hidden="1"/>
    </xf>
    <xf numFmtId="0" fontId="0" fillId="5" borderId="3" xfId="0" applyFill="1" applyBorder="1" applyAlignment="1" applyProtection="1">
      <alignment horizontal="center" vertical="center"/>
      <protection hidden="1"/>
    </xf>
    <xf numFmtId="0" fontId="10" fillId="0" borderId="10" xfId="0" applyFont="1" applyBorder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10" fillId="0" borderId="9" xfId="0" applyFont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10" fillId="0" borderId="11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12" xfId="0" applyFont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5" borderId="1" xfId="0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5" fillId="6" borderId="2" xfId="0" applyFont="1" applyFill="1" applyBorder="1" applyAlignment="1" applyProtection="1">
      <alignment horizontal="center" vertical="center"/>
      <protection hidden="1"/>
    </xf>
    <xf numFmtId="0" fontId="5" fillId="6" borderId="4" xfId="0" applyFont="1" applyFill="1" applyBorder="1" applyAlignment="1" applyProtection="1">
      <alignment horizontal="center" vertical="center"/>
      <protection hidden="1"/>
    </xf>
    <xf numFmtId="0" fontId="5" fillId="6" borderId="3" xfId="0" applyFont="1" applyFill="1" applyBorder="1" applyAlignment="1" applyProtection="1">
      <alignment horizontal="center" vertical="center"/>
      <protection hidden="1"/>
    </xf>
    <xf numFmtId="0" fontId="12" fillId="3" borderId="2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LAP%20KUNJUNGAN%20REKAM%20MEDIS\BARBER%20JOHNSON\DATA%202026\BULANAN\JAN.xlsx" TargetMode="External"/><Relationship Id="rId1" Type="http://schemas.openxmlformats.org/officeDocument/2006/relationships/externalLinkPath" Target="BULANAN/J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P.1a"/>
      <sheetName val="RP.1a2"/>
      <sheetName val="TT Per Ruang"/>
      <sheetName val="TT PER SK"/>
      <sheetName val="TT Per Rawat Inap"/>
      <sheetName val="TT I,II,III,VIP PERISTI, INTENS"/>
    </sheetNames>
    <sheetDataSet>
      <sheetData sheetId="0"/>
      <sheetData sheetId="1"/>
      <sheetData sheetId="2">
        <row r="7">
          <cell r="G7">
            <v>22</v>
          </cell>
        </row>
        <row r="9">
          <cell r="G9">
            <v>14</v>
          </cell>
        </row>
        <row r="12">
          <cell r="G12">
            <v>10</v>
          </cell>
        </row>
        <row r="14">
          <cell r="G14">
            <v>2</v>
          </cell>
        </row>
        <row r="15">
          <cell r="G15">
            <v>15</v>
          </cell>
        </row>
        <row r="16">
          <cell r="G16">
            <v>4</v>
          </cell>
        </row>
        <row r="18">
          <cell r="G18">
            <v>0</v>
          </cell>
        </row>
        <row r="19">
          <cell r="G19">
            <v>21</v>
          </cell>
        </row>
        <row r="20">
          <cell r="G20">
            <v>12</v>
          </cell>
        </row>
        <row r="22">
          <cell r="G22">
            <v>18</v>
          </cell>
        </row>
        <row r="24">
          <cell r="G24">
            <v>0</v>
          </cell>
        </row>
        <row r="25">
          <cell r="G25">
            <v>17</v>
          </cell>
        </row>
        <row r="27">
          <cell r="G27">
            <v>17</v>
          </cell>
        </row>
        <row r="29">
          <cell r="G29">
            <v>0</v>
          </cell>
        </row>
        <row r="30">
          <cell r="G30">
            <v>4</v>
          </cell>
        </row>
        <row r="31">
          <cell r="G31">
            <v>6</v>
          </cell>
        </row>
        <row r="33">
          <cell r="G33">
            <v>0</v>
          </cell>
        </row>
        <row r="34">
          <cell r="G34">
            <v>3</v>
          </cell>
        </row>
        <row r="35">
          <cell r="G35">
            <v>4</v>
          </cell>
        </row>
        <row r="36">
          <cell r="G36">
            <v>7</v>
          </cell>
        </row>
        <row r="38">
          <cell r="G38">
            <v>4</v>
          </cell>
        </row>
        <row r="39">
          <cell r="G39">
            <v>4</v>
          </cell>
        </row>
        <row r="40">
          <cell r="G40">
            <v>8</v>
          </cell>
        </row>
        <row r="43">
          <cell r="G43">
            <v>0</v>
          </cell>
        </row>
        <row r="44">
          <cell r="G44">
            <v>14</v>
          </cell>
        </row>
        <row r="45">
          <cell r="G45">
            <v>0</v>
          </cell>
        </row>
        <row r="47">
          <cell r="G47">
            <v>0</v>
          </cell>
        </row>
        <row r="48">
          <cell r="G48">
            <v>1</v>
          </cell>
        </row>
        <row r="49">
          <cell r="G49">
            <v>0</v>
          </cell>
        </row>
        <row r="50">
          <cell r="G50">
            <v>2</v>
          </cell>
        </row>
        <row r="52">
          <cell r="G52">
            <v>4</v>
          </cell>
        </row>
        <row r="54">
          <cell r="G54">
            <v>0</v>
          </cell>
        </row>
        <row r="55">
          <cell r="G55">
            <v>17</v>
          </cell>
        </row>
        <row r="58">
          <cell r="G58">
            <v>0</v>
          </cell>
        </row>
        <row r="59">
          <cell r="G59">
            <v>7</v>
          </cell>
        </row>
        <row r="60">
          <cell r="G60">
            <v>9</v>
          </cell>
        </row>
        <row r="83">
          <cell r="G83">
            <v>13</v>
          </cell>
        </row>
        <row r="86">
          <cell r="G86">
            <v>0</v>
          </cell>
        </row>
        <row r="87">
          <cell r="G87">
            <v>2</v>
          </cell>
        </row>
        <row r="88">
          <cell r="G88">
            <v>2</v>
          </cell>
        </row>
        <row r="96">
          <cell r="G96">
            <v>17</v>
          </cell>
        </row>
        <row r="98">
          <cell r="G98">
            <v>2</v>
          </cell>
        </row>
        <row r="100">
          <cell r="G100">
            <v>2</v>
          </cell>
        </row>
        <row r="102">
          <cell r="G102">
            <v>5</v>
          </cell>
        </row>
        <row r="104">
          <cell r="G104">
            <v>3</v>
          </cell>
        </row>
        <row r="106">
          <cell r="G106">
            <v>0</v>
          </cell>
        </row>
        <row r="110">
          <cell r="F110"/>
          <cell r="G110">
            <v>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3"/>
  <sheetViews>
    <sheetView zoomScale="70" zoomScaleNormal="70" workbookViewId="0">
      <pane xSplit="5" ySplit="1" topLeftCell="F110" activePane="bottomRight" state="frozen"/>
      <selection activeCell="A60" sqref="A60:XFD60"/>
      <selection pane="topRight" activeCell="A60" sqref="A60:XFD60"/>
      <selection pane="bottomLeft" activeCell="A60" sqref="A60:XFD60"/>
      <selection pane="bottomRight" activeCell="A88" sqref="A88:D88"/>
    </sheetView>
  </sheetViews>
  <sheetFormatPr defaultRowHeight="15" x14ac:dyDescent="0.25"/>
  <cols>
    <col min="3" max="3" width="20.85546875" bestFit="1" customWidth="1"/>
  </cols>
  <sheetData>
    <row r="1" spans="1:26" ht="15.75" x14ac:dyDescent="0.25">
      <c r="A1" s="1" t="s">
        <v>0</v>
      </c>
    </row>
    <row r="2" spans="1:26" ht="15.75" x14ac:dyDescent="0.25">
      <c r="A2" s="1" t="s">
        <v>72</v>
      </c>
    </row>
    <row r="3" spans="1:26" x14ac:dyDescent="0.25">
      <c r="A3" s="78" t="s">
        <v>1</v>
      </c>
      <c r="B3" s="78" t="s">
        <v>2</v>
      </c>
      <c r="C3" s="72" t="s">
        <v>3</v>
      </c>
      <c r="D3" s="72" t="s">
        <v>4</v>
      </c>
      <c r="E3" s="75" t="s">
        <v>5</v>
      </c>
      <c r="F3" s="72" t="s">
        <v>6</v>
      </c>
      <c r="G3" s="72" t="s">
        <v>7</v>
      </c>
      <c r="H3" s="72" t="s">
        <v>8</v>
      </c>
      <c r="I3" s="75" t="s">
        <v>9</v>
      </c>
      <c r="J3" s="72" t="s">
        <v>10</v>
      </c>
      <c r="K3" s="72" t="s">
        <v>11</v>
      </c>
      <c r="L3" s="72" t="s">
        <v>12</v>
      </c>
      <c r="M3" s="72" t="s">
        <v>13</v>
      </c>
      <c r="N3" s="72" t="s">
        <v>14</v>
      </c>
      <c r="O3" s="72" t="s">
        <v>15</v>
      </c>
      <c r="P3" s="72" t="s">
        <v>16</v>
      </c>
      <c r="Q3" s="72" t="s">
        <v>17</v>
      </c>
      <c r="R3" s="72" t="s">
        <v>18</v>
      </c>
      <c r="S3" s="72" t="s">
        <v>19</v>
      </c>
      <c r="T3" s="72" t="s">
        <v>20</v>
      </c>
      <c r="U3" s="73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</row>
    <row r="4" spans="1:26" x14ac:dyDescent="0.25">
      <c r="A4" s="78"/>
      <c r="B4" s="78"/>
      <c r="C4" s="72"/>
      <c r="D4" s="72"/>
      <c r="E4" s="75"/>
      <c r="F4" s="72"/>
      <c r="G4" s="72"/>
      <c r="H4" s="72"/>
      <c r="I4" s="75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3"/>
      <c r="V4" s="71" t="s">
        <v>27</v>
      </c>
      <c r="W4" s="71" t="s">
        <v>28</v>
      </c>
      <c r="X4" s="71" t="s">
        <v>29</v>
      </c>
      <c r="Y4" s="71" t="s">
        <v>30</v>
      </c>
      <c r="Z4" s="71" t="s">
        <v>31</v>
      </c>
    </row>
    <row r="5" spans="1:26" x14ac:dyDescent="0.25">
      <c r="A5" s="78"/>
      <c r="B5" s="78"/>
      <c r="C5" s="72"/>
      <c r="D5" s="72"/>
      <c r="E5" s="75"/>
      <c r="F5" s="72"/>
      <c r="G5" s="72"/>
      <c r="H5" s="72"/>
      <c r="I5" s="75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3"/>
      <c r="V5" s="74"/>
      <c r="W5" s="71"/>
      <c r="X5" s="71"/>
      <c r="Y5" s="71"/>
      <c r="Z5" s="71"/>
    </row>
    <row r="6" spans="1:26" x14ac:dyDescent="0.25">
      <c r="A6" s="78"/>
      <c r="B6" s="78"/>
      <c r="C6" s="72"/>
      <c r="D6" s="72"/>
      <c r="E6" s="75"/>
      <c r="F6" s="72"/>
      <c r="G6" s="3">
        <v>1</v>
      </c>
      <c r="H6" s="3">
        <v>2</v>
      </c>
      <c r="I6" s="3">
        <v>3</v>
      </c>
      <c r="J6" s="3">
        <v>4</v>
      </c>
      <c r="K6" s="3">
        <v>5</v>
      </c>
      <c r="L6" s="3">
        <v>6</v>
      </c>
      <c r="M6" s="3">
        <v>7</v>
      </c>
      <c r="N6" s="3">
        <v>8</v>
      </c>
      <c r="O6" s="3">
        <v>9</v>
      </c>
      <c r="P6" s="3">
        <v>10</v>
      </c>
      <c r="Q6" s="3">
        <v>11</v>
      </c>
      <c r="R6" s="3">
        <v>12</v>
      </c>
      <c r="S6" s="3">
        <v>13</v>
      </c>
      <c r="T6" s="3">
        <v>14</v>
      </c>
      <c r="U6" s="73"/>
      <c r="V6" s="16">
        <v>15</v>
      </c>
      <c r="W6" s="16">
        <v>16</v>
      </c>
      <c r="X6" s="16">
        <v>17</v>
      </c>
      <c r="Y6" s="16">
        <v>18</v>
      </c>
      <c r="Z6" s="16">
        <v>19</v>
      </c>
    </row>
    <row r="7" spans="1:26" ht="15.75" x14ac:dyDescent="0.25">
      <c r="A7" s="76">
        <v>1</v>
      </c>
      <c r="B7" s="96" t="s">
        <v>62</v>
      </c>
      <c r="C7" s="4" t="s">
        <v>63</v>
      </c>
      <c r="D7" s="4" t="s">
        <v>43</v>
      </c>
      <c r="E7" s="4">
        <v>31</v>
      </c>
      <c r="F7" s="4">
        <v>14</v>
      </c>
      <c r="G7" s="4">
        <v>17</v>
      </c>
      <c r="H7" s="4">
        <v>12</v>
      </c>
      <c r="I7" s="4">
        <v>88</v>
      </c>
      <c r="J7" s="5">
        <v>117</v>
      </c>
      <c r="K7" s="4">
        <v>93</v>
      </c>
      <c r="L7" s="4">
        <v>0</v>
      </c>
      <c r="M7" s="5">
        <v>18</v>
      </c>
      <c r="N7" s="4">
        <v>2</v>
      </c>
      <c r="O7" s="4">
        <v>16</v>
      </c>
      <c r="P7" s="5">
        <v>111</v>
      </c>
      <c r="Q7" s="4">
        <v>117</v>
      </c>
      <c r="R7" s="4">
        <v>0</v>
      </c>
      <c r="S7" s="4">
        <v>348</v>
      </c>
      <c r="T7" s="5">
        <v>6</v>
      </c>
      <c r="U7" s="5">
        <v>18</v>
      </c>
      <c r="V7" s="7">
        <v>11.225806451612904</v>
      </c>
      <c r="W7" s="7">
        <v>80.184331797235032</v>
      </c>
      <c r="X7" s="7">
        <v>19.333333333333332</v>
      </c>
      <c r="Y7" s="6">
        <v>4.7777777777777759</v>
      </c>
      <c r="Z7" s="7">
        <v>1.2857142857142858</v>
      </c>
    </row>
    <row r="8" spans="1:26" ht="15.75" x14ac:dyDescent="0.25">
      <c r="A8" s="77"/>
      <c r="B8" s="97"/>
      <c r="C8" s="8" t="s">
        <v>63</v>
      </c>
      <c r="D8" s="8" t="s">
        <v>43</v>
      </c>
      <c r="E8" s="4">
        <v>31</v>
      </c>
      <c r="F8" s="8">
        <v>14</v>
      </c>
      <c r="G8" s="8">
        <v>17</v>
      </c>
      <c r="H8" s="8">
        <v>12</v>
      </c>
      <c r="I8" s="8">
        <v>88</v>
      </c>
      <c r="J8" s="8">
        <v>117</v>
      </c>
      <c r="K8" s="8">
        <v>93</v>
      </c>
      <c r="L8" s="8">
        <v>0</v>
      </c>
      <c r="M8" s="8">
        <v>18</v>
      </c>
      <c r="N8" s="8">
        <v>2</v>
      </c>
      <c r="O8" s="8">
        <v>16</v>
      </c>
      <c r="P8" s="8">
        <v>111</v>
      </c>
      <c r="Q8" s="8">
        <v>117</v>
      </c>
      <c r="R8" s="8">
        <v>0</v>
      </c>
      <c r="S8" s="8">
        <v>348</v>
      </c>
      <c r="T8" s="8">
        <v>6</v>
      </c>
      <c r="U8" s="8">
        <v>18</v>
      </c>
      <c r="V8" s="24">
        <v>11.225806451612904</v>
      </c>
      <c r="W8" s="24">
        <v>80.184331797235032</v>
      </c>
      <c r="X8" s="24">
        <v>19.333333333333332</v>
      </c>
      <c r="Y8" s="24">
        <v>4.7777777777777759</v>
      </c>
      <c r="Z8" s="24">
        <v>1.2857142857142858</v>
      </c>
    </row>
    <row r="9" spans="1:26" ht="15.75" x14ac:dyDescent="0.25">
      <c r="A9" s="76">
        <v>2</v>
      </c>
      <c r="B9" s="97"/>
      <c r="C9" s="4" t="s">
        <v>64</v>
      </c>
      <c r="D9" s="4" t="s">
        <v>43</v>
      </c>
      <c r="E9" s="4">
        <v>31</v>
      </c>
      <c r="F9" s="4">
        <v>5</v>
      </c>
      <c r="G9" s="4">
        <v>2</v>
      </c>
      <c r="H9" s="4">
        <v>71</v>
      </c>
      <c r="I9" s="4">
        <v>10</v>
      </c>
      <c r="J9" s="5">
        <v>83</v>
      </c>
      <c r="K9" s="4">
        <v>77</v>
      </c>
      <c r="L9" s="4">
        <v>0</v>
      </c>
      <c r="M9" s="5">
        <v>1</v>
      </c>
      <c r="N9" s="4">
        <v>1</v>
      </c>
      <c r="O9" s="4">
        <v>0</v>
      </c>
      <c r="P9" s="5">
        <v>78</v>
      </c>
      <c r="Q9" s="4">
        <v>1</v>
      </c>
      <c r="R9" s="4">
        <v>1</v>
      </c>
      <c r="S9" s="4">
        <v>114</v>
      </c>
      <c r="T9" s="5">
        <v>5</v>
      </c>
      <c r="U9" s="5">
        <v>1</v>
      </c>
      <c r="V9" s="7">
        <v>3.6774193548387095</v>
      </c>
      <c r="W9" s="7">
        <v>73.548387096774192</v>
      </c>
      <c r="X9" s="7">
        <v>114</v>
      </c>
      <c r="Y9" s="6">
        <v>41.000000000000007</v>
      </c>
      <c r="Z9" s="7">
        <v>0.2</v>
      </c>
    </row>
    <row r="10" spans="1:26" ht="15.75" x14ac:dyDescent="0.25">
      <c r="A10" s="77"/>
      <c r="B10" s="97"/>
      <c r="C10" s="8" t="s">
        <v>64</v>
      </c>
      <c r="D10" s="8" t="s">
        <v>43</v>
      </c>
      <c r="E10" s="4">
        <v>31</v>
      </c>
      <c r="F10" s="8">
        <v>5</v>
      </c>
      <c r="G10" s="8">
        <v>2</v>
      </c>
      <c r="H10" s="8">
        <v>71</v>
      </c>
      <c r="I10" s="8">
        <v>10</v>
      </c>
      <c r="J10" s="8">
        <v>83</v>
      </c>
      <c r="K10" s="8">
        <v>77</v>
      </c>
      <c r="L10" s="8">
        <v>0</v>
      </c>
      <c r="M10" s="8">
        <v>1</v>
      </c>
      <c r="N10" s="8">
        <v>1</v>
      </c>
      <c r="O10" s="8">
        <v>0</v>
      </c>
      <c r="P10" s="8">
        <v>78</v>
      </c>
      <c r="Q10" s="8">
        <v>1</v>
      </c>
      <c r="R10" s="8">
        <v>1</v>
      </c>
      <c r="S10" s="8">
        <v>114</v>
      </c>
      <c r="T10" s="8">
        <v>5</v>
      </c>
      <c r="U10" s="8">
        <v>1</v>
      </c>
      <c r="V10" s="24">
        <v>3.6774193548387095</v>
      </c>
      <c r="W10" s="24">
        <v>73.548387096774192</v>
      </c>
      <c r="X10" s="24">
        <v>114</v>
      </c>
      <c r="Y10" s="24">
        <v>41.000000000000007</v>
      </c>
      <c r="Z10" s="24">
        <v>0.2</v>
      </c>
    </row>
    <row r="11" spans="1:26" ht="15.75" x14ac:dyDescent="0.25">
      <c r="A11" s="76">
        <v>3</v>
      </c>
      <c r="B11" s="97"/>
      <c r="C11" s="4" t="s">
        <v>65</v>
      </c>
      <c r="D11" s="4" t="s">
        <v>43</v>
      </c>
      <c r="E11" s="4">
        <v>31</v>
      </c>
      <c r="F11" s="4">
        <v>3</v>
      </c>
      <c r="G11" s="4">
        <v>2</v>
      </c>
      <c r="H11" s="4">
        <v>15</v>
      </c>
      <c r="I11" s="4">
        <v>9</v>
      </c>
      <c r="J11" s="5">
        <v>26</v>
      </c>
      <c r="K11" s="4">
        <v>19</v>
      </c>
      <c r="L11" s="4">
        <v>1</v>
      </c>
      <c r="M11" s="5">
        <v>3</v>
      </c>
      <c r="N11" s="4">
        <v>1</v>
      </c>
      <c r="O11" s="4">
        <v>2</v>
      </c>
      <c r="P11" s="5">
        <v>23</v>
      </c>
      <c r="Q11" s="4">
        <v>35</v>
      </c>
      <c r="R11" s="4">
        <v>0</v>
      </c>
      <c r="S11" s="4">
        <v>67</v>
      </c>
      <c r="T11" s="5">
        <v>3</v>
      </c>
      <c r="U11" s="5">
        <v>4</v>
      </c>
      <c r="V11" s="7">
        <v>2.161290322580645</v>
      </c>
      <c r="W11" s="7">
        <v>72.043010752688161</v>
      </c>
      <c r="X11" s="7">
        <v>16.75</v>
      </c>
      <c r="Y11" s="6">
        <v>6.5000000000000009</v>
      </c>
      <c r="Z11" s="7">
        <v>1.3333333333333333</v>
      </c>
    </row>
    <row r="12" spans="1:26" ht="15.75" x14ac:dyDescent="0.25">
      <c r="A12" s="77"/>
      <c r="B12" s="97"/>
      <c r="C12" s="8" t="s">
        <v>65</v>
      </c>
      <c r="D12" s="8" t="s">
        <v>43</v>
      </c>
      <c r="E12" s="4">
        <v>31</v>
      </c>
      <c r="F12" s="8">
        <v>3</v>
      </c>
      <c r="G12" s="8">
        <v>2</v>
      </c>
      <c r="H12" s="8">
        <v>15</v>
      </c>
      <c r="I12" s="8">
        <v>9</v>
      </c>
      <c r="J12" s="8">
        <v>26</v>
      </c>
      <c r="K12" s="8">
        <v>19</v>
      </c>
      <c r="L12" s="8">
        <v>1</v>
      </c>
      <c r="M12" s="8">
        <v>3</v>
      </c>
      <c r="N12" s="8">
        <v>1</v>
      </c>
      <c r="O12" s="8">
        <v>2</v>
      </c>
      <c r="P12" s="8">
        <v>23</v>
      </c>
      <c r="Q12" s="8">
        <v>35</v>
      </c>
      <c r="R12" s="8">
        <v>0</v>
      </c>
      <c r="S12" s="8">
        <v>67</v>
      </c>
      <c r="T12" s="8">
        <v>3</v>
      </c>
      <c r="U12" s="8">
        <v>4</v>
      </c>
      <c r="V12" s="24">
        <v>2.161290322580645</v>
      </c>
      <c r="W12" s="24">
        <v>72.043010752688161</v>
      </c>
      <c r="X12" s="24">
        <v>16.75</v>
      </c>
      <c r="Y12" s="24">
        <v>6.5000000000000009</v>
      </c>
      <c r="Z12" s="24">
        <v>1.3333333333333333</v>
      </c>
    </row>
    <row r="13" spans="1:26" ht="15.75" x14ac:dyDescent="0.25">
      <c r="A13" s="76">
        <v>4</v>
      </c>
      <c r="B13" s="97"/>
      <c r="C13" s="5" t="s">
        <v>66</v>
      </c>
      <c r="D13" s="5" t="s">
        <v>43</v>
      </c>
      <c r="E13" s="4">
        <v>31</v>
      </c>
      <c r="F13" s="5">
        <v>5</v>
      </c>
      <c r="G13" s="5">
        <v>5</v>
      </c>
      <c r="H13" s="5">
        <v>13</v>
      </c>
      <c r="I13" s="5">
        <v>18</v>
      </c>
      <c r="J13" s="5">
        <v>36</v>
      </c>
      <c r="K13" s="5">
        <v>24</v>
      </c>
      <c r="L13" s="5">
        <v>0</v>
      </c>
      <c r="M13" s="5">
        <v>7</v>
      </c>
      <c r="N13" s="5">
        <v>1</v>
      </c>
      <c r="O13" s="5">
        <v>6</v>
      </c>
      <c r="P13" s="5">
        <v>31</v>
      </c>
      <c r="Q13" s="5">
        <v>50</v>
      </c>
      <c r="R13" s="5">
        <v>0</v>
      </c>
      <c r="S13" s="5">
        <v>117</v>
      </c>
      <c r="T13" s="5">
        <v>5</v>
      </c>
      <c r="U13" s="5">
        <v>7</v>
      </c>
      <c r="V13" s="7">
        <v>3.774193548387097</v>
      </c>
      <c r="W13" s="7">
        <v>75.483870967741936</v>
      </c>
      <c r="X13" s="7">
        <v>16.714285714285715</v>
      </c>
      <c r="Y13" s="6">
        <v>5.4285714285714279</v>
      </c>
      <c r="Z13" s="7">
        <v>1.4</v>
      </c>
    </row>
    <row r="14" spans="1:26" ht="15.75" x14ac:dyDescent="0.25">
      <c r="A14" s="77"/>
      <c r="B14" s="97"/>
      <c r="C14" s="8" t="s">
        <v>66</v>
      </c>
      <c r="D14" s="8" t="s">
        <v>43</v>
      </c>
      <c r="E14" s="4">
        <v>31</v>
      </c>
      <c r="F14" s="8">
        <v>5</v>
      </c>
      <c r="G14" s="8">
        <v>5</v>
      </c>
      <c r="H14" s="8">
        <v>13</v>
      </c>
      <c r="I14" s="8">
        <v>18</v>
      </c>
      <c r="J14" s="8">
        <v>36</v>
      </c>
      <c r="K14" s="8">
        <v>24</v>
      </c>
      <c r="L14" s="8">
        <v>0</v>
      </c>
      <c r="M14" s="8">
        <v>7</v>
      </c>
      <c r="N14" s="8">
        <v>1</v>
      </c>
      <c r="O14" s="8">
        <v>6</v>
      </c>
      <c r="P14" s="8">
        <v>31</v>
      </c>
      <c r="Q14" s="8">
        <v>50</v>
      </c>
      <c r="R14" s="8">
        <v>0</v>
      </c>
      <c r="S14" s="8">
        <v>117</v>
      </c>
      <c r="T14" s="8">
        <v>5</v>
      </c>
      <c r="U14" s="8">
        <v>7</v>
      </c>
      <c r="V14" s="24">
        <v>3.774193548387097</v>
      </c>
      <c r="W14" s="24">
        <v>75.483870967741936</v>
      </c>
      <c r="X14" s="24">
        <v>16.714285714285715</v>
      </c>
      <c r="Y14" s="24">
        <v>5.4285714285714279</v>
      </c>
      <c r="Z14" s="24">
        <v>1.4</v>
      </c>
    </row>
    <row r="15" spans="1:26" ht="15.75" x14ac:dyDescent="0.25">
      <c r="A15" s="76">
        <v>5</v>
      </c>
      <c r="B15" s="97"/>
      <c r="C15" s="5" t="s">
        <v>67</v>
      </c>
      <c r="D15" s="5" t="s">
        <v>43</v>
      </c>
      <c r="E15" s="4">
        <v>31</v>
      </c>
      <c r="F15" s="5">
        <v>4</v>
      </c>
      <c r="G15" s="5">
        <v>3</v>
      </c>
      <c r="H15" s="5">
        <v>33</v>
      </c>
      <c r="I15" s="5">
        <v>15</v>
      </c>
      <c r="J15" s="5">
        <v>51</v>
      </c>
      <c r="K15" s="5">
        <v>31</v>
      </c>
      <c r="L15" s="5">
        <v>1</v>
      </c>
      <c r="M15" s="5">
        <v>16</v>
      </c>
      <c r="N15" s="5">
        <v>10</v>
      </c>
      <c r="O15" s="5">
        <v>6</v>
      </c>
      <c r="P15" s="5">
        <v>48</v>
      </c>
      <c r="Q15" s="5">
        <v>35</v>
      </c>
      <c r="R15" s="5">
        <v>4</v>
      </c>
      <c r="S15" s="5">
        <v>85</v>
      </c>
      <c r="T15" s="5">
        <v>3</v>
      </c>
      <c r="U15" s="5">
        <v>17</v>
      </c>
      <c r="V15" s="7">
        <v>2.7419354838709675</v>
      </c>
      <c r="W15" s="7">
        <v>68.548387096774192</v>
      </c>
      <c r="X15" s="7">
        <v>5</v>
      </c>
      <c r="Y15" s="6">
        <v>2.2941176470588238</v>
      </c>
      <c r="Z15" s="7">
        <v>4.25</v>
      </c>
    </row>
    <row r="16" spans="1:26" ht="15.75" x14ac:dyDescent="0.25">
      <c r="A16" s="77"/>
      <c r="B16" s="97"/>
      <c r="C16" s="8" t="s">
        <v>67</v>
      </c>
      <c r="D16" s="8" t="s">
        <v>43</v>
      </c>
      <c r="E16" s="4">
        <v>31</v>
      </c>
      <c r="F16" s="8">
        <v>4</v>
      </c>
      <c r="G16" s="8">
        <v>3</v>
      </c>
      <c r="H16" s="8">
        <v>33</v>
      </c>
      <c r="I16" s="8">
        <v>15</v>
      </c>
      <c r="J16" s="8">
        <v>51</v>
      </c>
      <c r="K16" s="8">
        <v>31</v>
      </c>
      <c r="L16" s="8">
        <v>1</v>
      </c>
      <c r="M16" s="8">
        <v>16</v>
      </c>
      <c r="N16" s="8">
        <v>10</v>
      </c>
      <c r="O16" s="8">
        <v>6</v>
      </c>
      <c r="P16" s="8">
        <v>48</v>
      </c>
      <c r="Q16" s="8">
        <v>35</v>
      </c>
      <c r="R16" s="8">
        <v>4</v>
      </c>
      <c r="S16" s="8">
        <v>85</v>
      </c>
      <c r="T16" s="8">
        <v>3</v>
      </c>
      <c r="U16" s="8">
        <v>17</v>
      </c>
      <c r="V16" s="24">
        <v>2.7419354838709675</v>
      </c>
      <c r="W16" s="24">
        <v>68.548387096774192</v>
      </c>
      <c r="X16" s="24">
        <v>5</v>
      </c>
      <c r="Y16" s="24">
        <v>2.2941176470588238</v>
      </c>
      <c r="Z16" s="24">
        <v>4.25</v>
      </c>
    </row>
    <row r="17" spans="1:26" ht="15.75" x14ac:dyDescent="0.25">
      <c r="A17" s="76">
        <v>6</v>
      </c>
      <c r="B17" s="97"/>
      <c r="C17" s="5" t="s">
        <v>58</v>
      </c>
      <c r="D17" s="5" t="s">
        <v>43</v>
      </c>
      <c r="E17" s="4">
        <v>31</v>
      </c>
      <c r="F17" s="5">
        <v>2</v>
      </c>
      <c r="G17" s="5">
        <v>0</v>
      </c>
      <c r="H17" s="5">
        <v>7</v>
      </c>
      <c r="I17" s="5">
        <v>5</v>
      </c>
      <c r="J17" s="5">
        <v>12</v>
      </c>
      <c r="K17" s="5">
        <v>7</v>
      </c>
      <c r="L17" s="5">
        <v>0</v>
      </c>
      <c r="M17" s="5">
        <v>4</v>
      </c>
      <c r="N17" s="5">
        <v>2</v>
      </c>
      <c r="O17" s="5">
        <v>2</v>
      </c>
      <c r="P17" s="5">
        <v>11</v>
      </c>
      <c r="Q17" s="5">
        <v>13</v>
      </c>
      <c r="R17" s="5">
        <v>2</v>
      </c>
      <c r="S17" s="5">
        <v>40</v>
      </c>
      <c r="T17" s="5">
        <v>1</v>
      </c>
      <c r="U17" s="5">
        <v>4</v>
      </c>
      <c r="V17" s="13">
        <v>1.2903225806451613</v>
      </c>
      <c r="W17" s="13">
        <v>64.516129032258064</v>
      </c>
      <c r="X17" s="13">
        <v>10</v>
      </c>
      <c r="Y17" s="14">
        <v>5.5</v>
      </c>
      <c r="Z17" s="13">
        <v>2</v>
      </c>
    </row>
    <row r="18" spans="1:26" ht="15.75" x14ac:dyDescent="0.25">
      <c r="A18" s="77"/>
      <c r="B18" s="97"/>
      <c r="C18" s="8" t="s">
        <v>58</v>
      </c>
      <c r="D18" s="8"/>
      <c r="E18" s="4">
        <v>31</v>
      </c>
      <c r="F18" s="8">
        <v>2</v>
      </c>
      <c r="G18" s="8">
        <v>0</v>
      </c>
      <c r="H18" s="8">
        <v>7</v>
      </c>
      <c r="I18" s="8">
        <v>5</v>
      </c>
      <c r="J18" s="8">
        <v>12</v>
      </c>
      <c r="K18" s="8">
        <v>7</v>
      </c>
      <c r="L18" s="8">
        <v>0</v>
      </c>
      <c r="M18" s="8">
        <v>4</v>
      </c>
      <c r="N18" s="8">
        <v>2</v>
      </c>
      <c r="O18" s="8">
        <v>2</v>
      </c>
      <c r="P18" s="8">
        <v>11</v>
      </c>
      <c r="Q18" s="8">
        <v>13</v>
      </c>
      <c r="R18" s="8">
        <v>2</v>
      </c>
      <c r="S18" s="8">
        <v>40</v>
      </c>
      <c r="T18" s="8">
        <v>1</v>
      </c>
      <c r="U18" s="8">
        <v>4</v>
      </c>
      <c r="V18" s="26">
        <v>1.2903225806451613</v>
      </c>
      <c r="W18" s="26">
        <v>64.516129032258064</v>
      </c>
      <c r="X18" s="26">
        <v>10</v>
      </c>
      <c r="Y18" s="26">
        <v>5.5</v>
      </c>
      <c r="Z18" s="26">
        <v>2</v>
      </c>
    </row>
    <row r="19" spans="1:26" ht="15.75" x14ac:dyDescent="0.25">
      <c r="A19" s="76">
        <v>7</v>
      </c>
      <c r="B19" s="97"/>
      <c r="C19" s="5" t="s">
        <v>73</v>
      </c>
      <c r="D19" s="5" t="s">
        <v>36</v>
      </c>
      <c r="E19" s="4">
        <v>31</v>
      </c>
      <c r="F19" s="5">
        <v>12</v>
      </c>
      <c r="G19" s="5">
        <v>12</v>
      </c>
      <c r="H19" s="5">
        <v>81</v>
      </c>
      <c r="I19" s="5">
        <v>31</v>
      </c>
      <c r="J19" s="5">
        <v>124</v>
      </c>
      <c r="K19" s="5">
        <v>22</v>
      </c>
      <c r="L19" s="5">
        <v>71</v>
      </c>
      <c r="M19" s="5">
        <v>19</v>
      </c>
      <c r="N19" s="5">
        <v>11</v>
      </c>
      <c r="O19" s="5">
        <v>8</v>
      </c>
      <c r="P19" s="5">
        <v>112</v>
      </c>
      <c r="Q19" s="5">
        <v>314</v>
      </c>
      <c r="R19" s="5">
        <v>0</v>
      </c>
      <c r="S19" s="5">
        <v>367</v>
      </c>
      <c r="T19" s="5">
        <v>12</v>
      </c>
      <c r="U19" s="5">
        <v>90</v>
      </c>
      <c r="V19" s="7">
        <v>11.838709677419354</v>
      </c>
      <c r="W19" s="7">
        <v>98.65591397849461</v>
      </c>
      <c r="X19" s="7">
        <v>4.0777777777777775</v>
      </c>
      <c r="Y19" s="6">
        <v>5.5555555555555809E-2</v>
      </c>
      <c r="Z19" s="7">
        <v>7.5</v>
      </c>
    </row>
    <row r="20" spans="1:26" ht="15.75" x14ac:dyDescent="0.25">
      <c r="A20" s="77"/>
      <c r="B20" s="99"/>
      <c r="C20" s="8" t="s">
        <v>73</v>
      </c>
      <c r="D20" s="8" t="s">
        <v>36</v>
      </c>
      <c r="E20" s="4">
        <v>31</v>
      </c>
      <c r="F20" s="8">
        <v>12</v>
      </c>
      <c r="G20" s="8">
        <v>12</v>
      </c>
      <c r="H20" s="8">
        <v>81</v>
      </c>
      <c r="I20" s="8">
        <v>31</v>
      </c>
      <c r="J20" s="8">
        <v>124</v>
      </c>
      <c r="K20" s="8">
        <v>22</v>
      </c>
      <c r="L20" s="8">
        <v>71</v>
      </c>
      <c r="M20" s="8">
        <v>19</v>
      </c>
      <c r="N20" s="8">
        <v>11</v>
      </c>
      <c r="O20" s="8">
        <v>8</v>
      </c>
      <c r="P20" s="8">
        <v>112</v>
      </c>
      <c r="Q20" s="8">
        <v>314</v>
      </c>
      <c r="R20" s="8">
        <v>0</v>
      </c>
      <c r="S20" s="8">
        <v>367</v>
      </c>
      <c r="T20" s="8">
        <v>12</v>
      </c>
      <c r="U20" s="8">
        <v>90</v>
      </c>
      <c r="V20" s="24">
        <v>11.838709677419354</v>
      </c>
      <c r="W20" s="24">
        <v>98.65591397849461</v>
      </c>
      <c r="X20" s="24">
        <v>4.0777777777777775</v>
      </c>
      <c r="Y20" s="24">
        <v>5.5555555555555809E-2</v>
      </c>
      <c r="Z20" s="24">
        <v>7.5</v>
      </c>
    </row>
    <row r="21" spans="1:26" ht="15.75" x14ac:dyDescent="0.25">
      <c r="A21" s="79" t="s">
        <v>69</v>
      </c>
      <c r="B21" s="80"/>
      <c r="C21" s="80"/>
      <c r="D21" s="81"/>
      <c r="E21" s="4">
        <v>31</v>
      </c>
      <c r="F21" s="20">
        <v>45</v>
      </c>
      <c r="G21" s="20">
        <v>41</v>
      </c>
      <c r="H21" s="20">
        <v>232</v>
      </c>
      <c r="I21" s="20">
        <v>176</v>
      </c>
      <c r="J21" s="11">
        <v>449</v>
      </c>
      <c r="K21" s="20">
        <v>273</v>
      </c>
      <c r="L21" s="20">
        <v>73</v>
      </c>
      <c r="M21" s="11">
        <v>68</v>
      </c>
      <c r="N21" s="20">
        <v>28</v>
      </c>
      <c r="O21" s="20">
        <v>40</v>
      </c>
      <c r="P21" s="11">
        <v>414</v>
      </c>
      <c r="Q21" s="20">
        <v>565</v>
      </c>
      <c r="R21" s="20">
        <v>7</v>
      </c>
      <c r="S21" s="20">
        <v>1138</v>
      </c>
      <c r="T21" s="11">
        <v>35</v>
      </c>
      <c r="U21" s="11">
        <v>141</v>
      </c>
      <c r="V21" s="22">
        <v>36.70967741935484</v>
      </c>
      <c r="W21" s="12">
        <v>81.577060931899652</v>
      </c>
      <c r="X21" s="12">
        <v>8.0709219858156036</v>
      </c>
      <c r="Y21" s="12">
        <v>1.8226950354609925</v>
      </c>
      <c r="Z21" s="12">
        <v>3.1333333333333333</v>
      </c>
    </row>
    <row r="24" spans="1:26" x14ac:dyDescent="0.25">
      <c r="A24" s="78" t="s">
        <v>1</v>
      </c>
      <c r="B24" s="78" t="s">
        <v>2</v>
      </c>
      <c r="C24" s="72" t="s">
        <v>3</v>
      </c>
      <c r="D24" s="72" t="s">
        <v>4</v>
      </c>
      <c r="E24" s="75" t="s">
        <v>5</v>
      </c>
      <c r="F24" s="72" t="s">
        <v>6</v>
      </c>
      <c r="G24" s="72" t="s">
        <v>7</v>
      </c>
      <c r="H24" s="72" t="s">
        <v>8</v>
      </c>
      <c r="I24" s="75" t="s">
        <v>9</v>
      </c>
      <c r="J24" s="72" t="s">
        <v>10</v>
      </c>
      <c r="K24" s="72" t="s">
        <v>11</v>
      </c>
      <c r="L24" s="72" t="s">
        <v>12</v>
      </c>
      <c r="M24" s="72" t="s">
        <v>13</v>
      </c>
      <c r="N24" s="72" t="s">
        <v>14</v>
      </c>
      <c r="O24" s="72" t="s">
        <v>15</v>
      </c>
      <c r="P24" s="72" t="s">
        <v>16</v>
      </c>
      <c r="Q24" s="72" t="s">
        <v>17</v>
      </c>
      <c r="R24" s="72" t="s">
        <v>18</v>
      </c>
      <c r="S24" s="72" t="s">
        <v>19</v>
      </c>
      <c r="T24" s="72" t="s">
        <v>20</v>
      </c>
      <c r="U24" s="73" t="s">
        <v>21</v>
      </c>
      <c r="V24" s="2" t="s">
        <v>22</v>
      </c>
      <c r="W24" s="2" t="s">
        <v>23</v>
      </c>
      <c r="X24" s="2" t="s">
        <v>24</v>
      </c>
      <c r="Y24" s="2" t="s">
        <v>25</v>
      </c>
      <c r="Z24" s="2" t="s">
        <v>26</v>
      </c>
    </row>
    <row r="25" spans="1:26" x14ac:dyDescent="0.25">
      <c r="A25" s="78"/>
      <c r="B25" s="78"/>
      <c r="C25" s="72"/>
      <c r="D25" s="72"/>
      <c r="E25" s="75"/>
      <c r="F25" s="72"/>
      <c r="G25" s="72"/>
      <c r="H25" s="72"/>
      <c r="I25" s="75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3"/>
      <c r="V25" s="71" t="s">
        <v>27</v>
      </c>
      <c r="W25" s="71" t="s">
        <v>28</v>
      </c>
      <c r="X25" s="71" t="s">
        <v>29</v>
      </c>
      <c r="Y25" s="71" t="s">
        <v>30</v>
      </c>
      <c r="Z25" s="71" t="s">
        <v>31</v>
      </c>
    </row>
    <row r="26" spans="1:26" x14ac:dyDescent="0.25">
      <c r="A26" s="78"/>
      <c r="B26" s="78"/>
      <c r="C26" s="72"/>
      <c r="D26" s="72"/>
      <c r="E26" s="75"/>
      <c r="F26" s="72"/>
      <c r="G26" s="72"/>
      <c r="H26" s="72"/>
      <c r="I26" s="75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3"/>
      <c r="V26" s="74"/>
      <c r="W26" s="71"/>
      <c r="X26" s="71"/>
      <c r="Y26" s="71"/>
      <c r="Z26" s="71"/>
    </row>
    <row r="27" spans="1:26" x14ac:dyDescent="0.25">
      <c r="A27" s="78"/>
      <c r="B27" s="78"/>
      <c r="C27" s="72"/>
      <c r="D27" s="72"/>
      <c r="E27" s="75"/>
      <c r="F27" s="72"/>
      <c r="G27" s="3">
        <v>1</v>
      </c>
      <c r="H27" s="3">
        <v>2</v>
      </c>
      <c r="I27" s="3">
        <v>3</v>
      </c>
      <c r="J27" s="3">
        <v>4</v>
      </c>
      <c r="K27" s="3">
        <v>5</v>
      </c>
      <c r="L27" s="3">
        <v>6</v>
      </c>
      <c r="M27" s="3">
        <v>7</v>
      </c>
      <c r="N27" s="3">
        <v>8</v>
      </c>
      <c r="O27" s="3">
        <v>9</v>
      </c>
      <c r="P27" s="3">
        <v>10</v>
      </c>
      <c r="Q27" s="3">
        <v>11</v>
      </c>
      <c r="R27" s="3">
        <v>12</v>
      </c>
      <c r="S27" s="3">
        <v>13</v>
      </c>
      <c r="T27" s="3">
        <v>14</v>
      </c>
      <c r="U27" s="73"/>
      <c r="V27" s="16">
        <v>15</v>
      </c>
      <c r="W27" s="16">
        <v>16</v>
      </c>
      <c r="X27" s="16">
        <v>17</v>
      </c>
      <c r="Y27" s="16">
        <v>18</v>
      </c>
      <c r="Z27" s="16">
        <v>19</v>
      </c>
    </row>
    <row r="28" spans="1:26" ht="15.75" x14ac:dyDescent="0.25">
      <c r="A28" s="76">
        <v>1</v>
      </c>
      <c r="B28" s="96" t="s">
        <v>38</v>
      </c>
      <c r="C28" s="27" t="s">
        <v>53</v>
      </c>
      <c r="D28" s="9" t="s">
        <v>49</v>
      </c>
      <c r="E28" s="4">
        <v>31</v>
      </c>
      <c r="F28" s="4">
        <v>2</v>
      </c>
      <c r="G28" s="4">
        <v>0</v>
      </c>
      <c r="H28" s="4">
        <v>4</v>
      </c>
      <c r="I28" s="4">
        <v>1</v>
      </c>
      <c r="J28" s="5">
        <v>5</v>
      </c>
      <c r="K28" s="4">
        <v>1</v>
      </c>
      <c r="L28" s="4">
        <v>1</v>
      </c>
      <c r="M28" s="5">
        <v>3</v>
      </c>
      <c r="N28" s="4">
        <v>2</v>
      </c>
      <c r="O28" s="4">
        <v>1</v>
      </c>
      <c r="P28" s="5">
        <v>5</v>
      </c>
      <c r="Q28" s="4">
        <v>11</v>
      </c>
      <c r="R28" s="4">
        <v>0</v>
      </c>
      <c r="S28" s="4">
        <v>6</v>
      </c>
      <c r="T28" s="5">
        <v>0</v>
      </c>
      <c r="U28" s="5">
        <v>4</v>
      </c>
      <c r="V28" s="7">
        <v>0.19354838709677419</v>
      </c>
      <c r="W28" s="7">
        <v>9.67741935483871</v>
      </c>
      <c r="X28" s="7">
        <v>1.5</v>
      </c>
      <c r="Y28" s="6">
        <v>14</v>
      </c>
      <c r="Z28" s="7">
        <v>2</v>
      </c>
    </row>
    <row r="29" spans="1:26" ht="15.75" x14ac:dyDescent="0.25">
      <c r="A29" s="98"/>
      <c r="B29" s="97"/>
      <c r="C29" s="27" t="s">
        <v>53</v>
      </c>
      <c r="D29" s="18" t="s">
        <v>50</v>
      </c>
      <c r="E29" s="4">
        <v>31</v>
      </c>
      <c r="F29" s="4">
        <v>3</v>
      </c>
      <c r="G29" s="4">
        <v>1</v>
      </c>
      <c r="H29" s="4">
        <v>9</v>
      </c>
      <c r="I29" s="4">
        <v>0</v>
      </c>
      <c r="J29" s="8">
        <v>10</v>
      </c>
      <c r="K29" s="4">
        <v>0</v>
      </c>
      <c r="L29" s="4">
        <v>8</v>
      </c>
      <c r="M29" s="8">
        <v>2</v>
      </c>
      <c r="N29" s="4">
        <v>0</v>
      </c>
      <c r="O29" s="4">
        <v>2</v>
      </c>
      <c r="P29" s="8">
        <v>10</v>
      </c>
      <c r="Q29" s="4">
        <v>50</v>
      </c>
      <c r="R29" s="4">
        <v>0</v>
      </c>
      <c r="S29" s="4">
        <v>34</v>
      </c>
      <c r="T29" s="8">
        <v>0</v>
      </c>
      <c r="U29" s="8">
        <v>10</v>
      </c>
      <c r="V29" s="24">
        <v>1.096774193548387</v>
      </c>
      <c r="W29" s="24">
        <v>36.559139784946233</v>
      </c>
      <c r="X29" s="24">
        <v>3.4</v>
      </c>
      <c r="Y29" s="24">
        <v>5.9</v>
      </c>
      <c r="Z29" s="24">
        <v>3.3333333333333335</v>
      </c>
    </row>
    <row r="30" spans="1:26" ht="15.75" x14ac:dyDescent="0.25">
      <c r="A30" s="98"/>
      <c r="B30" s="97"/>
      <c r="C30" s="23" t="s">
        <v>53</v>
      </c>
      <c r="D30" s="18" t="s">
        <v>51</v>
      </c>
      <c r="E30" s="4">
        <v>31</v>
      </c>
      <c r="F30" s="4">
        <v>2</v>
      </c>
      <c r="G30" s="4">
        <v>0</v>
      </c>
      <c r="H30" s="4">
        <v>3</v>
      </c>
      <c r="I30" s="4">
        <v>2</v>
      </c>
      <c r="J30" s="5">
        <v>5</v>
      </c>
      <c r="K30" s="4">
        <v>0</v>
      </c>
      <c r="L30" s="4">
        <v>1</v>
      </c>
      <c r="M30" s="5">
        <v>4</v>
      </c>
      <c r="N30" s="4">
        <v>3</v>
      </c>
      <c r="O30" s="4">
        <v>1</v>
      </c>
      <c r="P30" s="5">
        <v>5</v>
      </c>
      <c r="Q30" s="4">
        <v>41</v>
      </c>
      <c r="R30" s="4">
        <v>0</v>
      </c>
      <c r="S30" s="4">
        <v>30</v>
      </c>
      <c r="T30" s="5">
        <v>0</v>
      </c>
      <c r="U30" s="5">
        <v>5</v>
      </c>
      <c r="V30" s="7">
        <v>0.967741935483871</v>
      </c>
      <c r="W30" s="7">
        <v>48.387096774193552</v>
      </c>
      <c r="X30" s="7">
        <v>6</v>
      </c>
      <c r="Y30" s="6">
        <v>6.4</v>
      </c>
      <c r="Z30" s="7">
        <v>2.5</v>
      </c>
    </row>
    <row r="31" spans="1:26" ht="15.75" x14ac:dyDescent="0.25">
      <c r="A31" s="98"/>
      <c r="B31" s="97"/>
      <c r="C31" s="27" t="s">
        <v>53</v>
      </c>
      <c r="D31" s="18" t="s">
        <v>52</v>
      </c>
      <c r="E31" s="4">
        <v>31</v>
      </c>
      <c r="F31" s="4">
        <v>10</v>
      </c>
      <c r="G31" s="4">
        <v>2</v>
      </c>
      <c r="H31" s="4">
        <v>43</v>
      </c>
      <c r="I31" s="4">
        <v>12</v>
      </c>
      <c r="J31" s="8">
        <v>57</v>
      </c>
      <c r="K31" s="4">
        <v>3</v>
      </c>
      <c r="L31" s="4">
        <v>34</v>
      </c>
      <c r="M31" s="8">
        <v>15</v>
      </c>
      <c r="N31" s="4">
        <v>6</v>
      </c>
      <c r="O31" s="4">
        <v>9</v>
      </c>
      <c r="P31" s="8">
        <v>52</v>
      </c>
      <c r="Q31" s="4">
        <v>226</v>
      </c>
      <c r="R31" s="4">
        <v>0</v>
      </c>
      <c r="S31" s="4">
        <v>204</v>
      </c>
      <c r="T31" s="8">
        <v>5</v>
      </c>
      <c r="U31" s="8">
        <v>49</v>
      </c>
      <c r="V31" s="24">
        <v>6.580645161290323</v>
      </c>
      <c r="W31" s="24">
        <v>65.806451612903231</v>
      </c>
      <c r="X31" s="24">
        <v>4.1632653061224492</v>
      </c>
      <c r="Y31" s="24">
        <v>2.1632653061224487</v>
      </c>
      <c r="Z31" s="24">
        <v>4.9000000000000004</v>
      </c>
    </row>
    <row r="32" spans="1:26" ht="15.75" x14ac:dyDescent="0.25">
      <c r="A32" s="77"/>
      <c r="B32" s="97"/>
      <c r="C32" s="8" t="s">
        <v>53</v>
      </c>
      <c r="D32" s="8"/>
      <c r="E32" s="4">
        <v>31</v>
      </c>
      <c r="F32" s="8">
        <v>17</v>
      </c>
      <c r="G32" s="8">
        <v>3</v>
      </c>
      <c r="H32" s="8">
        <v>59</v>
      </c>
      <c r="I32" s="8">
        <v>15</v>
      </c>
      <c r="J32" s="8">
        <v>77</v>
      </c>
      <c r="K32" s="8">
        <v>4</v>
      </c>
      <c r="L32" s="8">
        <v>44</v>
      </c>
      <c r="M32" s="8">
        <v>24</v>
      </c>
      <c r="N32" s="8">
        <v>11</v>
      </c>
      <c r="O32" s="8">
        <v>13</v>
      </c>
      <c r="P32" s="8">
        <v>72</v>
      </c>
      <c r="Q32" s="8">
        <v>328</v>
      </c>
      <c r="R32" s="8">
        <v>0</v>
      </c>
      <c r="S32" s="8">
        <v>274</v>
      </c>
      <c r="T32" s="8">
        <v>5</v>
      </c>
      <c r="U32" s="8">
        <v>68</v>
      </c>
      <c r="V32" s="24">
        <v>8.8387096774193541</v>
      </c>
      <c r="W32" s="24">
        <v>51.992409867172675</v>
      </c>
      <c r="X32" s="24">
        <v>4.0294117647058822</v>
      </c>
      <c r="Y32" s="24">
        <v>3.7205882352941182</v>
      </c>
      <c r="Z32" s="24">
        <v>4</v>
      </c>
    </row>
    <row r="33" spans="1:26" ht="15.75" x14ac:dyDescent="0.25">
      <c r="A33" s="76">
        <v>2</v>
      </c>
      <c r="B33" s="97"/>
      <c r="C33" s="5" t="s">
        <v>71</v>
      </c>
      <c r="D33" s="5" t="s">
        <v>38</v>
      </c>
      <c r="E33" s="4">
        <v>31</v>
      </c>
      <c r="F33" s="5">
        <v>6</v>
      </c>
      <c r="G33" s="5">
        <v>4</v>
      </c>
      <c r="H33" s="5">
        <v>47</v>
      </c>
      <c r="I33" s="5">
        <v>10</v>
      </c>
      <c r="J33" s="5">
        <v>61</v>
      </c>
      <c r="K33" s="5">
        <v>13</v>
      </c>
      <c r="L33" s="5">
        <v>37</v>
      </c>
      <c r="M33" s="5">
        <v>3</v>
      </c>
      <c r="N33" s="5">
        <v>1</v>
      </c>
      <c r="O33" s="5">
        <v>2</v>
      </c>
      <c r="P33" s="5">
        <v>53</v>
      </c>
      <c r="Q33" s="5">
        <v>115</v>
      </c>
      <c r="R33" s="5">
        <v>0</v>
      </c>
      <c r="S33" s="5">
        <v>179</v>
      </c>
      <c r="T33" s="5">
        <v>8</v>
      </c>
      <c r="U33" s="5">
        <v>40</v>
      </c>
      <c r="V33" s="7">
        <v>5.774193548387097</v>
      </c>
      <c r="W33" s="7">
        <v>96.236559139784944</v>
      </c>
      <c r="X33" s="7">
        <v>4.4749999999999996</v>
      </c>
      <c r="Y33" s="6">
        <v>0.17499999999999985</v>
      </c>
      <c r="Z33" s="7">
        <v>6.666666666666667</v>
      </c>
    </row>
    <row r="34" spans="1:26" ht="15.75" x14ac:dyDescent="0.25">
      <c r="A34" s="77"/>
      <c r="B34" s="97"/>
      <c r="C34" s="8" t="s">
        <v>71</v>
      </c>
      <c r="D34" s="8"/>
      <c r="E34" s="4">
        <v>31</v>
      </c>
      <c r="F34" s="8">
        <v>6</v>
      </c>
      <c r="G34" s="8">
        <v>4</v>
      </c>
      <c r="H34" s="8">
        <v>47</v>
      </c>
      <c r="I34" s="8">
        <v>10</v>
      </c>
      <c r="J34" s="8">
        <v>61</v>
      </c>
      <c r="K34" s="8">
        <v>13</v>
      </c>
      <c r="L34" s="8">
        <v>37</v>
      </c>
      <c r="M34" s="8">
        <v>3</v>
      </c>
      <c r="N34" s="8">
        <v>1</v>
      </c>
      <c r="O34" s="8">
        <v>2</v>
      </c>
      <c r="P34" s="8">
        <v>53</v>
      </c>
      <c r="Q34" s="8">
        <v>115</v>
      </c>
      <c r="R34" s="8">
        <v>0</v>
      </c>
      <c r="S34" s="8">
        <v>179</v>
      </c>
      <c r="T34" s="8">
        <v>8</v>
      </c>
      <c r="U34" s="8">
        <v>40</v>
      </c>
      <c r="V34" s="24">
        <v>5.774193548387097</v>
      </c>
      <c r="W34" s="24">
        <v>96.236559139784944</v>
      </c>
      <c r="X34" s="24">
        <v>4.4749999999999996</v>
      </c>
      <c r="Y34" s="24">
        <v>0.17499999999999985</v>
      </c>
      <c r="Z34" s="24">
        <v>6.666666666666667</v>
      </c>
    </row>
    <row r="35" spans="1:26" ht="15.75" x14ac:dyDescent="0.25">
      <c r="A35" s="76">
        <v>3</v>
      </c>
      <c r="B35" s="97"/>
      <c r="C35" s="5" t="s">
        <v>55</v>
      </c>
      <c r="D35" s="5" t="s">
        <v>32</v>
      </c>
      <c r="E35" s="4">
        <v>31</v>
      </c>
      <c r="F35" s="5">
        <v>4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7">
        <v>0</v>
      </c>
      <c r="W35" s="7">
        <v>0</v>
      </c>
      <c r="X35" s="7" t="e">
        <v>#DIV/0!</v>
      </c>
      <c r="Y35" s="6" t="e">
        <v>#DIV/0!</v>
      </c>
      <c r="Z35" s="7">
        <v>0</v>
      </c>
    </row>
    <row r="36" spans="1:26" ht="15.75" x14ac:dyDescent="0.25">
      <c r="A36" s="77"/>
      <c r="B36" s="97"/>
      <c r="C36" s="8" t="s">
        <v>55</v>
      </c>
      <c r="D36" s="8"/>
      <c r="E36" s="4">
        <v>31</v>
      </c>
      <c r="F36" s="8">
        <v>4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24">
        <v>0</v>
      </c>
      <c r="W36" s="24">
        <v>0</v>
      </c>
      <c r="X36" s="24" t="e">
        <v>#DIV/0!</v>
      </c>
      <c r="Y36" s="24" t="e">
        <v>#DIV/0!</v>
      </c>
      <c r="Z36" s="24">
        <v>0</v>
      </c>
    </row>
    <row r="37" spans="1:26" ht="15.75" x14ac:dyDescent="0.25">
      <c r="A37" s="76">
        <v>4</v>
      </c>
      <c r="B37" s="97"/>
      <c r="C37" s="5" t="s">
        <v>47</v>
      </c>
      <c r="D37" s="5" t="s">
        <v>43</v>
      </c>
      <c r="E37" s="4">
        <v>31</v>
      </c>
      <c r="F37" s="5">
        <v>2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13">
        <v>0</v>
      </c>
      <c r="W37" s="13">
        <v>0</v>
      </c>
      <c r="X37" s="13" t="e">
        <v>#DIV/0!</v>
      </c>
      <c r="Y37" s="14" t="e">
        <v>#DIV/0!</v>
      </c>
      <c r="Z37" s="13">
        <v>0</v>
      </c>
    </row>
    <row r="38" spans="1:26" ht="15.75" x14ac:dyDescent="0.25">
      <c r="A38" s="77"/>
      <c r="B38" s="97"/>
      <c r="C38" s="8" t="s">
        <v>47</v>
      </c>
      <c r="D38" s="8"/>
      <c r="E38" s="4">
        <v>31</v>
      </c>
      <c r="F38" s="8">
        <v>2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26">
        <v>0</v>
      </c>
      <c r="W38" s="26">
        <v>0</v>
      </c>
      <c r="X38" s="26" t="e">
        <v>#DIV/0!</v>
      </c>
      <c r="Y38" s="26" t="e">
        <v>#DIV/0!</v>
      </c>
      <c r="Z38" s="26">
        <v>0</v>
      </c>
    </row>
    <row r="39" spans="1:26" ht="15.75" x14ac:dyDescent="0.25">
      <c r="A39" s="76">
        <v>5</v>
      </c>
      <c r="B39" s="97"/>
      <c r="C39" s="5" t="s">
        <v>40</v>
      </c>
      <c r="D39" s="5" t="s">
        <v>32</v>
      </c>
      <c r="E39" s="4">
        <v>31</v>
      </c>
      <c r="F39" s="5">
        <v>4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7">
        <v>0</v>
      </c>
      <c r="W39" s="7">
        <v>0</v>
      </c>
      <c r="X39" s="7" t="e">
        <v>#DIV/0!</v>
      </c>
      <c r="Y39" s="6" t="e">
        <v>#DIV/0!</v>
      </c>
      <c r="Z39" s="7">
        <v>0</v>
      </c>
    </row>
    <row r="40" spans="1:26" ht="15.75" x14ac:dyDescent="0.25">
      <c r="A40" s="77"/>
      <c r="B40" s="97"/>
      <c r="C40" s="8" t="s">
        <v>40</v>
      </c>
      <c r="D40" s="8"/>
      <c r="E40" s="4">
        <v>31</v>
      </c>
      <c r="F40" s="8">
        <v>4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24">
        <v>0</v>
      </c>
      <c r="W40" s="24">
        <v>0</v>
      </c>
      <c r="X40" s="24" t="e">
        <v>#DIV/0!</v>
      </c>
      <c r="Y40" s="24" t="e">
        <v>#DIV/0!</v>
      </c>
      <c r="Z40" s="24">
        <v>0</v>
      </c>
    </row>
    <row r="41" spans="1:26" ht="15.75" x14ac:dyDescent="0.25">
      <c r="A41" s="76">
        <v>6</v>
      </c>
      <c r="B41" s="97"/>
      <c r="C41" s="5" t="s">
        <v>42</v>
      </c>
      <c r="D41" s="5" t="s">
        <v>43</v>
      </c>
      <c r="E41" s="4">
        <v>31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7">
        <v>0</v>
      </c>
      <c r="W41" s="7">
        <v>0</v>
      </c>
      <c r="X41" s="7" t="e">
        <v>#DIV/0!</v>
      </c>
      <c r="Y41" s="6" t="e">
        <v>#DIV/0!</v>
      </c>
      <c r="Z41" s="7">
        <v>0</v>
      </c>
    </row>
    <row r="42" spans="1:26" ht="15.75" x14ac:dyDescent="0.25">
      <c r="A42" s="77"/>
      <c r="B42" s="97"/>
      <c r="C42" s="8" t="s">
        <v>42</v>
      </c>
      <c r="D42" s="8"/>
      <c r="E42" s="4">
        <v>31</v>
      </c>
      <c r="F42" s="8">
        <v>1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24">
        <v>0</v>
      </c>
      <c r="W42" s="24">
        <v>0</v>
      </c>
      <c r="X42" s="24" t="e">
        <v>#DIV/0!</v>
      </c>
      <c r="Y42" s="24" t="e">
        <v>#DIV/0!</v>
      </c>
      <c r="Z42" s="24">
        <v>0</v>
      </c>
    </row>
    <row r="43" spans="1:26" ht="15.75" x14ac:dyDescent="0.25">
      <c r="A43" s="76">
        <v>7</v>
      </c>
      <c r="B43" s="97"/>
      <c r="C43" s="5" t="s">
        <v>74</v>
      </c>
      <c r="D43" s="5" t="s">
        <v>32</v>
      </c>
      <c r="E43" s="4">
        <v>31</v>
      </c>
      <c r="F43" s="5">
        <v>4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7">
        <v>0</v>
      </c>
      <c r="W43" s="28">
        <v>0</v>
      </c>
      <c r="X43" s="28" t="e">
        <v>#DIV/0!</v>
      </c>
      <c r="Y43" s="29" t="e">
        <v>#DIV/0!</v>
      </c>
      <c r="Z43" s="28">
        <v>0</v>
      </c>
    </row>
    <row r="44" spans="1:26" ht="15.75" x14ac:dyDescent="0.25">
      <c r="A44" s="77"/>
      <c r="B44" s="97"/>
      <c r="C44" s="8" t="s">
        <v>74</v>
      </c>
      <c r="D44" s="8"/>
      <c r="E44" s="4">
        <v>31</v>
      </c>
      <c r="F44" s="8">
        <v>4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24">
        <v>0</v>
      </c>
      <c r="W44" s="24">
        <v>0</v>
      </c>
      <c r="X44" s="24" t="e">
        <v>#DIV/0!</v>
      </c>
      <c r="Y44" s="24" t="e">
        <v>#DIV/0!</v>
      </c>
      <c r="Z44" s="24">
        <v>0</v>
      </c>
    </row>
    <row r="45" spans="1:26" ht="15.75" x14ac:dyDescent="0.25">
      <c r="A45" s="76">
        <v>8</v>
      </c>
      <c r="B45" s="97"/>
      <c r="C45" s="4" t="s">
        <v>44</v>
      </c>
      <c r="D45" s="4" t="s">
        <v>32</v>
      </c>
      <c r="E45" s="4">
        <v>31</v>
      </c>
      <c r="F45" s="4">
        <v>1</v>
      </c>
      <c r="G45" s="4">
        <v>0</v>
      </c>
      <c r="H45" s="4">
        <v>0</v>
      </c>
      <c r="I45" s="4">
        <v>0</v>
      </c>
      <c r="J45" s="5">
        <v>0</v>
      </c>
      <c r="K45" s="4">
        <v>0</v>
      </c>
      <c r="L45" s="4">
        <v>0</v>
      </c>
      <c r="M45" s="5">
        <v>0</v>
      </c>
      <c r="N45" s="4">
        <v>0</v>
      </c>
      <c r="O45" s="4">
        <v>0</v>
      </c>
      <c r="P45" s="5">
        <v>0</v>
      </c>
      <c r="Q45" s="4">
        <v>0</v>
      </c>
      <c r="R45" s="4">
        <v>0</v>
      </c>
      <c r="S45" s="4">
        <v>0</v>
      </c>
      <c r="T45" s="5">
        <v>0</v>
      </c>
      <c r="U45" s="5">
        <v>0</v>
      </c>
      <c r="V45" s="7">
        <v>0</v>
      </c>
      <c r="W45" s="28">
        <v>0</v>
      </c>
      <c r="X45" s="28" t="e">
        <v>#DIV/0!</v>
      </c>
      <c r="Y45" s="29" t="e">
        <v>#DIV/0!</v>
      </c>
      <c r="Z45" s="28">
        <v>0</v>
      </c>
    </row>
    <row r="46" spans="1:26" ht="15.75" x14ac:dyDescent="0.25">
      <c r="A46" s="77"/>
      <c r="B46" s="97"/>
      <c r="C46" s="8" t="s">
        <v>44</v>
      </c>
      <c r="D46" s="8"/>
      <c r="E46" s="4">
        <v>31</v>
      </c>
      <c r="F46" s="8">
        <v>1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24">
        <v>0</v>
      </c>
      <c r="W46" s="24">
        <v>0</v>
      </c>
      <c r="X46" s="24" t="e">
        <v>#DIV/0!</v>
      </c>
      <c r="Y46" s="24" t="e">
        <v>#DIV/0!</v>
      </c>
      <c r="Z46" s="24">
        <v>0</v>
      </c>
    </row>
    <row r="47" spans="1:26" ht="15.75" x14ac:dyDescent="0.25">
      <c r="A47" s="76">
        <v>9</v>
      </c>
      <c r="B47" s="97"/>
      <c r="C47" s="4" t="s">
        <v>37</v>
      </c>
      <c r="D47" s="4" t="s">
        <v>32</v>
      </c>
      <c r="E47" s="4">
        <v>31</v>
      </c>
      <c r="F47" s="4">
        <v>5</v>
      </c>
      <c r="G47" s="4">
        <v>4</v>
      </c>
      <c r="H47" s="4">
        <v>20</v>
      </c>
      <c r="I47" s="4">
        <v>6</v>
      </c>
      <c r="J47" s="5">
        <v>30</v>
      </c>
      <c r="K47" s="4">
        <v>4</v>
      </c>
      <c r="L47" s="4">
        <v>24</v>
      </c>
      <c r="M47" s="5">
        <v>0</v>
      </c>
      <c r="N47" s="4">
        <v>0</v>
      </c>
      <c r="O47" s="4">
        <v>0</v>
      </c>
      <c r="P47" s="5">
        <v>28</v>
      </c>
      <c r="Q47" s="4">
        <v>89</v>
      </c>
      <c r="R47" s="4">
        <v>0</v>
      </c>
      <c r="S47" s="4">
        <v>86</v>
      </c>
      <c r="T47" s="5">
        <v>2</v>
      </c>
      <c r="U47" s="5">
        <v>24</v>
      </c>
      <c r="V47" s="7">
        <v>2.774193548387097</v>
      </c>
      <c r="W47" s="28">
        <v>55.483870967741943</v>
      </c>
      <c r="X47" s="28">
        <v>3.5833333333333335</v>
      </c>
      <c r="Y47" s="29">
        <v>2.875</v>
      </c>
      <c r="Z47" s="28">
        <v>4.8</v>
      </c>
    </row>
    <row r="48" spans="1:26" ht="15.75" x14ac:dyDescent="0.25">
      <c r="A48" s="77"/>
      <c r="B48" s="99"/>
      <c r="C48" s="8" t="s">
        <v>37</v>
      </c>
      <c r="D48" s="8"/>
      <c r="E48" s="4">
        <v>31</v>
      </c>
      <c r="F48" s="8">
        <v>5</v>
      </c>
      <c r="G48" s="8">
        <v>4</v>
      </c>
      <c r="H48" s="8">
        <v>20</v>
      </c>
      <c r="I48" s="8">
        <v>6</v>
      </c>
      <c r="J48" s="8">
        <v>30</v>
      </c>
      <c r="K48" s="8">
        <v>4</v>
      </c>
      <c r="L48" s="8">
        <v>24</v>
      </c>
      <c r="M48" s="8">
        <v>0</v>
      </c>
      <c r="N48" s="8">
        <v>0</v>
      </c>
      <c r="O48" s="8">
        <v>0</v>
      </c>
      <c r="P48" s="8">
        <v>28</v>
      </c>
      <c r="Q48" s="8">
        <v>89</v>
      </c>
      <c r="R48" s="8">
        <v>0</v>
      </c>
      <c r="S48" s="8">
        <v>86</v>
      </c>
      <c r="T48" s="8">
        <v>2</v>
      </c>
      <c r="U48" s="8">
        <v>24</v>
      </c>
      <c r="V48" s="24">
        <v>2.774193548387097</v>
      </c>
      <c r="W48" s="24">
        <v>55.483870967741943</v>
      </c>
      <c r="X48" s="24">
        <v>3.5833333333333335</v>
      </c>
      <c r="Y48" s="24">
        <v>2.875</v>
      </c>
      <c r="Z48" s="24">
        <v>4.8</v>
      </c>
    </row>
    <row r="49" spans="1:26" ht="15.75" x14ac:dyDescent="0.25">
      <c r="A49" s="79" t="s">
        <v>85</v>
      </c>
      <c r="B49" s="80"/>
      <c r="C49" s="80"/>
      <c r="D49" s="81"/>
      <c r="E49" s="4">
        <v>31</v>
      </c>
      <c r="F49" s="20">
        <v>44</v>
      </c>
      <c r="G49" s="20">
        <v>11</v>
      </c>
      <c r="H49" s="20">
        <v>126</v>
      </c>
      <c r="I49" s="20">
        <v>31</v>
      </c>
      <c r="J49" s="11">
        <v>168</v>
      </c>
      <c r="K49" s="20">
        <v>21</v>
      </c>
      <c r="L49" s="20">
        <v>105</v>
      </c>
      <c r="M49" s="11">
        <v>27</v>
      </c>
      <c r="N49" s="20">
        <v>12</v>
      </c>
      <c r="O49" s="20">
        <v>15</v>
      </c>
      <c r="P49" s="11">
        <v>153</v>
      </c>
      <c r="Q49" s="20">
        <v>532</v>
      </c>
      <c r="R49" s="20">
        <v>0</v>
      </c>
      <c r="S49" s="20">
        <v>539</v>
      </c>
      <c r="T49" s="11">
        <v>15</v>
      </c>
      <c r="U49" s="11">
        <v>132</v>
      </c>
      <c r="V49" s="22">
        <v>17.387096774193548</v>
      </c>
      <c r="W49" s="12">
        <v>39.516129032258064</v>
      </c>
      <c r="X49" s="12">
        <v>4.083333333333333</v>
      </c>
      <c r="Y49" s="12">
        <v>6.25</v>
      </c>
      <c r="Z49" s="12">
        <v>3</v>
      </c>
    </row>
    <row r="52" spans="1:26" x14ac:dyDescent="0.25">
      <c r="A52" s="78" t="s">
        <v>1</v>
      </c>
      <c r="B52" s="78" t="s">
        <v>2</v>
      </c>
      <c r="C52" s="72" t="s">
        <v>3</v>
      </c>
      <c r="D52" s="72" t="s">
        <v>4</v>
      </c>
      <c r="E52" s="75" t="s">
        <v>5</v>
      </c>
      <c r="F52" s="72" t="s">
        <v>6</v>
      </c>
      <c r="G52" s="72" t="s">
        <v>7</v>
      </c>
      <c r="H52" s="72" t="s">
        <v>8</v>
      </c>
      <c r="I52" s="75" t="s">
        <v>9</v>
      </c>
      <c r="J52" s="72" t="s">
        <v>10</v>
      </c>
      <c r="K52" s="72" t="s">
        <v>11</v>
      </c>
      <c r="L52" s="72" t="s">
        <v>12</v>
      </c>
      <c r="M52" s="72" t="s">
        <v>13</v>
      </c>
      <c r="N52" s="72" t="s">
        <v>14</v>
      </c>
      <c r="O52" s="72" t="s">
        <v>15</v>
      </c>
      <c r="P52" s="72" t="s">
        <v>16</v>
      </c>
      <c r="Q52" s="72" t="s">
        <v>17</v>
      </c>
      <c r="R52" s="72" t="s">
        <v>18</v>
      </c>
      <c r="S52" s="72" t="s">
        <v>19</v>
      </c>
      <c r="T52" s="72" t="s">
        <v>20</v>
      </c>
      <c r="U52" s="73" t="s">
        <v>21</v>
      </c>
      <c r="V52" s="2" t="s">
        <v>22</v>
      </c>
      <c r="W52" s="2" t="s">
        <v>23</v>
      </c>
      <c r="X52" s="2" t="s">
        <v>24</v>
      </c>
      <c r="Y52" s="2" t="s">
        <v>25</v>
      </c>
      <c r="Z52" s="2" t="s">
        <v>26</v>
      </c>
    </row>
    <row r="53" spans="1:26" x14ac:dyDescent="0.25">
      <c r="A53" s="78"/>
      <c r="B53" s="78"/>
      <c r="C53" s="72"/>
      <c r="D53" s="72"/>
      <c r="E53" s="75"/>
      <c r="F53" s="72"/>
      <c r="G53" s="72"/>
      <c r="H53" s="72"/>
      <c r="I53" s="75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3"/>
      <c r="V53" s="71" t="s">
        <v>27</v>
      </c>
      <c r="W53" s="71" t="s">
        <v>28</v>
      </c>
      <c r="X53" s="71" t="s">
        <v>29</v>
      </c>
      <c r="Y53" s="71" t="s">
        <v>30</v>
      </c>
      <c r="Z53" s="71" t="s">
        <v>31</v>
      </c>
    </row>
    <row r="54" spans="1:26" x14ac:dyDescent="0.25">
      <c r="A54" s="78"/>
      <c r="B54" s="78"/>
      <c r="C54" s="72"/>
      <c r="D54" s="72"/>
      <c r="E54" s="75"/>
      <c r="F54" s="72"/>
      <c r="G54" s="72"/>
      <c r="H54" s="72"/>
      <c r="I54" s="75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3"/>
      <c r="V54" s="74"/>
      <c r="W54" s="71"/>
      <c r="X54" s="71"/>
      <c r="Y54" s="71"/>
      <c r="Z54" s="71"/>
    </row>
    <row r="55" spans="1:26" x14ac:dyDescent="0.25">
      <c r="A55" s="78"/>
      <c r="B55" s="78"/>
      <c r="C55" s="72"/>
      <c r="D55" s="72"/>
      <c r="E55" s="75"/>
      <c r="F55" s="72"/>
      <c r="G55" s="3">
        <v>1</v>
      </c>
      <c r="H55" s="3">
        <v>2</v>
      </c>
      <c r="I55" s="3">
        <v>3</v>
      </c>
      <c r="J55" s="3">
        <v>4</v>
      </c>
      <c r="K55" s="3">
        <v>5</v>
      </c>
      <c r="L55" s="3">
        <v>6</v>
      </c>
      <c r="M55" s="3">
        <v>7</v>
      </c>
      <c r="N55" s="3">
        <v>8</v>
      </c>
      <c r="O55" s="3">
        <v>9</v>
      </c>
      <c r="P55" s="3">
        <v>10</v>
      </c>
      <c r="Q55" s="3">
        <v>11</v>
      </c>
      <c r="R55" s="3">
        <v>12</v>
      </c>
      <c r="S55" s="3">
        <v>13</v>
      </c>
      <c r="T55" s="3">
        <v>14</v>
      </c>
      <c r="U55" s="73"/>
      <c r="V55" s="16">
        <v>15</v>
      </c>
      <c r="W55" s="16">
        <v>16</v>
      </c>
      <c r="X55" s="16">
        <v>17</v>
      </c>
      <c r="Y55" s="16">
        <v>18</v>
      </c>
      <c r="Z55" s="16">
        <v>19</v>
      </c>
    </row>
    <row r="56" spans="1:26" ht="15.75" x14ac:dyDescent="0.25">
      <c r="A56" s="19">
        <v>1</v>
      </c>
      <c r="B56" s="19" t="s">
        <v>59</v>
      </c>
      <c r="C56" s="4" t="s">
        <v>57</v>
      </c>
      <c r="D56" s="4" t="s">
        <v>36</v>
      </c>
      <c r="E56" s="4">
        <v>31</v>
      </c>
      <c r="F56" s="4">
        <v>30</v>
      </c>
      <c r="G56" s="4">
        <v>13</v>
      </c>
      <c r="H56" s="4">
        <v>145</v>
      </c>
      <c r="I56" s="4">
        <v>20</v>
      </c>
      <c r="J56" s="5">
        <v>178</v>
      </c>
      <c r="K56" s="4">
        <v>76</v>
      </c>
      <c r="L56" s="4">
        <v>84</v>
      </c>
      <c r="M56" s="5">
        <v>3</v>
      </c>
      <c r="N56" s="4">
        <v>3</v>
      </c>
      <c r="O56" s="4">
        <v>0</v>
      </c>
      <c r="P56" s="5">
        <v>163</v>
      </c>
      <c r="Q56" s="4">
        <v>523</v>
      </c>
      <c r="R56" s="4">
        <v>2</v>
      </c>
      <c r="S56" s="4">
        <v>540</v>
      </c>
      <c r="T56" s="5">
        <v>15</v>
      </c>
      <c r="U56" s="5">
        <v>87</v>
      </c>
      <c r="V56" s="7">
        <v>17.419354838709676</v>
      </c>
      <c r="W56" s="7">
        <v>58.064516129032249</v>
      </c>
      <c r="X56" s="7">
        <v>6.2068965517241379</v>
      </c>
      <c r="Y56" s="6">
        <v>4.4827586206896557</v>
      </c>
      <c r="Z56" s="7">
        <v>2.9</v>
      </c>
    </row>
    <row r="57" spans="1:26" ht="15.75" x14ac:dyDescent="0.25">
      <c r="A57" s="30" t="s">
        <v>61</v>
      </c>
      <c r="B57" s="25"/>
      <c r="C57" s="25"/>
      <c r="D57" s="25"/>
      <c r="E57" s="4">
        <v>31</v>
      </c>
      <c r="F57" s="20">
        <v>30</v>
      </c>
      <c r="G57" s="20">
        <v>13</v>
      </c>
      <c r="H57" s="20">
        <v>145</v>
      </c>
      <c r="I57" s="20">
        <v>20</v>
      </c>
      <c r="J57" s="11">
        <v>178</v>
      </c>
      <c r="K57" s="20">
        <v>76</v>
      </c>
      <c r="L57" s="20">
        <v>84</v>
      </c>
      <c r="M57" s="11">
        <v>3</v>
      </c>
      <c r="N57" s="20">
        <v>3</v>
      </c>
      <c r="O57" s="20">
        <v>0</v>
      </c>
      <c r="P57" s="11">
        <v>163</v>
      </c>
      <c r="Q57" s="20">
        <v>523</v>
      </c>
      <c r="R57" s="20">
        <v>2</v>
      </c>
      <c r="S57" s="20">
        <v>540</v>
      </c>
      <c r="T57" s="11">
        <v>15</v>
      </c>
      <c r="U57" s="11">
        <v>87</v>
      </c>
      <c r="V57" s="20">
        <v>17.419354838709676</v>
      </c>
      <c r="W57" s="12">
        <v>58.064516129032249</v>
      </c>
      <c r="X57" s="12">
        <v>6.2068965517241379</v>
      </c>
      <c r="Y57" s="12">
        <v>4.4827586206896557</v>
      </c>
      <c r="Z57" s="12">
        <v>2.9</v>
      </c>
    </row>
    <row r="60" spans="1:26" x14ac:dyDescent="0.25">
      <c r="A60" s="78" t="s">
        <v>1</v>
      </c>
      <c r="B60" s="78" t="s">
        <v>2</v>
      </c>
      <c r="C60" s="72" t="s">
        <v>3</v>
      </c>
      <c r="D60" s="72" t="s">
        <v>4</v>
      </c>
      <c r="E60" s="75" t="s">
        <v>5</v>
      </c>
      <c r="F60" s="72" t="s">
        <v>6</v>
      </c>
      <c r="G60" s="72" t="s">
        <v>7</v>
      </c>
      <c r="H60" s="72" t="s">
        <v>8</v>
      </c>
      <c r="I60" s="75" t="s">
        <v>9</v>
      </c>
      <c r="J60" s="72" t="s">
        <v>10</v>
      </c>
      <c r="K60" s="72" t="s">
        <v>11</v>
      </c>
      <c r="L60" s="72" t="s">
        <v>12</v>
      </c>
      <c r="M60" s="72" t="s">
        <v>13</v>
      </c>
      <c r="N60" s="72" t="s">
        <v>14</v>
      </c>
      <c r="O60" s="72" t="s">
        <v>15</v>
      </c>
      <c r="P60" s="72" t="s">
        <v>16</v>
      </c>
      <c r="Q60" s="72" t="s">
        <v>17</v>
      </c>
      <c r="R60" s="72" t="s">
        <v>18</v>
      </c>
      <c r="S60" s="72" t="s">
        <v>19</v>
      </c>
      <c r="T60" s="72" t="s">
        <v>20</v>
      </c>
      <c r="U60" s="73" t="s">
        <v>21</v>
      </c>
      <c r="V60" s="2" t="s">
        <v>22</v>
      </c>
      <c r="W60" s="2" t="s">
        <v>23</v>
      </c>
      <c r="X60" s="2" t="s">
        <v>24</v>
      </c>
      <c r="Y60" s="2" t="s">
        <v>25</v>
      </c>
      <c r="Z60" s="2" t="s">
        <v>26</v>
      </c>
    </row>
    <row r="61" spans="1:26" x14ac:dyDescent="0.25">
      <c r="A61" s="78"/>
      <c r="B61" s="78"/>
      <c r="C61" s="72"/>
      <c r="D61" s="72"/>
      <c r="E61" s="75"/>
      <c r="F61" s="72"/>
      <c r="G61" s="72"/>
      <c r="H61" s="72"/>
      <c r="I61" s="75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3"/>
      <c r="V61" s="71" t="s">
        <v>27</v>
      </c>
      <c r="W61" s="71" t="s">
        <v>28</v>
      </c>
      <c r="X61" s="71" t="s">
        <v>29</v>
      </c>
      <c r="Y61" s="71" t="s">
        <v>30</v>
      </c>
      <c r="Z61" s="71" t="s">
        <v>31</v>
      </c>
    </row>
    <row r="62" spans="1:26" x14ac:dyDescent="0.25">
      <c r="A62" s="78"/>
      <c r="B62" s="78"/>
      <c r="C62" s="72"/>
      <c r="D62" s="72"/>
      <c r="E62" s="75"/>
      <c r="F62" s="72"/>
      <c r="G62" s="72"/>
      <c r="H62" s="72"/>
      <c r="I62" s="75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1"/>
      <c r="X62" s="71"/>
      <c r="Y62" s="71"/>
      <c r="Z62" s="71"/>
    </row>
    <row r="63" spans="1:26" x14ac:dyDescent="0.25">
      <c r="A63" s="78"/>
      <c r="B63" s="78"/>
      <c r="C63" s="72"/>
      <c r="D63" s="72"/>
      <c r="E63" s="75"/>
      <c r="F63" s="72"/>
      <c r="G63" s="3">
        <v>1</v>
      </c>
      <c r="H63" s="3">
        <v>2</v>
      </c>
      <c r="I63" s="3">
        <v>3</v>
      </c>
      <c r="J63" s="3">
        <v>4</v>
      </c>
      <c r="K63" s="3">
        <v>5</v>
      </c>
      <c r="L63" s="3">
        <v>6</v>
      </c>
      <c r="M63" s="3">
        <v>7</v>
      </c>
      <c r="N63" s="3">
        <v>8</v>
      </c>
      <c r="O63" s="3">
        <v>9</v>
      </c>
      <c r="P63" s="3">
        <v>10</v>
      </c>
      <c r="Q63" s="3">
        <v>11</v>
      </c>
      <c r="R63" s="3">
        <v>12</v>
      </c>
      <c r="S63" s="3">
        <v>13</v>
      </c>
      <c r="T63" s="3">
        <v>14</v>
      </c>
      <c r="U63" s="73"/>
      <c r="V63" s="16">
        <v>15</v>
      </c>
      <c r="W63" s="16">
        <v>16</v>
      </c>
      <c r="X63" s="16">
        <v>17</v>
      </c>
      <c r="Y63" s="16">
        <v>18</v>
      </c>
      <c r="Z63" s="16">
        <v>19</v>
      </c>
    </row>
    <row r="64" spans="1:26" ht="15.75" x14ac:dyDescent="0.25">
      <c r="A64" s="76">
        <v>1</v>
      </c>
      <c r="B64" s="96" t="s">
        <v>75</v>
      </c>
      <c r="C64" s="4" t="s">
        <v>54</v>
      </c>
      <c r="D64" s="4" t="s">
        <v>48</v>
      </c>
      <c r="E64" s="4">
        <v>31</v>
      </c>
      <c r="F64" s="4">
        <v>8</v>
      </c>
      <c r="G64" s="4">
        <v>4</v>
      </c>
      <c r="H64" s="4">
        <v>31</v>
      </c>
      <c r="I64" s="4">
        <v>2</v>
      </c>
      <c r="J64" s="5">
        <v>37</v>
      </c>
      <c r="K64" s="4">
        <v>1</v>
      </c>
      <c r="L64" s="4">
        <v>30</v>
      </c>
      <c r="M64" s="5">
        <v>3</v>
      </c>
      <c r="N64" s="4">
        <v>0</v>
      </c>
      <c r="O64" s="4">
        <v>3</v>
      </c>
      <c r="P64" s="5">
        <v>34</v>
      </c>
      <c r="Q64" s="4">
        <v>111</v>
      </c>
      <c r="R64" s="4">
        <v>0</v>
      </c>
      <c r="S64" s="4">
        <v>112</v>
      </c>
      <c r="T64" s="5">
        <v>3</v>
      </c>
      <c r="U64" s="5">
        <v>33</v>
      </c>
      <c r="V64" s="7">
        <v>3.6129032258064515</v>
      </c>
      <c r="W64" s="7">
        <v>45.161290322580641</v>
      </c>
      <c r="X64" s="7">
        <v>3.393939393939394</v>
      </c>
      <c r="Y64" s="6">
        <v>4.1212121212121211</v>
      </c>
      <c r="Z64" s="7">
        <v>4.125</v>
      </c>
    </row>
    <row r="65" spans="1:26" ht="15.75" x14ac:dyDescent="0.25">
      <c r="A65" s="77"/>
      <c r="B65" s="97"/>
      <c r="C65" s="8" t="s">
        <v>54</v>
      </c>
      <c r="D65" s="8" t="s">
        <v>48</v>
      </c>
      <c r="E65" s="4">
        <v>31</v>
      </c>
      <c r="F65" s="8">
        <v>8</v>
      </c>
      <c r="G65" s="8">
        <v>4</v>
      </c>
      <c r="H65" s="8">
        <v>31</v>
      </c>
      <c r="I65" s="8">
        <v>2</v>
      </c>
      <c r="J65" s="8">
        <v>37</v>
      </c>
      <c r="K65" s="8">
        <v>1</v>
      </c>
      <c r="L65" s="8">
        <v>30</v>
      </c>
      <c r="M65" s="8">
        <v>3</v>
      </c>
      <c r="N65" s="8">
        <v>0</v>
      </c>
      <c r="O65" s="8">
        <v>3</v>
      </c>
      <c r="P65" s="8">
        <v>34</v>
      </c>
      <c r="Q65" s="8">
        <v>111</v>
      </c>
      <c r="R65" s="8">
        <v>0</v>
      </c>
      <c r="S65" s="8">
        <v>112</v>
      </c>
      <c r="T65" s="8">
        <v>3</v>
      </c>
      <c r="U65" s="8">
        <v>33</v>
      </c>
      <c r="V65" s="24">
        <v>3.6129032258064515</v>
      </c>
      <c r="W65" s="24">
        <v>45.161290322580641</v>
      </c>
      <c r="X65" s="24">
        <v>3.393939393939394</v>
      </c>
      <c r="Y65" s="24">
        <v>4.1212121212121211</v>
      </c>
      <c r="Z65" s="24">
        <v>4.125</v>
      </c>
    </row>
    <row r="66" spans="1:26" ht="15.75" x14ac:dyDescent="0.25">
      <c r="A66" s="76">
        <v>2</v>
      </c>
      <c r="B66" s="97"/>
      <c r="C66" s="4" t="s">
        <v>47</v>
      </c>
      <c r="D66" s="4" t="s">
        <v>48</v>
      </c>
      <c r="E66" s="4">
        <v>31</v>
      </c>
      <c r="F66" s="4">
        <v>2</v>
      </c>
      <c r="G66" s="4">
        <v>0</v>
      </c>
      <c r="H66" s="4">
        <v>1</v>
      </c>
      <c r="I66" s="4">
        <v>0</v>
      </c>
      <c r="J66" s="5">
        <v>1</v>
      </c>
      <c r="K66" s="4">
        <v>0</v>
      </c>
      <c r="L66" s="4">
        <v>1</v>
      </c>
      <c r="M66" s="5">
        <v>0</v>
      </c>
      <c r="N66" s="4">
        <v>0</v>
      </c>
      <c r="O66" s="4">
        <v>0</v>
      </c>
      <c r="P66" s="5">
        <v>1</v>
      </c>
      <c r="Q66" s="4">
        <v>3</v>
      </c>
      <c r="R66" s="4">
        <v>0</v>
      </c>
      <c r="S66" s="4">
        <v>1</v>
      </c>
      <c r="T66" s="5">
        <v>0</v>
      </c>
      <c r="U66" s="5">
        <v>1</v>
      </c>
      <c r="V66" s="7">
        <v>3.2258064516129031E-2</v>
      </c>
      <c r="W66" s="7">
        <v>1.6129032258064515</v>
      </c>
      <c r="X66" s="7">
        <v>1</v>
      </c>
      <c r="Y66" s="6">
        <v>61</v>
      </c>
      <c r="Z66" s="7">
        <v>0.5</v>
      </c>
    </row>
    <row r="67" spans="1:26" ht="15.75" x14ac:dyDescent="0.25">
      <c r="A67" s="77"/>
      <c r="B67" s="97"/>
      <c r="C67" s="8" t="s">
        <v>47</v>
      </c>
      <c r="D67" s="8" t="s">
        <v>48</v>
      </c>
      <c r="E67" s="4">
        <v>31</v>
      </c>
      <c r="F67" s="8">
        <v>2</v>
      </c>
      <c r="G67" s="8">
        <v>0</v>
      </c>
      <c r="H67" s="8">
        <v>1</v>
      </c>
      <c r="I67" s="8">
        <v>0</v>
      </c>
      <c r="J67" s="8">
        <v>1</v>
      </c>
      <c r="K67" s="8">
        <v>0</v>
      </c>
      <c r="L67" s="8">
        <v>1</v>
      </c>
      <c r="M67" s="8">
        <v>0</v>
      </c>
      <c r="N67" s="8">
        <v>0</v>
      </c>
      <c r="O67" s="8">
        <v>0</v>
      </c>
      <c r="P67" s="8">
        <v>1</v>
      </c>
      <c r="Q67" s="8">
        <v>3</v>
      </c>
      <c r="R67" s="8">
        <v>0</v>
      </c>
      <c r="S67" s="8">
        <v>1</v>
      </c>
      <c r="T67" s="8">
        <v>0</v>
      </c>
      <c r="U67" s="8">
        <v>1</v>
      </c>
      <c r="V67" s="24">
        <v>3.2258064516129031E-2</v>
      </c>
      <c r="W67" s="24">
        <v>1.6129032258064515</v>
      </c>
      <c r="X67" s="24">
        <v>1</v>
      </c>
      <c r="Y67" s="24">
        <v>61</v>
      </c>
      <c r="Z67" s="24">
        <v>0.5</v>
      </c>
    </row>
    <row r="68" spans="1:26" ht="15.75" x14ac:dyDescent="0.25">
      <c r="A68" s="76">
        <v>3</v>
      </c>
      <c r="B68" s="97"/>
      <c r="C68" s="4" t="s">
        <v>42</v>
      </c>
      <c r="D68" s="4" t="s">
        <v>48</v>
      </c>
      <c r="E68" s="4">
        <v>31</v>
      </c>
      <c r="F68" s="4">
        <v>8</v>
      </c>
      <c r="G68" s="4">
        <v>6</v>
      </c>
      <c r="H68" s="4">
        <v>26</v>
      </c>
      <c r="I68" s="4">
        <v>16</v>
      </c>
      <c r="J68" s="5">
        <v>48</v>
      </c>
      <c r="K68" s="4">
        <v>7</v>
      </c>
      <c r="L68" s="4">
        <v>32</v>
      </c>
      <c r="M68" s="5">
        <v>5</v>
      </c>
      <c r="N68" s="4">
        <v>2</v>
      </c>
      <c r="O68" s="4">
        <v>3</v>
      </c>
      <c r="P68" s="5">
        <v>44</v>
      </c>
      <c r="Q68" s="4">
        <v>137</v>
      </c>
      <c r="R68" s="4">
        <v>0</v>
      </c>
      <c r="S68" s="4">
        <v>131</v>
      </c>
      <c r="T68" s="5">
        <v>4</v>
      </c>
      <c r="U68" s="5">
        <v>37</v>
      </c>
      <c r="V68" s="7">
        <v>4.225806451612903</v>
      </c>
      <c r="W68" s="7">
        <v>52.822580645161288</v>
      </c>
      <c r="X68" s="7">
        <v>3.5405405405405403</v>
      </c>
      <c r="Y68" s="6">
        <v>3.1621621621621623</v>
      </c>
      <c r="Z68" s="7">
        <v>4.625</v>
      </c>
    </row>
    <row r="69" spans="1:26" ht="15.75" x14ac:dyDescent="0.25">
      <c r="A69" s="77"/>
      <c r="B69" s="97"/>
      <c r="C69" s="8" t="s">
        <v>42</v>
      </c>
      <c r="D69" s="8" t="s">
        <v>48</v>
      </c>
      <c r="E69" s="4">
        <v>31</v>
      </c>
      <c r="F69" s="8">
        <v>8</v>
      </c>
      <c r="G69" s="8">
        <v>6</v>
      </c>
      <c r="H69" s="8">
        <v>26</v>
      </c>
      <c r="I69" s="8">
        <v>16</v>
      </c>
      <c r="J69" s="8">
        <v>48</v>
      </c>
      <c r="K69" s="8">
        <v>7</v>
      </c>
      <c r="L69" s="8">
        <v>32</v>
      </c>
      <c r="M69" s="8">
        <v>5</v>
      </c>
      <c r="N69" s="8">
        <v>2</v>
      </c>
      <c r="O69" s="8">
        <v>3</v>
      </c>
      <c r="P69" s="8">
        <v>44</v>
      </c>
      <c r="Q69" s="8">
        <v>137</v>
      </c>
      <c r="R69" s="8">
        <v>0</v>
      </c>
      <c r="S69" s="8">
        <v>131</v>
      </c>
      <c r="T69" s="8">
        <v>4</v>
      </c>
      <c r="U69" s="8">
        <v>37</v>
      </c>
      <c r="V69" s="24">
        <v>4.225806451612903</v>
      </c>
      <c r="W69" s="24">
        <v>52.822580645161288</v>
      </c>
      <c r="X69" s="24">
        <v>3.5405405405405403</v>
      </c>
      <c r="Y69" s="24">
        <v>3.1621621621621623</v>
      </c>
      <c r="Z69" s="24">
        <v>4.625</v>
      </c>
    </row>
    <row r="70" spans="1:26" ht="15.75" x14ac:dyDescent="0.25">
      <c r="A70" s="30" t="s">
        <v>75</v>
      </c>
      <c r="B70" s="25"/>
      <c r="C70" s="25"/>
      <c r="D70" s="25" t="s">
        <v>48</v>
      </c>
      <c r="E70" s="4">
        <v>31</v>
      </c>
      <c r="F70" s="20">
        <v>18</v>
      </c>
      <c r="G70" s="20">
        <v>10</v>
      </c>
      <c r="H70" s="20">
        <v>58</v>
      </c>
      <c r="I70" s="20">
        <v>18</v>
      </c>
      <c r="J70" s="11">
        <v>86</v>
      </c>
      <c r="K70" s="20">
        <v>8</v>
      </c>
      <c r="L70" s="20">
        <v>63</v>
      </c>
      <c r="M70" s="11">
        <v>8</v>
      </c>
      <c r="N70" s="20">
        <v>2</v>
      </c>
      <c r="O70" s="20">
        <v>6</v>
      </c>
      <c r="P70" s="11">
        <v>79</v>
      </c>
      <c r="Q70" s="20">
        <v>251</v>
      </c>
      <c r="R70" s="20">
        <v>0</v>
      </c>
      <c r="S70" s="20">
        <v>244</v>
      </c>
      <c r="T70" s="11">
        <v>7</v>
      </c>
      <c r="U70" s="11">
        <v>71</v>
      </c>
      <c r="V70" s="20">
        <v>7.870967741935484</v>
      </c>
      <c r="W70" s="12">
        <v>43.727598566308245</v>
      </c>
      <c r="X70" s="12">
        <v>3.436619718309859</v>
      </c>
      <c r="Y70" s="12">
        <v>4.422535211267606</v>
      </c>
      <c r="Z70" s="12">
        <v>3.9444444444444446</v>
      </c>
    </row>
    <row r="73" spans="1:26" x14ac:dyDescent="0.25">
      <c r="A73" s="78" t="s">
        <v>1</v>
      </c>
      <c r="B73" s="78" t="s">
        <v>2</v>
      </c>
      <c r="C73" s="72" t="s">
        <v>3</v>
      </c>
      <c r="D73" s="72" t="s">
        <v>4</v>
      </c>
      <c r="E73" s="75" t="s">
        <v>5</v>
      </c>
      <c r="F73" s="72" t="s">
        <v>6</v>
      </c>
      <c r="G73" s="72" t="s">
        <v>7</v>
      </c>
      <c r="H73" s="72" t="s">
        <v>8</v>
      </c>
      <c r="I73" s="75" t="s">
        <v>9</v>
      </c>
      <c r="J73" s="72" t="s">
        <v>10</v>
      </c>
      <c r="K73" s="72" t="s">
        <v>11</v>
      </c>
      <c r="L73" s="72" t="s">
        <v>12</v>
      </c>
      <c r="M73" s="72" t="s">
        <v>13</v>
      </c>
      <c r="N73" s="72" t="s">
        <v>14</v>
      </c>
      <c r="O73" s="72" t="s">
        <v>15</v>
      </c>
      <c r="P73" s="72" t="s">
        <v>16</v>
      </c>
      <c r="Q73" s="72" t="s">
        <v>17</v>
      </c>
      <c r="R73" s="72" t="s">
        <v>18</v>
      </c>
      <c r="S73" s="72" t="s">
        <v>19</v>
      </c>
      <c r="T73" s="72" t="s">
        <v>20</v>
      </c>
      <c r="U73" s="73" t="s">
        <v>21</v>
      </c>
      <c r="V73" s="2" t="s">
        <v>22</v>
      </c>
      <c r="W73" s="2" t="s">
        <v>23</v>
      </c>
      <c r="X73" s="2" t="s">
        <v>24</v>
      </c>
      <c r="Y73" s="2" t="s">
        <v>25</v>
      </c>
      <c r="Z73" s="2" t="s">
        <v>26</v>
      </c>
    </row>
    <row r="74" spans="1:26" x14ac:dyDescent="0.25">
      <c r="A74" s="78"/>
      <c r="B74" s="78"/>
      <c r="C74" s="72"/>
      <c r="D74" s="72"/>
      <c r="E74" s="75"/>
      <c r="F74" s="72"/>
      <c r="G74" s="72"/>
      <c r="H74" s="72"/>
      <c r="I74" s="75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3"/>
      <c r="V74" s="71" t="s">
        <v>27</v>
      </c>
      <c r="W74" s="71" t="s">
        <v>28</v>
      </c>
      <c r="X74" s="71" t="s">
        <v>29</v>
      </c>
      <c r="Y74" s="71" t="s">
        <v>30</v>
      </c>
      <c r="Z74" s="71" t="s">
        <v>31</v>
      </c>
    </row>
    <row r="75" spans="1:26" x14ac:dyDescent="0.25">
      <c r="A75" s="78"/>
      <c r="B75" s="78"/>
      <c r="C75" s="72"/>
      <c r="D75" s="72"/>
      <c r="E75" s="75"/>
      <c r="F75" s="72"/>
      <c r="G75" s="72"/>
      <c r="H75" s="72"/>
      <c r="I75" s="75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3"/>
      <c r="V75" s="74"/>
      <c r="W75" s="71"/>
      <c r="X75" s="71"/>
      <c r="Y75" s="71"/>
      <c r="Z75" s="71"/>
    </row>
    <row r="76" spans="1:26" x14ac:dyDescent="0.25">
      <c r="A76" s="78"/>
      <c r="B76" s="78"/>
      <c r="C76" s="72"/>
      <c r="D76" s="72"/>
      <c r="E76" s="75"/>
      <c r="F76" s="72"/>
      <c r="G76" s="3">
        <v>1</v>
      </c>
      <c r="H76" s="3">
        <v>2</v>
      </c>
      <c r="I76" s="3">
        <v>3</v>
      </c>
      <c r="J76" s="3">
        <v>4</v>
      </c>
      <c r="K76" s="3">
        <v>5</v>
      </c>
      <c r="L76" s="3">
        <v>6</v>
      </c>
      <c r="M76" s="3">
        <v>7</v>
      </c>
      <c r="N76" s="3">
        <v>8</v>
      </c>
      <c r="O76" s="3">
        <v>9</v>
      </c>
      <c r="P76" s="3">
        <v>10</v>
      </c>
      <c r="Q76" s="3">
        <v>11</v>
      </c>
      <c r="R76" s="3">
        <v>12</v>
      </c>
      <c r="S76" s="3">
        <v>13</v>
      </c>
      <c r="T76" s="3">
        <v>14</v>
      </c>
      <c r="U76" s="73"/>
      <c r="V76" s="16">
        <v>15</v>
      </c>
      <c r="W76" s="16">
        <v>16</v>
      </c>
      <c r="X76" s="16">
        <v>17</v>
      </c>
      <c r="Y76" s="16">
        <v>18</v>
      </c>
      <c r="Z76" s="16">
        <v>19</v>
      </c>
    </row>
    <row r="77" spans="1:26" ht="15.75" x14ac:dyDescent="0.25">
      <c r="A77" s="76">
        <v>1</v>
      </c>
      <c r="B77" s="96" t="s">
        <v>76</v>
      </c>
      <c r="C77" s="4" t="s">
        <v>44</v>
      </c>
      <c r="D77" s="4" t="s">
        <v>43</v>
      </c>
      <c r="E77" s="4">
        <v>31</v>
      </c>
      <c r="F77" s="4">
        <v>2</v>
      </c>
      <c r="G77" s="4">
        <v>3</v>
      </c>
      <c r="H77" s="4">
        <v>15</v>
      </c>
      <c r="I77" s="4">
        <v>2</v>
      </c>
      <c r="J77" s="5">
        <v>20</v>
      </c>
      <c r="K77" s="4">
        <v>2</v>
      </c>
      <c r="L77" s="4">
        <v>14</v>
      </c>
      <c r="M77" s="5">
        <v>1</v>
      </c>
      <c r="N77" s="4">
        <v>1</v>
      </c>
      <c r="O77" s="4">
        <v>0</v>
      </c>
      <c r="P77" s="5">
        <v>17</v>
      </c>
      <c r="Q77" s="4">
        <v>47</v>
      </c>
      <c r="R77" s="4">
        <v>0</v>
      </c>
      <c r="S77" s="4">
        <v>70</v>
      </c>
      <c r="T77" s="5">
        <v>3</v>
      </c>
      <c r="U77" s="5">
        <v>15</v>
      </c>
      <c r="V77" s="7">
        <v>2.2580645161290325</v>
      </c>
      <c r="W77" s="7">
        <v>112.90322580645163</v>
      </c>
      <c r="X77" s="7">
        <v>4.666666666666667</v>
      </c>
      <c r="Y77" s="6">
        <v>-0.53333333333333377</v>
      </c>
      <c r="Z77" s="7">
        <v>7.5</v>
      </c>
    </row>
    <row r="78" spans="1:26" ht="15.75" x14ac:dyDescent="0.25">
      <c r="A78" s="77"/>
      <c r="B78" s="97"/>
      <c r="C78" s="8" t="s">
        <v>44</v>
      </c>
      <c r="D78" s="8" t="s">
        <v>43</v>
      </c>
      <c r="E78" s="4">
        <v>31</v>
      </c>
      <c r="F78" s="8">
        <v>2</v>
      </c>
      <c r="G78" s="8">
        <v>3</v>
      </c>
      <c r="H78" s="8">
        <v>15</v>
      </c>
      <c r="I78" s="8">
        <v>2</v>
      </c>
      <c r="J78" s="8">
        <v>20</v>
      </c>
      <c r="K78" s="8">
        <v>2</v>
      </c>
      <c r="L78" s="8">
        <v>14</v>
      </c>
      <c r="M78" s="8">
        <v>1</v>
      </c>
      <c r="N78" s="8">
        <v>1</v>
      </c>
      <c r="O78" s="8">
        <v>0</v>
      </c>
      <c r="P78" s="8">
        <v>17</v>
      </c>
      <c r="Q78" s="8">
        <v>47</v>
      </c>
      <c r="R78" s="8">
        <v>0</v>
      </c>
      <c r="S78" s="8">
        <v>70</v>
      </c>
      <c r="T78" s="8">
        <v>3</v>
      </c>
      <c r="U78" s="8">
        <v>15</v>
      </c>
      <c r="V78" s="24">
        <v>2.2580645161290325</v>
      </c>
      <c r="W78" s="24">
        <v>112.90322580645163</v>
      </c>
      <c r="X78" s="24">
        <v>4.666666666666667</v>
      </c>
      <c r="Y78" s="24">
        <v>-0.53333333333333377</v>
      </c>
      <c r="Z78" s="24">
        <v>7.5</v>
      </c>
    </row>
    <row r="79" spans="1:26" ht="15.75" x14ac:dyDescent="0.25">
      <c r="A79" s="76">
        <v>2</v>
      </c>
      <c r="B79" s="97"/>
      <c r="C79" s="4" t="s">
        <v>47</v>
      </c>
      <c r="D79" s="4" t="s">
        <v>43</v>
      </c>
      <c r="E79" s="4">
        <v>31</v>
      </c>
      <c r="F79" s="4">
        <v>13</v>
      </c>
      <c r="G79" s="4">
        <v>14</v>
      </c>
      <c r="H79" s="4">
        <v>105</v>
      </c>
      <c r="I79" s="4">
        <v>16</v>
      </c>
      <c r="J79" s="5">
        <v>135</v>
      </c>
      <c r="K79" s="4">
        <v>12</v>
      </c>
      <c r="L79" s="4">
        <v>109</v>
      </c>
      <c r="M79" s="5">
        <v>7</v>
      </c>
      <c r="N79" s="4">
        <v>1</v>
      </c>
      <c r="O79" s="4">
        <v>6</v>
      </c>
      <c r="P79" s="5">
        <v>128</v>
      </c>
      <c r="Q79" s="4">
        <v>376</v>
      </c>
      <c r="R79" s="4">
        <v>0</v>
      </c>
      <c r="S79" s="4">
        <v>362</v>
      </c>
      <c r="T79" s="5">
        <v>7</v>
      </c>
      <c r="U79" s="5">
        <v>116</v>
      </c>
      <c r="V79" s="7">
        <v>11.67741935483871</v>
      </c>
      <c r="W79" s="7">
        <v>89.826302729528535</v>
      </c>
      <c r="X79" s="7">
        <v>3.1206896551724137</v>
      </c>
      <c r="Y79" s="6">
        <v>0.35344827586206889</v>
      </c>
      <c r="Z79" s="7">
        <v>8.9230769230769234</v>
      </c>
    </row>
    <row r="80" spans="1:26" ht="15.75" x14ac:dyDescent="0.25">
      <c r="A80" s="77"/>
      <c r="B80" s="97"/>
      <c r="C80" s="8" t="s">
        <v>47</v>
      </c>
      <c r="D80" s="8" t="s">
        <v>43</v>
      </c>
      <c r="E80" s="4">
        <v>31</v>
      </c>
      <c r="F80" s="8">
        <v>13</v>
      </c>
      <c r="G80" s="8">
        <v>14</v>
      </c>
      <c r="H80" s="8">
        <v>105</v>
      </c>
      <c r="I80" s="8">
        <v>16</v>
      </c>
      <c r="J80" s="8">
        <v>135</v>
      </c>
      <c r="K80" s="8">
        <v>12</v>
      </c>
      <c r="L80" s="8">
        <v>109</v>
      </c>
      <c r="M80" s="8">
        <v>7</v>
      </c>
      <c r="N80" s="8">
        <v>1</v>
      </c>
      <c r="O80" s="8">
        <v>6</v>
      </c>
      <c r="P80" s="8">
        <v>128</v>
      </c>
      <c r="Q80" s="8">
        <v>376</v>
      </c>
      <c r="R80" s="8">
        <v>0</v>
      </c>
      <c r="S80" s="8">
        <v>362</v>
      </c>
      <c r="T80" s="8">
        <v>7</v>
      </c>
      <c r="U80" s="8">
        <v>116</v>
      </c>
      <c r="V80" s="24">
        <v>11.67741935483871</v>
      </c>
      <c r="W80" s="24">
        <v>89.826302729528535</v>
      </c>
      <c r="X80" s="24">
        <v>3.1206896551724137</v>
      </c>
      <c r="Y80" s="24">
        <v>0.35344827586206889</v>
      </c>
      <c r="Z80" s="24">
        <v>8.9230769230769234</v>
      </c>
    </row>
    <row r="81" spans="1:26" ht="15.75" x14ac:dyDescent="0.25">
      <c r="A81" s="76">
        <v>3</v>
      </c>
      <c r="B81" s="97"/>
      <c r="C81" s="4" t="s">
        <v>56</v>
      </c>
      <c r="D81" s="4" t="s">
        <v>43</v>
      </c>
      <c r="E81" s="4">
        <v>31</v>
      </c>
      <c r="F81" s="4">
        <v>2</v>
      </c>
      <c r="G81" s="4">
        <v>0</v>
      </c>
      <c r="H81" s="4">
        <v>9</v>
      </c>
      <c r="I81" s="4">
        <v>8</v>
      </c>
      <c r="J81" s="5">
        <v>17</v>
      </c>
      <c r="K81" s="4">
        <v>5</v>
      </c>
      <c r="L81" s="4">
        <v>11</v>
      </c>
      <c r="M81" s="5">
        <v>0</v>
      </c>
      <c r="N81" s="4">
        <v>0</v>
      </c>
      <c r="O81" s="4">
        <v>0</v>
      </c>
      <c r="P81" s="5">
        <v>16</v>
      </c>
      <c r="Q81" s="4">
        <v>29</v>
      </c>
      <c r="R81" s="4">
        <v>0</v>
      </c>
      <c r="S81" s="4">
        <v>26</v>
      </c>
      <c r="T81" s="5">
        <v>1</v>
      </c>
      <c r="U81" s="5">
        <v>11</v>
      </c>
      <c r="V81" s="7">
        <v>0.83870967741935487</v>
      </c>
      <c r="W81" s="7">
        <v>41.935483870967744</v>
      </c>
      <c r="X81" s="7">
        <v>2.3636363636363638</v>
      </c>
      <c r="Y81" s="6">
        <v>3.272727272727272</v>
      </c>
      <c r="Z81" s="7">
        <v>5.5</v>
      </c>
    </row>
    <row r="82" spans="1:26" ht="15.75" x14ac:dyDescent="0.25">
      <c r="A82" s="98"/>
      <c r="B82" s="97"/>
      <c r="C82" s="4" t="s">
        <v>60</v>
      </c>
      <c r="D82" s="4" t="s">
        <v>43</v>
      </c>
      <c r="E82" s="4">
        <v>31</v>
      </c>
      <c r="F82" s="4">
        <v>2</v>
      </c>
      <c r="G82" s="4">
        <v>0</v>
      </c>
      <c r="H82" s="4">
        <v>0</v>
      </c>
      <c r="I82" s="4">
        <v>3</v>
      </c>
      <c r="J82" s="5">
        <v>3</v>
      </c>
      <c r="K82" s="4">
        <v>0</v>
      </c>
      <c r="L82" s="4">
        <v>2</v>
      </c>
      <c r="M82" s="5">
        <v>0</v>
      </c>
      <c r="N82" s="4">
        <v>0</v>
      </c>
      <c r="O82" s="4">
        <v>0</v>
      </c>
      <c r="P82" s="5">
        <v>2</v>
      </c>
      <c r="Q82" s="4">
        <v>3</v>
      </c>
      <c r="R82" s="4">
        <v>0</v>
      </c>
      <c r="S82" s="4">
        <v>3</v>
      </c>
      <c r="T82" s="5">
        <v>1</v>
      </c>
      <c r="U82" s="5">
        <v>2</v>
      </c>
      <c r="V82" s="7">
        <v>9.6774193548387094E-2</v>
      </c>
      <c r="W82" s="7">
        <v>4.838709677419355</v>
      </c>
      <c r="X82" s="7">
        <v>1.5</v>
      </c>
      <c r="Y82" s="6">
        <v>29.5</v>
      </c>
      <c r="Z82" s="7">
        <v>1</v>
      </c>
    </row>
    <row r="83" spans="1:26" ht="15.75" x14ac:dyDescent="0.25">
      <c r="A83" s="77"/>
      <c r="B83" s="97"/>
      <c r="C83" s="8" t="s">
        <v>77</v>
      </c>
      <c r="D83" s="8" t="s">
        <v>43</v>
      </c>
      <c r="E83" s="4">
        <v>31</v>
      </c>
      <c r="F83" s="8">
        <v>4</v>
      </c>
      <c r="G83" s="8">
        <v>0</v>
      </c>
      <c r="H83" s="8">
        <v>9</v>
      </c>
      <c r="I83" s="8">
        <v>11</v>
      </c>
      <c r="J83" s="8">
        <v>20</v>
      </c>
      <c r="K83" s="8">
        <v>5</v>
      </c>
      <c r="L83" s="8">
        <v>13</v>
      </c>
      <c r="M83" s="8">
        <v>0</v>
      </c>
      <c r="N83" s="8">
        <v>0</v>
      </c>
      <c r="O83" s="8">
        <v>0</v>
      </c>
      <c r="P83" s="8">
        <v>18</v>
      </c>
      <c r="Q83" s="8">
        <v>32</v>
      </c>
      <c r="R83" s="8">
        <v>0</v>
      </c>
      <c r="S83" s="8">
        <v>29</v>
      </c>
      <c r="T83" s="8">
        <v>2</v>
      </c>
      <c r="U83" s="8">
        <v>13</v>
      </c>
      <c r="V83" s="24">
        <v>0.93548387096774188</v>
      </c>
      <c r="W83" s="24">
        <v>23.387096774193548</v>
      </c>
      <c r="X83" s="24">
        <v>2.2307692307692308</v>
      </c>
      <c r="Y83" s="24">
        <v>7.3076923076923075</v>
      </c>
      <c r="Z83" s="24">
        <v>3.25</v>
      </c>
    </row>
    <row r="84" spans="1:26" ht="15.75" x14ac:dyDescent="0.25">
      <c r="A84" s="76">
        <v>4</v>
      </c>
      <c r="B84" s="97"/>
      <c r="C84" s="5" t="s">
        <v>42</v>
      </c>
      <c r="D84" s="5" t="s">
        <v>43</v>
      </c>
      <c r="E84" s="4">
        <v>31</v>
      </c>
      <c r="F84" s="5">
        <v>3</v>
      </c>
      <c r="G84" s="5">
        <v>4</v>
      </c>
      <c r="H84" s="5">
        <v>37</v>
      </c>
      <c r="I84" s="5">
        <v>5</v>
      </c>
      <c r="J84" s="5">
        <v>46</v>
      </c>
      <c r="K84" s="5">
        <v>8</v>
      </c>
      <c r="L84" s="5">
        <v>33</v>
      </c>
      <c r="M84" s="5">
        <v>3</v>
      </c>
      <c r="N84" s="5">
        <v>2</v>
      </c>
      <c r="O84" s="5">
        <v>1</v>
      </c>
      <c r="P84" s="5">
        <v>44</v>
      </c>
      <c r="Q84" s="5">
        <v>115</v>
      </c>
      <c r="R84" s="5">
        <v>1</v>
      </c>
      <c r="S84" s="5">
        <v>114</v>
      </c>
      <c r="T84" s="5">
        <v>2</v>
      </c>
      <c r="U84" s="5">
        <v>36</v>
      </c>
      <c r="V84" s="7">
        <v>3.6774193548387095</v>
      </c>
      <c r="W84" s="7">
        <v>122.58064516129032</v>
      </c>
      <c r="X84" s="7">
        <v>3.1666666666666665</v>
      </c>
      <c r="Y84" s="6">
        <v>-0.58333333333333326</v>
      </c>
      <c r="Z84" s="7">
        <v>12</v>
      </c>
    </row>
    <row r="85" spans="1:26" ht="15.75" x14ac:dyDescent="0.25">
      <c r="A85" s="77"/>
      <c r="B85" s="97"/>
      <c r="C85" s="8" t="s">
        <v>42</v>
      </c>
      <c r="D85" s="8" t="s">
        <v>43</v>
      </c>
      <c r="E85" s="4">
        <v>31</v>
      </c>
      <c r="F85" s="8">
        <v>3</v>
      </c>
      <c r="G85" s="8">
        <v>4</v>
      </c>
      <c r="H85" s="8">
        <v>37</v>
      </c>
      <c r="I85" s="8">
        <v>5</v>
      </c>
      <c r="J85" s="8">
        <v>46</v>
      </c>
      <c r="K85" s="8">
        <v>8</v>
      </c>
      <c r="L85" s="8">
        <v>33</v>
      </c>
      <c r="M85" s="8">
        <v>3</v>
      </c>
      <c r="N85" s="8">
        <v>2</v>
      </c>
      <c r="O85" s="8">
        <v>1</v>
      </c>
      <c r="P85" s="8">
        <v>44</v>
      </c>
      <c r="Q85" s="8">
        <v>115</v>
      </c>
      <c r="R85" s="8">
        <v>1</v>
      </c>
      <c r="S85" s="8">
        <v>114</v>
      </c>
      <c r="T85" s="8">
        <v>2</v>
      </c>
      <c r="U85" s="8">
        <v>36</v>
      </c>
      <c r="V85" s="24">
        <v>3.6774193548387095</v>
      </c>
      <c r="W85" s="24">
        <v>122.58064516129032</v>
      </c>
      <c r="X85" s="24">
        <v>3.1666666666666665</v>
      </c>
      <c r="Y85" s="24">
        <v>-0.58333333333333326</v>
      </c>
      <c r="Z85" s="24">
        <v>12</v>
      </c>
    </row>
    <row r="86" spans="1:26" ht="15.75" x14ac:dyDescent="0.25">
      <c r="A86" s="76">
        <v>5</v>
      </c>
      <c r="B86" s="97"/>
      <c r="C86" s="5" t="s">
        <v>46</v>
      </c>
      <c r="D86" s="5" t="s">
        <v>43</v>
      </c>
      <c r="E86" s="4">
        <v>31</v>
      </c>
      <c r="F86" s="5">
        <v>14</v>
      </c>
      <c r="G86" s="5">
        <v>8</v>
      </c>
      <c r="H86" s="5">
        <v>75</v>
      </c>
      <c r="I86" s="5">
        <v>9</v>
      </c>
      <c r="J86" s="5">
        <v>92</v>
      </c>
      <c r="K86" s="5">
        <v>13</v>
      </c>
      <c r="L86" s="5">
        <v>74</v>
      </c>
      <c r="M86" s="5">
        <v>3</v>
      </c>
      <c r="N86" s="5">
        <v>2</v>
      </c>
      <c r="O86" s="5">
        <v>1</v>
      </c>
      <c r="P86" s="5">
        <v>90</v>
      </c>
      <c r="Q86" s="5">
        <v>296</v>
      </c>
      <c r="R86" s="5">
        <v>1</v>
      </c>
      <c r="S86" s="5">
        <v>264</v>
      </c>
      <c r="T86" s="5">
        <v>2</v>
      </c>
      <c r="U86" s="5">
        <v>77</v>
      </c>
      <c r="V86" s="7">
        <v>8.5161290322580641</v>
      </c>
      <c r="W86" s="7">
        <v>60.829493087557594</v>
      </c>
      <c r="X86" s="7">
        <v>3.4285714285714284</v>
      </c>
      <c r="Y86" s="6">
        <v>2.2077922077922079</v>
      </c>
      <c r="Z86" s="7">
        <v>5.5</v>
      </c>
    </row>
    <row r="87" spans="1:26" ht="15.75" x14ac:dyDescent="0.25">
      <c r="A87" s="77"/>
      <c r="B87" s="97"/>
      <c r="C87" s="8" t="s">
        <v>46</v>
      </c>
      <c r="D87" s="8" t="s">
        <v>43</v>
      </c>
      <c r="E87" s="4">
        <v>31</v>
      </c>
      <c r="F87" s="8">
        <v>14</v>
      </c>
      <c r="G87" s="8">
        <v>8</v>
      </c>
      <c r="H87" s="8">
        <v>75</v>
      </c>
      <c r="I87" s="8">
        <v>9</v>
      </c>
      <c r="J87" s="8">
        <v>92</v>
      </c>
      <c r="K87" s="8">
        <v>13</v>
      </c>
      <c r="L87" s="8">
        <v>74</v>
      </c>
      <c r="M87" s="8">
        <v>3</v>
      </c>
      <c r="N87" s="8">
        <v>2</v>
      </c>
      <c r="O87" s="8">
        <v>1</v>
      </c>
      <c r="P87" s="8">
        <v>90</v>
      </c>
      <c r="Q87" s="8">
        <v>296</v>
      </c>
      <c r="R87" s="8">
        <v>1</v>
      </c>
      <c r="S87" s="8">
        <v>264</v>
      </c>
      <c r="T87" s="8">
        <v>2</v>
      </c>
      <c r="U87" s="8">
        <v>77</v>
      </c>
      <c r="V87" s="24">
        <v>8.5161290322580641</v>
      </c>
      <c r="W87" s="24">
        <v>60.829493087557594</v>
      </c>
      <c r="X87" s="24">
        <v>3.4285714285714284</v>
      </c>
      <c r="Y87" s="24">
        <v>2.2077922077922079</v>
      </c>
      <c r="Z87" s="24">
        <v>5.5</v>
      </c>
    </row>
    <row r="88" spans="1:26" ht="15.75" x14ac:dyDescent="0.25">
      <c r="A88" s="79" t="s">
        <v>86</v>
      </c>
      <c r="B88" s="80"/>
      <c r="C88" s="80"/>
      <c r="D88" s="81"/>
      <c r="E88" s="4">
        <v>31</v>
      </c>
      <c r="F88" s="20">
        <v>36</v>
      </c>
      <c r="G88" s="20">
        <v>29</v>
      </c>
      <c r="H88" s="20">
        <v>241</v>
      </c>
      <c r="I88" s="20">
        <v>43</v>
      </c>
      <c r="J88" s="11">
        <v>313</v>
      </c>
      <c r="K88" s="20">
        <v>40</v>
      </c>
      <c r="L88" s="20">
        <v>243</v>
      </c>
      <c r="M88" s="11">
        <v>14</v>
      </c>
      <c r="N88" s="20">
        <v>6</v>
      </c>
      <c r="O88" s="20">
        <v>8</v>
      </c>
      <c r="P88" s="11">
        <v>297</v>
      </c>
      <c r="Q88" s="20">
        <v>866</v>
      </c>
      <c r="R88" s="20">
        <v>2</v>
      </c>
      <c r="S88" s="20">
        <v>839</v>
      </c>
      <c r="T88" s="11">
        <v>16</v>
      </c>
      <c r="U88" s="11">
        <v>257</v>
      </c>
      <c r="V88" s="22">
        <v>27.06451612903226</v>
      </c>
      <c r="W88" s="12">
        <v>75.179211469534053</v>
      </c>
      <c r="X88" s="12">
        <v>3.2645914396887159</v>
      </c>
      <c r="Y88" s="12">
        <v>1.0778210116731515</v>
      </c>
      <c r="Z88" s="12">
        <v>7.1388888888888893</v>
      </c>
    </row>
    <row r="91" spans="1:26" x14ac:dyDescent="0.25">
      <c r="A91" s="78" t="s">
        <v>1</v>
      </c>
      <c r="B91" s="78" t="s">
        <v>2</v>
      </c>
      <c r="C91" s="72" t="s">
        <v>3</v>
      </c>
      <c r="D91" s="72" t="s">
        <v>4</v>
      </c>
      <c r="E91" s="75" t="s">
        <v>5</v>
      </c>
      <c r="F91" s="72" t="s">
        <v>6</v>
      </c>
      <c r="G91" s="72" t="s">
        <v>7</v>
      </c>
      <c r="H91" s="72" t="s">
        <v>8</v>
      </c>
      <c r="I91" s="75" t="s">
        <v>9</v>
      </c>
      <c r="J91" s="72" t="s">
        <v>10</v>
      </c>
      <c r="K91" s="72" t="s">
        <v>11</v>
      </c>
      <c r="L91" s="72" t="s">
        <v>12</v>
      </c>
      <c r="M91" s="72" t="s">
        <v>13</v>
      </c>
      <c r="N91" s="72" t="s">
        <v>14</v>
      </c>
      <c r="O91" s="72" t="s">
        <v>15</v>
      </c>
      <c r="P91" s="72" t="s">
        <v>16</v>
      </c>
      <c r="Q91" s="72" t="s">
        <v>17</v>
      </c>
      <c r="R91" s="72" t="s">
        <v>18</v>
      </c>
      <c r="S91" s="72" t="s">
        <v>19</v>
      </c>
      <c r="T91" s="72" t="s">
        <v>20</v>
      </c>
      <c r="U91" s="73" t="s">
        <v>21</v>
      </c>
      <c r="V91" s="2" t="s">
        <v>22</v>
      </c>
      <c r="W91" s="2" t="s">
        <v>23</v>
      </c>
      <c r="X91" s="2" t="s">
        <v>24</v>
      </c>
      <c r="Y91" s="2" t="s">
        <v>25</v>
      </c>
      <c r="Z91" s="2" t="s">
        <v>26</v>
      </c>
    </row>
    <row r="92" spans="1:26" x14ac:dyDescent="0.25">
      <c r="A92" s="78"/>
      <c r="B92" s="78"/>
      <c r="C92" s="72"/>
      <c r="D92" s="72"/>
      <c r="E92" s="75"/>
      <c r="F92" s="72"/>
      <c r="G92" s="72"/>
      <c r="H92" s="72"/>
      <c r="I92" s="75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3"/>
      <c r="V92" s="71" t="s">
        <v>27</v>
      </c>
      <c r="W92" s="71" t="s">
        <v>28</v>
      </c>
      <c r="X92" s="71" t="s">
        <v>29</v>
      </c>
      <c r="Y92" s="71" t="s">
        <v>30</v>
      </c>
      <c r="Z92" s="71" t="s">
        <v>31</v>
      </c>
    </row>
    <row r="93" spans="1:26" x14ac:dyDescent="0.25">
      <c r="A93" s="78"/>
      <c r="B93" s="78"/>
      <c r="C93" s="72"/>
      <c r="D93" s="72"/>
      <c r="E93" s="75"/>
      <c r="F93" s="72"/>
      <c r="G93" s="72"/>
      <c r="H93" s="72"/>
      <c r="I93" s="75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3"/>
      <c r="V93" s="74"/>
      <c r="W93" s="71"/>
      <c r="X93" s="71"/>
      <c r="Y93" s="71"/>
      <c r="Z93" s="71"/>
    </row>
    <row r="94" spans="1:26" x14ac:dyDescent="0.25">
      <c r="A94" s="78"/>
      <c r="B94" s="78"/>
      <c r="C94" s="72"/>
      <c r="D94" s="72"/>
      <c r="E94" s="75"/>
      <c r="F94" s="72"/>
      <c r="G94" s="3">
        <v>1</v>
      </c>
      <c r="H94" s="3">
        <v>2</v>
      </c>
      <c r="I94" s="3">
        <v>3</v>
      </c>
      <c r="J94" s="3">
        <v>4</v>
      </c>
      <c r="K94" s="3">
        <v>5</v>
      </c>
      <c r="L94" s="3">
        <v>6</v>
      </c>
      <c r="M94" s="3">
        <v>7</v>
      </c>
      <c r="N94" s="3">
        <v>8</v>
      </c>
      <c r="O94" s="3">
        <v>9</v>
      </c>
      <c r="P94" s="3">
        <v>10</v>
      </c>
      <c r="Q94" s="3">
        <v>11</v>
      </c>
      <c r="R94" s="3">
        <v>12</v>
      </c>
      <c r="S94" s="3">
        <v>13</v>
      </c>
      <c r="T94" s="3">
        <v>14</v>
      </c>
      <c r="U94" s="73"/>
      <c r="V94" s="16">
        <v>15</v>
      </c>
      <c r="W94" s="16">
        <v>16</v>
      </c>
      <c r="X94" s="16">
        <v>17</v>
      </c>
      <c r="Y94" s="16">
        <v>18</v>
      </c>
      <c r="Z94" s="16">
        <v>19</v>
      </c>
    </row>
    <row r="95" spans="1:26" ht="15.75" x14ac:dyDescent="0.25">
      <c r="A95" s="76">
        <v>1</v>
      </c>
      <c r="B95" s="96" t="s">
        <v>78</v>
      </c>
      <c r="C95" s="4" t="s">
        <v>44</v>
      </c>
      <c r="D95" s="4" t="s">
        <v>36</v>
      </c>
      <c r="E95" s="4">
        <v>31</v>
      </c>
      <c r="F95" s="4">
        <v>4</v>
      </c>
      <c r="G95" s="4">
        <v>4</v>
      </c>
      <c r="H95" s="4">
        <v>23</v>
      </c>
      <c r="I95" s="4">
        <v>6</v>
      </c>
      <c r="J95" s="5">
        <v>33</v>
      </c>
      <c r="K95" s="4">
        <v>1</v>
      </c>
      <c r="L95" s="4">
        <v>26</v>
      </c>
      <c r="M95" s="5">
        <v>2</v>
      </c>
      <c r="N95" s="4">
        <v>2</v>
      </c>
      <c r="O95" s="4">
        <v>0</v>
      </c>
      <c r="P95" s="5">
        <v>29</v>
      </c>
      <c r="Q95" s="4">
        <v>111</v>
      </c>
      <c r="R95" s="4">
        <v>2</v>
      </c>
      <c r="S95" s="4">
        <v>106</v>
      </c>
      <c r="T95" s="5">
        <v>4</v>
      </c>
      <c r="U95" s="5">
        <v>28</v>
      </c>
      <c r="V95" s="7">
        <v>3.4193548387096775</v>
      </c>
      <c r="W95" s="7">
        <v>85.483870967741936</v>
      </c>
      <c r="X95" s="7">
        <v>3.7857142857142856</v>
      </c>
      <c r="Y95" s="6">
        <v>0.64285714285714268</v>
      </c>
      <c r="Z95" s="7">
        <v>7</v>
      </c>
    </row>
    <row r="96" spans="1:26" ht="15.75" x14ac:dyDescent="0.25">
      <c r="A96" s="77"/>
      <c r="B96" s="97"/>
      <c r="C96" s="8" t="s">
        <v>44</v>
      </c>
      <c r="D96" s="8" t="s">
        <v>36</v>
      </c>
      <c r="E96" s="4">
        <v>31</v>
      </c>
      <c r="F96" s="8">
        <v>4</v>
      </c>
      <c r="G96" s="8">
        <v>4</v>
      </c>
      <c r="H96" s="8">
        <v>23</v>
      </c>
      <c r="I96" s="8">
        <v>6</v>
      </c>
      <c r="J96" s="8">
        <v>33</v>
      </c>
      <c r="K96" s="8">
        <v>1</v>
      </c>
      <c r="L96" s="8">
        <v>26</v>
      </c>
      <c r="M96" s="8">
        <v>2</v>
      </c>
      <c r="N96" s="8">
        <v>2</v>
      </c>
      <c r="O96" s="8">
        <v>0</v>
      </c>
      <c r="P96" s="8">
        <v>29</v>
      </c>
      <c r="Q96" s="8">
        <v>111</v>
      </c>
      <c r="R96" s="8">
        <v>2</v>
      </c>
      <c r="S96" s="8">
        <v>106</v>
      </c>
      <c r="T96" s="8">
        <v>4</v>
      </c>
      <c r="U96" s="8">
        <v>28</v>
      </c>
      <c r="V96" s="24">
        <v>3.4193548387096775</v>
      </c>
      <c r="W96" s="24">
        <v>85.483870967741936</v>
      </c>
      <c r="X96" s="24">
        <v>3.7857142857142856</v>
      </c>
      <c r="Y96" s="24">
        <v>0.64285714285714268</v>
      </c>
      <c r="Z96" s="24">
        <v>7</v>
      </c>
    </row>
    <row r="97" spans="1:26" ht="15.75" x14ac:dyDescent="0.25">
      <c r="A97" s="76">
        <v>2</v>
      </c>
      <c r="B97" s="97"/>
      <c r="C97" s="4" t="s">
        <v>45</v>
      </c>
      <c r="D97" s="4" t="s">
        <v>36</v>
      </c>
      <c r="E97" s="4">
        <v>31</v>
      </c>
      <c r="F97" s="4">
        <v>8</v>
      </c>
      <c r="G97" s="4">
        <v>4</v>
      </c>
      <c r="H97" s="4">
        <v>51</v>
      </c>
      <c r="I97" s="4">
        <v>5</v>
      </c>
      <c r="J97" s="5">
        <v>60</v>
      </c>
      <c r="K97" s="4">
        <v>10</v>
      </c>
      <c r="L97" s="4">
        <v>44</v>
      </c>
      <c r="M97" s="5">
        <v>2</v>
      </c>
      <c r="N97" s="4">
        <v>0</v>
      </c>
      <c r="O97" s="4">
        <v>2</v>
      </c>
      <c r="P97" s="5">
        <v>56</v>
      </c>
      <c r="Q97" s="4">
        <v>144</v>
      </c>
      <c r="R97" s="4">
        <v>2</v>
      </c>
      <c r="S97" s="4">
        <v>120</v>
      </c>
      <c r="T97" s="5">
        <v>4</v>
      </c>
      <c r="U97" s="5">
        <v>46</v>
      </c>
      <c r="V97" s="7">
        <v>3.870967741935484</v>
      </c>
      <c r="W97" s="7">
        <v>48.387096774193552</v>
      </c>
      <c r="X97" s="7">
        <v>2.6086956521739131</v>
      </c>
      <c r="Y97" s="6">
        <v>2.7826086956521738</v>
      </c>
      <c r="Z97" s="7">
        <v>5.75</v>
      </c>
    </row>
    <row r="98" spans="1:26" ht="15.75" x14ac:dyDescent="0.25">
      <c r="A98" s="77"/>
      <c r="B98" s="97"/>
      <c r="C98" s="8" t="s">
        <v>45</v>
      </c>
      <c r="D98" s="8" t="s">
        <v>36</v>
      </c>
      <c r="E98" s="4">
        <v>31</v>
      </c>
      <c r="F98" s="8">
        <v>8</v>
      </c>
      <c r="G98" s="8">
        <v>4</v>
      </c>
      <c r="H98" s="8">
        <v>51</v>
      </c>
      <c r="I98" s="8">
        <v>5</v>
      </c>
      <c r="J98" s="8">
        <v>60</v>
      </c>
      <c r="K98" s="8">
        <v>10</v>
      </c>
      <c r="L98" s="8">
        <v>44</v>
      </c>
      <c r="M98" s="8">
        <v>2</v>
      </c>
      <c r="N98" s="8">
        <v>0</v>
      </c>
      <c r="O98" s="8">
        <v>2</v>
      </c>
      <c r="P98" s="8">
        <v>56</v>
      </c>
      <c r="Q98" s="8">
        <v>144</v>
      </c>
      <c r="R98" s="8">
        <v>2</v>
      </c>
      <c r="S98" s="8">
        <v>120</v>
      </c>
      <c r="T98" s="8">
        <v>4</v>
      </c>
      <c r="U98" s="8">
        <v>46</v>
      </c>
      <c r="V98" s="24">
        <v>3.870967741935484</v>
      </c>
      <c r="W98" s="24">
        <v>48.387096774193552</v>
      </c>
      <c r="X98" s="24">
        <v>2.6086956521739131</v>
      </c>
      <c r="Y98" s="24">
        <v>2.7826086956521738</v>
      </c>
      <c r="Z98" s="24">
        <v>5.75</v>
      </c>
    </row>
    <row r="99" spans="1:26" ht="15.75" x14ac:dyDescent="0.25">
      <c r="A99" s="76">
        <v>3</v>
      </c>
      <c r="B99" s="97"/>
      <c r="C99" s="4" t="s">
        <v>56</v>
      </c>
      <c r="D99" s="4" t="s">
        <v>36</v>
      </c>
      <c r="E99" s="4">
        <v>31</v>
      </c>
      <c r="F99" s="4">
        <v>8</v>
      </c>
      <c r="G99" s="4">
        <v>7</v>
      </c>
      <c r="H99" s="4">
        <v>24</v>
      </c>
      <c r="I99" s="4">
        <v>129</v>
      </c>
      <c r="J99" s="5">
        <v>160</v>
      </c>
      <c r="K99" s="4">
        <v>140</v>
      </c>
      <c r="L99" s="4">
        <v>17</v>
      </c>
      <c r="M99" s="5">
        <v>1</v>
      </c>
      <c r="N99" s="4">
        <v>0</v>
      </c>
      <c r="O99" s="4">
        <v>1</v>
      </c>
      <c r="P99" s="5">
        <v>158</v>
      </c>
      <c r="Q99" s="4">
        <v>42</v>
      </c>
      <c r="R99" s="4">
        <v>1</v>
      </c>
      <c r="S99" s="4">
        <v>178</v>
      </c>
      <c r="T99" s="5">
        <v>2</v>
      </c>
      <c r="U99" s="5">
        <v>18</v>
      </c>
      <c r="V99" s="7">
        <v>5.741935483870968</v>
      </c>
      <c r="W99" s="7">
        <v>71.774193548387103</v>
      </c>
      <c r="X99" s="7">
        <v>9.8888888888888893</v>
      </c>
      <c r="Y99" s="6">
        <v>3.8888888888888888</v>
      </c>
      <c r="Z99" s="7">
        <v>2.25</v>
      </c>
    </row>
    <row r="100" spans="1:26" ht="15.75" x14ac:dyDescent="0.25">
      <c r="A100" s="98"/>
      <c r="B100" s="97"/>
      <c r="C100" s="4" t="s">
        <v>60</v>
      </c>
      <c r="D100" s="4" t="s">
        <v>36</v>
      </c>
      <c r="E100" s="4">
        <v>31</v>
      </c>
      <c r="F100" s="4">
        <v>4</v>
      </c>
      <c r="G100" s="4">
        <v>2</v>
      </c>
      <c r="H100" s="4">
        <v>0</v>
      </c>
      <c r="I100" s="4">
        <v>59</v>
      </c>
      <c r="J100" s="5">
        <v>61</v>
      </c>
      <c r="K100" s="4">
        <v>57</v>
      </c>
      <c r="L100" s="4">
        <v>4</v>
      </c>
      <c r="M100" s="5">
        <v>0</v>
      </c>
      <c r="N100" s="4">
        <v>0</v>
      </c>
      <c r="O100" s="4">
        <v>0</v>
      </c>
      <c r="P100" s="5">
        <v>61</v>
      </c>
      <c r="Q100" s="4">
        <v>7</v>
      </c>
      <c r="R100" s="4">
        <v>0</v>
      </c>
      <c r="S100" s="4">
        <v>62</v>
      </c>
      <c r="T100" s="5">
        <v>0</v>
      </c>
      <c r="U100" s="5">
        <v>4</v>
      </c>
      <c r="V100" s="7">
        <v>2</v>
      </c>
      <c r="W100" s="7">
        <v>50</v>
      </c>
      <c r="X100" s="7">
        <v>15.5</v>
      </c>
      <c r="Y100" s="6">
        <v>15.5</v>
      </c>
      <c r="Z100" s="7">
        <v>1</v>
      </c>
    </row>
    <row r="101" spans="1:26" ht="15.75" x14ac:dyDescent="0.25">
      <c r="A101" s="77"/>
      <c r="B101" s="97"/>
      <c r="C101" s="8" t="s">
        <v>77</v>
      </c>
      <c r="D101" s="8" t="s">
        <v>36</v>
      </c>
      <c r="E101" s="4">
        <v>31</v>
      </c>
      <c r="F101" s="8">
        <v>12</v>
      </c>
      <c r="G101" s="8">
        <v>9</v>
      </c>
      <c r="H101" s="8">
        <v>24</v>
      </c>
      <c r="I101" s="8">
        <v>188</v>
      </c>
      <c r="J101" s="8">
        <v>221</v>
      </c>
      <c r="K101" s="8">
        <v>197</v>
      </c>
      <c r="L101" s="8">
        <v>21</v>
      </c>
      <c r="M101" s="8">
        <v>1</v>
      </c>
      <c r="N101" s="8">
        <v>0</v>
      </c>
      <c r="O101" s="8">
        <v>1</v>
      </c>
      <c r="P101" s="8">
        <v>219</v>
      </c>
      <c r="Q101" s="8">
        <v>49</v>
      </c>
      <c r="R101" s="8">
        <v>1</v>
      </c>
      <c r="S101" s="8">
        <v>240</v>
      </c>
      <c r="T101" s="8">
        <v>2</v>
      </c>
      <c r="U101" s="8">
        <v>22</v>
      </c>
      <c r="V101" s="24">
        <v>7.741935483870968</v>
      </c>
      <c r="W101" s="24">
        <v>64.516129032258064</v>
      </c>
      <c r="X101" s="24">
        <v>10.909090909090908</v>
      </c>
      <c r="Y101" s="24">
        <v>6</v>
      </c>
      <c r="Z101" s="24">
        <v>1.8333333333333333</v>
      </c>
    </row>
    <row r="102" spans="1:26" ht="15.75" x14ac:dyDescent="0.25">
      <c r="A102" s="76">
        <v>4</v>
      </c>
      <c r="B102" s="97"/>
      <c r="C102" s="5" t="s">
        <v>37</v>
      </c>
      <c r="D102" s="5" t="s">
        <v>36</v>
      </c>
      <c r="E102" s="4">
        <v>31</v>
      </c>
      <c r="F102" s="5">
        <v>2</v>
      </c>
      <c r="G102" s="5">
        <v>2</v>
      </c>
      <c r="H102" s="5">
        <v>13</v>
      </c>
      <c r="I102" s="5">
        <v>7</v>
      </c>
      <c r="J102" s="5">
        <v>22</v>
      </c>
      <c r="K102" s="5">
        <v>8</v>
      </c>
      <c r="L102" s="5">
        <v>13</v>
      </c>
      <c r="M102" s="5">
        <v>0</v>
      </c>
      <c r="N102" s="5">
        <v>0</v>
      </c>
      <c r="O102" s="5">
        <v>0</v>
      </c>
      <c r="P102" s="5">
        <v>21</v>
      </c>
      <c r="Q102" s="5">
        <v>40</v>
      </c>
      <c r="R102" s="5">
        <v>0</v>
      </c>
      <c r="S102" s="5">
        <v>41</v>
      </c>
      <c r="T102" s="5">
        <v>1</v>
      </c>
      <c r="U102" s="5">
        <v>13</v>
      </c>
      <c r="V102" s="7">
        <v>1.3225806451612903</v>
      </c>
      <c r="W102" s="7">
        <v>66.129032258064512</v>
      </c>
      <c r="X102" s="7">
        <v>3.1538461538461537</v>
      </c>
      <c r="Y102" s="6">
        <v>1.6153846153846156</v>
      </c>
      <c r="Z102" s="7">
        <v>6.5</v>
      </c>
    </row>
    <row r="103" spans="1:26" ht="15.75" x14ac:dyDescent="0.25">
      <c r="A103" s="77"/>
      <c r="B103" s="97"/>
      <c r="C103" s="8" t="s">
        <v>37</v>
      </c>
      <c r="D103" s="8" t="s">
        <v>36</v>
      </c>
      <c r="E103" s="4">
        <v>31</v>
      </c>
      <c r="F103" s="8">
        <v>2</v>
      </c>
      <c r="G103" s="8">
        <v>2</v>
      </c>
      <c r="H103" s="8">
        <v>13</v>
      </c>
      <c r="I103" s="8">
        <v>7</v>
      </c>
      <c r="J103" s="8">
        <v>22</v>
      </c>
      <c r="K103" s="8">
        <v>8</v>
      </c>
      <c r="L103" s="8">
        <v>13</v>
      </c>
      <c r="M103" s="8">
        <v>0</v>
      </c>
      <c r="N103" s="8">
        <v>0</v>
      </c>
      <c r="O103" s="8">
        <v>0</v>
      </c>
      <c r="P103" s="8">
        <v>21</v>
      </c>
      <c r="Q103" s="8">
        <v>40</v>
      </c>
      <c r="R103" s="8">
        <v>0</v>
      </c>
      <c r="S103" s="8">
        <v>41</v>
      </c>
      <c r="T103" s="8">
        <v>1</v>
      </c>
      <c r="U103" s="8">
        <v>13</v>
      </c>
      <c r="V103" s="24">
        <v>1.3225806451612903</v>
      </c>
      <c r="W103" s="24">
        <v>66.129032258064512</v>
      </c>
      <c r="X103" s="24">
        <v>3.1538461538461537</v>
      </c>
      <c r="Y103" s="24">
        <v>1.6153846153846156</v>
      </c>
      <c r="Z103" s="24">
        <v>6.5</v>
      </c>
    </row>
    <row r="104" spans="1:26" ht="15.75" x14ac:dyDescent="0.25">
      <c r="A104" s="79" t="s">
        <v>83</v>
      </c>
      <c r="B104" s="80"/>
      <c r="C104" s="80"/>
      <c r="D104" s="81"/>
      <c r="E104" s="4">
        <v>31</v>
      </c>
      <c r="F104" s="20">
        <v>26</v>
      </c>
      <c r="G104" s="20">
        <v>19</v>
      </c>
      <c r="H104" s="20">
        <v>111</v>
      </c>
      <c r="I104" s="20">
        <v>206</v>
      </c>
      <c r="J104" s="11">
        <v>336</v>
      </c>
      <c r="K104" s="20">
        <v>216</v>
      </c>
      <c r="L104" s="20">
        <v>104</v>
      </c>
      <c r="M104" s="11">
        <v>5</v>
      </c>
      <c r="N104" s="20">
        <v>2</v>
      </c>
      <c r="O104" s="20">
        <v>3</v>
      </c>
      <c r="P104" s="11">
        <v>325</v>
      </c>
      <c r="Q104" s="20">
        <v>344</v>
      </c>
      <c r="R104" s="20">
        <v>5</v>
      </c>
      <c r="S104" s="20">
        <v>507</v>
      </c>
      <c r="T104" s="11">
        <v>11</v>
      </c>
      <c r="U104" s="11">
        <v>109</v>
      </c>
      <c r="V104" s="22">
        <v>16.35483870967742</v>
      </c>
      <c r="W104" s="12">
        <v>62.903225806451616</v>
      </c>
      <c r="X104" s="12">
        <v>4.6513761467889907</v>
      </c>
      <c r="Y104" s="12">
        <v>2.7431192660550461</v>
      </c>
      <c r="Z104" s="12">
        <v>4.1923076923076925</v>
      </c>
    </row>
    <row r="107" spans="1:26" x14ac:dyDescent="0.25">
      <c r="A107" s="78" t="s">
        <v>1</v>
      </c>
      <c r="B107" s="78" t="s">
        <v>2</v>
      </c>
      <c r="C107" s="72" t="s">
        <v>3</v>
      </c>
      <c r="D107" s="72" t="s">
        <v>4</v>
      </c>
      <c r="E107" s="75" t="s">
        <v>5</v>
      </c>
      <c r="F107" s="72" t="s">
        <v>6</v>
      </c>
      <c r="G107" s="72" t="s">
        <v>7</v>
      </c>
      <c r="H107" s="72" t="s">
        <v>8</v>
      </c>
      <c r="I107" s="75" t="s">
        <v>9</v>
      </c>
      <c r="J107" s="72" t="s">
        <v>10</v>
      </c>
      <c r="K107" s="72" t="s">
        <v>11</v>
      </c>
      <c r="L107" s="72" t="s">
        <v>12</v>
      </c>
      <c r="M107" s="72" t="s">
        <v>13</v>
      </c>
      <c r="N107" s="72" t="s">
        <v>14</v>
      </c>
      <c r="O107" s="72" t="s">
        <v>15</v>
      </c>
      <c r="P107" s="72" t="s">
        <v>16</v>
      </c>
      <c r="Q107" s="72" t="s">
        <v>17</v>
      </c>
      <c r="R107" s="72" t="s">
        <v>18</v>
      </c>
      <c r="S107" s="72" t="s">
        <v>19</v>
      </c>
      <c r="T107" s="72" t="s">
        <v>20</v>
      </c>
      <c r="U107" s="73" t="s">
        <v>21</v>
      </c>
      <c r="V107" s="2" t="s">
        <v>22</v>
      </c>
      <c r="W107" s="2" t="s">
        <v>23</v>
      </c>
      <c r="X107" s="2" t="s">
        <v>24</v>
      </c>
      <c r="Y107" s="2" t="s">
        <v>25</v>
      </c>
      <c r="Z107" s="2" t="s">
        <v>26</v>
      </c>
    </row>
    <row r="108" spans="1:26" x14ac:dyDescent="0.25">
      <c r="A108" s="78"/>
      <c r="B108" s="78"/>
      <c r="C108" s="72"/>
      <c r="D108" s="72"/>
      <c r="E108" s="75"/>
      <c r="F108" s="72"/>
      <c r="G108" s="72"/>
      <c r="H108" s="72"/>
      <c r="I108" s="75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3"/>
      <c r="V108" s="71" t="s">
        <v>27</v>
      </c>
      <c r="W108" s="71" t="s">
        <v>28</v>
      </c>
      <c r="X108" s="71" t="s">
        <v>29</v>
      </c>
      <c r="Y108" s="71" t="s">
        <v>30</v>
      </c>
      <c r="Z108" s="71" t="s">
        <v>31</v>
      </c>
    </row>
    <row r="109" spans="1:26" x14ac:dyDescent="0.25">
      <c r="A109" s="78"/>
      <c r="B109" s="78"/>
      <c r="C109" s="72"/>
      <c r="D109" s="72"/>
      <c r="E109" s="75"/>
      <c r="F109" s="72"/>
      <c r="G109" s="72"/>
      <c r="H109" s="72"/>
      <c r="I109" s="75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3"/>
      <c r="V109" s="74"/>
      <c r="W109" s="71"/>
      <c r="X109" s="71"/>
      <c r="Y109" s="71"/>
      <c r="Z109" s="71"/>
    </row>
    <row r="110" spans="1:26" x14ac:dyDescent="0.25">
      <c r="A110" s="78"/>
      <c r="B110" s="78"/>
      <c r="C110" s="72"/>
      <c r="D110" s="72"/>
      <c r="E110" s="75"/>
      <c r="F110" s="72"/>
      <c r="G110" s="3">
        <v>1</v>
      </c>
      <c r="H110" s="3">
        <v>2</v>
      </c>
      <c r="I110" s="3">
        <v>3</v>
      </c>
      <c r="J110" s="3">
        <v>4</v>
      </c>
      <c r="K110" s="3">
        <v>5</v>
      </c>
      <c r="L110" s="3">
        <v>6</v>
      </c>
      <c r="M110" s="3">
        <v>7</v>
      </c>
      <c r="N110" s="3">
        <v>8</v>
      </c>
      <c r="O110" s="3">
        <v>9</v>
      </c>
      <c r="P110" s="3">
        <v>10</v>
      </c>
      <c r="Q110" s="3">
        <v>11</v>
      </c>
      <c r="R110" s="3">
        <v>12</v>
      </c>
      <c r="S110" s="3">
        <v>13</v>
      </c>
      <c r="T110" s="3">
        <v>14</v>
      </c>
      <c r="U110" s="73"/>
      <c r="V110" s="16">
        <v>15</v>
      </c>
      <c r="W110" s="16">
        <v>16</v>
      </c>
      <c r="X110" s="16">
        <v>17</v>
      </c>
      <c r="Y110" s="16">
        <v>18</v>
      </c>
      <c r="Z110" s="16">
        <v>19</v>
      </c>
    </row>
    <row r="111" spans="1:26" ht="15.75" x14ac:dyDescent="0.25">
      <c r="A111" s="76">
        <v>1</v>
      </c>
      <c r="B111" s="90" t="s">
        <v>79</v>
      </c>
      <c r="C111" s="4" t="s">
        <v>44</v>
      </c>
      <c r="D111" s="4" t="s">
        <v>32</v>
      </c>
      <c r="E111" s="4">
        <v>31</v>
      </c>
      <c r="F111" s="4">
        <v>12</v>
      </c>
      <c r="G111" s="4">
        <v>7</v>
      </c>
      <c r="H111" s="4">
        <v>75</v>
      </c>
      <c r="I111" s="4">
        <v>9</v>
      </c>
      <c r="J111" s="5">
        <v>91</v>
      </c>
      <c r="K111" s="4">
        <v>2</v>
      </c>
      <c r="L111" s="4">
        <v>76</v>
      </c>
      <c r="M111" s="5">
        <v>4</v>
      </c>
      <c r="N111" s="4">
        <v>2</v>
      </c>
      <c r="O111" s="4">
        <v>2</v>
      </c>
      <c r="P111" s="5">
        <v>82</v>
      </c>
      <c r="Q111" s="4">
        <v>282</v>
      </c>
      <c r="R111" s="4">
        <v>1</v>
      </c>
      <c r="S111" s="4">
        <v>302</v>
      </c>
      <c r="T111" s="5">
        <v>9</v>
      </c>
      <c r="U111" s="5">
        <v>80</v>
      </c>
      <c r="V111" s="7">
        <v>9.741935483870968</v>
      </c>
      <c r="W111" s="7">
        <v>81.182795698924735</v>
      </c>
      <c r="X111" s="7">
        <v>3.7749999999999999</v>
      </c>
      <c r="Y111" s="6">
        <v>0.875</v>
      </c>
      <c r="Z111" s="7">
        <v>6.666666666666667</v>
      </c>
    </row>
    <row r="112" spans="1:26" ht="15.75" x14ac:dyDescent="0.25">
      <c r="A112" s="77"/>
      <c r="B112" s="91"/>
      <c r="C112" s="8" t="s">
        <v>44</v>
      </c>
      <c r="D112" s="4" t="s">
        <v>32</v>
      </c>
      <c r="E112" s="4">
        <v>31</v>
      </c>
      <c r="F112" s="8">
        <v>12</v>
      </c>
      <c r="G112" s="8">
        <v>7</v>
      </c>
      <c r="H112" s="8">
        <v>75</v>
      </c>
      <c r="I112" s="8">
        <v>9</v>
      </c>
      <c r="J112" s="8">
        <v>91</v>
      </c>
      <c r="K112" s="8">
        <v>2</v>
      </c>
      <c r="L112" s="8">
        <v>76</v>
      </c>
      <c r="M112" s="8">
        <v>4</v>
      </c>
      <c r="N112" s="8">
        <v>2</v>
      </c>
      <c r="O112" s="8">
        <v>2</v>
      </c>
      <c r="P112" s="8">
        <v>82</v>
      </c>
      <c r="Q112" s="8">
        <v>282</v>
      </c>
      <c r="R112" s="8">
        <v>1</v>
      </c>
      <c r="S112" s="8">
        <v>302</v>
      </c>
      <c r="T112" s="8">
        <v>9</v>
      </c>
      <c r="U112" s="8">
        <v>80</v>
      </c>
      <c r="V112" s="24">
        <v>9.741935483870968</v>
      </c>
      <c r="W112" s="24">
        <v>81.182795698924735</v>
      </c>
      <c r="X112" s="24">
        <v>3.7749999999999999</v>
      </c>
      <c r="Y112" s="24">
        <v>0.875</v>
      </c>
      <c r="Z112" s="24">
        <v>6.666666666666667</v>
      </c>
    </row>
    <row r="113" spans="1:26" ht="15.75" x14ac:dyDescent="0.25">
      <c r="A113" s="76">
        <v>2</v>
      </c>
      <c r="B113" s="91"/>
      <c r="C113" s="4" t="s">
        <v>55</v>
      </c>
      <c r="D113" s="4" t="s">
        <v>32</v>
      </c>
      <c r="E113" s="4">
        <v>31</v>
      </c>
      <c r="F113" s="4">
        <v>12</v>
      </c>
      <c r="G113" s="4">
        <v>17</v>
      </c>
      <c r="H113" s="4">
        <v>135</v>
      </c>
      <c r="I113" s="4">
        <v>11</v>
      </c>
      <c r="J113" s="5">
        <v>163</v>
      </c>
      <c r="K113" s="4">
        <v>13</v>
      </c>
      <c r="L113" s="4">
        <v>126</v>
      </c>
      <c r="M113" s="5">
        <v>9</v>
      </c>
      <c r="N113" s="4">
        <v>5</v>
      </c>
      <c r="O113" s="4">
        <v>4</v>
      </c>
      <c r="P113" s="5">
        <v>148</v>
      </c>
      <c r="Q113" s="4">
        <v>488</v>
      </c>
      <c r="R113" s="4">
        <v>2</v>
      </c>
      <c r="S113" s="4">
        <v>504</v>
      </c>
      <c r="T113" s="5">
        <v>15</v>
      </c>
      <c r="U113" s="5">
        <v>135</v>
      </c>
      <c r="V113" s="7">
        <v>16.258064516129032</v>
      </c>
      <c r="W113" s="7">
        <v>135.48387096774192</v>
      </c>
      <c r="X113" s="7">
        <v>3.7333333333333334</v>
      </c>
      <c r="Y113" s="6">
        <v>-0.97777777777777775</v>
      </c>
      <c r="Z113" s="7">
        <v>11.25</v>
      </c>
    </row>
    <row r="114" spans="1:26" ht="15.75" x14ac:dyDescent="0.25">
      <c r="A114" s="77"/>
      <c r="B114" s="91"/>
      <c r="C114" s="8" t="s">
        <v>55</v>
      </c>
      <c r="D114" s="4" t="s">
        <v>32</v>
      </c>
      <c r="E114" s="4">
        <v>31</v>
      </c>
      <c r="F114" s="8">
        <v>12</v>
      </c>
      <c r="G114" s="8">
        <v>17</v>
      </c>
      <c r="H114" s="8">
        <v>135</v>
      </c>
      <c r="I114" s="8">
        <v>11</v>
      </c>
      <c r="J114" s="8">
        <v>163</v>
      </c>
      <c r="K114" s="8">
        <v>13</v>
      </c>
      <c r="L114" s="8">
        <v>126</v>
      </c>
      <c r="M114" s="8">
        <v>9</v>
      </c>
      <c r="N114" s="8">
        <v>5</v>
      </c>
      <c r="O114" s="8">
        <v>4</v>
      </c>
      <c r="P114" s="8">
        <v>148</v>
      </c>
      <c r="Q114" s="8">
        <v>488</v>
      </c>
      <c r="R114" s="8">
        <v>2</v>
      </c>
      <c r="S114" s="8">
        <v>504</v>
      </c>
      <c r="T114" s="8">
        <v>15</v>
      </c>
      <c r="U114" s="8">
        <v>135</v>
      </c>
      <c r="V114" s="24">
        <v>16.258064516129032</v>
      </c>
      <c r="W114" s="24">
        <v>135.48387096774192</v>
      </c>
      <c r="X114" s="24">
        <v>3.7333333333333334</v>
      </c>
      <c r="Y114" s="24">
        <v>-0.97777777777777775</v>
      </c>
      <c r="Z114" s="24">
        <v>11.25</v>
      </c>
    </row>
    <row r="115" spans="1:26" ht="15.75" x14ac:dyDescent="0.25">
      <c r="A115" s="76">
        <v>3</v>
      </c>
      <c r="B115" s="91"/>
      <c r="C115" s="4" t="s">
        <v>74</v>
      </c>
      <c r="D115" s="4" t="s">
        <v>32</v>
      </c>
      <c r="E115" s="4">
        <v>31</v>
      </c>
      <c r="F115" s="4">
        <v>15</v>
      </c>
      <c r="G115" s="4">
        <v>21</v>
      </c>
      <c r="H115" s="4">
        <v>136</v>
      </c>
      <c r="I115" s="4">
        <v>12</v>
      </c>
      <c r="J115" s="5">
        <v>169</v>
      </c>
      <c r="K115" s="4">
        <v>17</v>
      </c>
      <c r="L115" s="4">
        <v>111</v>
      </c>
      <c r="M115" s="5">
        <v>21</v>
      </c>
      <c r="N115" s="4">
        <v>10</v>
      </c>
      <c r="O115" s="4">
        <v>11</v>
      </c>
      <c r="P115" s="5">
        <v>149</v>
      </c>
      <c r="Q115" s="4">
        <v>504</v>
      </c>
      <c r="R115" s="4">
        <v>2</v>
      </c>
      <c r="S115" s="4">
        <v>566</v>
      </c>
      <c r="T115" s="5">
        <v>20</v>
      </c>
      <c r="U115" s="5">
        <v>132</v>
      </c>
      <c r="V115" s="7">
        <v>18.258064516129032</v>
      </c>
      <c r="W115" s="7">
        <v>121.72043010752689</v>
      </c>
      <c r="X115" s="7">
        <v>4.2878787878787881</v>
      </c>
      <c r="Y115" s="6">
        <v>-0.76515151515151514</v>
      </c>
      <c r="Z115" s="7">
        <v>8.8000000000000007</v>
      </c>
    </row>
    <row r="116" spans="1:26" ht="15.75" x14ac:dyDescent="0.25">
      <c r="A116" s="77"/>
      <c r="B116" s="91"/>
      <c r="C116" s="8" t="s">
        <v>74</v>
      </c>
      <c r="D116" s="4" t="s">
        <v>32</v>
      </c>
      <c r="E116" s="4">
        <v>31</v>
      </c>
      <c r="F116" s="8">
        <v>15</v>
      </c>
      <c r="G116" s="8">
        <v>21</v>
      </c>
      <c r="H116" s="8">
        <v>136</v>
      </c>
      <c r="I116" s="8">
        <v>12</v>
      </c>
      <c r="J116" s="8">
        <v>169</v>
      </c>
      <c r="K116" s="8">
        <v>17</v>
      </c>
      <c r="L116" s="8">
        <v>111</v>
      </c>
      <c r="M116" s="8">
        <v>21</v>
      </c>
      <c r="N116" s="8">
        <v>10</v>
      </c>
      <c r="O116" s="8">
        <v>11</v>
      </c>
      <c r="P116" s="8">
        <v>149</v>
      </c>
      <c r="Q116" s="8">
        <v>504</v>
      </c>
      <c r="R116" s="8">
        <v>2</v>
      </c>
      <c r="S116" s="8">
        <v>566</v>
      </c>
      <c r="T116" s="8">
        <v>20</v>
      </c>
      <c r="U116" s="8">
        <v>132</v>
      </c>
      <c r="V116" s="24">
        <v>18.258064516129032</v>
      </c>
      <c r="W116" s="24">
        <v>121.72043010752689</v>
      </c>
      <c r="X116" s="24">
        <v>4.2878787878787881</v>
      </c>
      <c r="Y116" s="24">
        <v>-0.76515151515151514</v>
      </c>
      <c r="Z116" s="24">
        <v>8.8000000000000007</v>
      </c>
    </row>
    <row r="117" spans="1:26" ht="15.75" x14ac:dyDescent="0.25">
      <c r="A117" s="76">
        <v>4</v>
      </c>
      <c r="B117" s="91"/>
      <c r="C117" s="5" t="s">
        <v>39</v>
      </c>
      <c r="D117" s="4" t="s">
        <v>32</v>
      </c>
      <c r="E117" s="4">
        <v>31</v>
      </c>
      <c r="F117" s="5">
        <v>18</v>
      </c>
      <c r="G117" s="5">
        <v>18</v>
      </c>
      <c r="H117" s="5">
        <v>157</v>
      </c>
      <c r="I117" s="5">
        <v>19</v>
      </c>
      <c r="J117" s="5">
        <v>194</v>
      </c>
      <c r="K117" s="5">
        <v>10</v>
      </c>
      <c r="L117" s="5">
        <v>169</v>
      </c>
      <c r="M117" s="5">
        <v>1</v>
      </c>
      <c r="N117" s="5">
        <v>0</v>
      </c>
      <c r="O117" s="5">
        <v>1</v>
      </c>
      <c r="P117" s="5">
        <v>180</v>
      </c>
      <c r="Q117" s="5">
        <v>499</v>
      </c>
      <c r="R117" s="5">
        <v>3</v>
      </c>
      <c r="S117" s="5">
        <v>523</v>
      </c>
      <c r="T117" s="5">
        <v>14</v>
      </c>
      <c r="U117" s="5">
        <v>170</v>
      </c>
      <c r="V117" s="7">
        <v>16.870967741935484</v>
      </c>
      <c r="W117" s="7">
        <v>93.727598566308245</v>
      </c>
      <c r="X117" s="7">
        <v>3.0764705882352943</v>
      </c>
      <c r="Y117" s="6">
        <v>0.20588235294117646</v>
      </c>
      <c r="Z117" s="7">
        <v>9.4444444444444446</v>
      </c>
    </row>
    <row r="118" spans="1:26" ht="15.75" x14ac:dyDescent="0.25">
      <c r="A118" s="77"/>
      <c r="B118" s="91"/>
      <c r="C118" s="8" t="s">
        <v>39</v>
      </c>
      <c r="D118" s="4" t="s">
        <v>32</v>
      </c>
      <c r="E118" s="4">
        <v>31</v>
      </c>
      <c r="F118" s="8">
        <v>18</v>
      </c>
      <c r="G118" s="8">
        <v>18</v>
      </c>
      <c r="H118" s="8">
        <v>157</v>
      </c>
      <c r="I118" s="8">
        <v>19</v>
      </c>
      <c r="J118" s="8">
        <v>194</v>
      </c>
      <c r="K118" s="8">
        <v>10</v>
      </c>
      <c r="L118" s="8">
        <v>169</v>
      </c>
      <c r="M118" s="8">
        <v>1</v>
      </c>
      <c r="N118" s="8">
        <v>0</v>
      </c>
      <c r="O118" s="8">
        <v>1</v>
      </c>
      <c r="P118" s="8">
        <v>180</v>
      </c>
      <c r="Q118" s="8">
        <v>499</v>
      </c>
      <c r="R118" s="8">
        <v>3</v>
      </c>
      <c r="S118" s="8">
        <v>523</v>
      </c>
      <c r="T118" s="8">
        <v>14</v>
      </c>
      <c r="U118" s="8">
        <v>170</v>
      </c>
      <c r="V118" s="24">
        <v>16.870967741935484</v>
      </c>
      <c r="W118" s="24">
        <v>93.727598566308245</v>
      </c>
      <c r="X118" s="24">
        <v>3.0764705882352943</v>
      </c>
      <c r="Y118" s="24">
        <v>0.20588235294117646</v>
      </c>
      <c r="Z118" s="24">
        <v>9.4444444444444446</v>
      </c>
    </row>
    <row r="119" spans="1:26" ht="15.75" x14ac:dyDescent="0.25">
      <c r="A119" s="76">
        <v>5</v>
      </c>
      <c r="B119" s="91"/>
      <c r="C119" s="5" t="s">
        <v>41</v>
      </c>
      <c r="D119" s="4" t="s">
        <v>32</v>
      </c>
      <c r="E119" s="4">
        <v>31</v>
      </c>
      <c r="F119" s="5">
        <v>20</v>
      </c>
      <c r="G119" s="5">
        <v>17</v>
      </c>
      <c r="H119" s="5">
        <v>157</v>
      </c>
      <c r="I119" s="5">
        <v>4</v>
      </c>
      <c r="J119" s="5">
        <v>178</v>
      </c>
      <c r="K119" s="5">
        <v>8</v>
      </c>
      <c r="L119" s="5">
        <v>146</v>
      </c>
      <c r="M119" s="5">
        <v>10</v>
      </c>
      <c r="N119" s="5">
        <v>6</v>
      </c>
      <c r="O119" s="5">
        <v>4</v>
      </c>
      <c r="P119" s="5">
        <v>164</v>
      </c>
      <c r="Q119" s="5">
        <v>500</v>
      </c>
      <c r="R119" s="5">
        <v>2</v>
      </c>
      <c r="S119" s="5">
        <v>517</v>
      </c>
      <c r="T119" s="5">
        <v>14</v>
      </c>
      <c r="U119" s="5">
        <v>156</v>
      </c>
      <c r="V119" s="7">
        <v>16.677419354838708</v>
      </c>
      <c r="W119" s="7">
        <v>83.387096774193537</v>
      </c>
      <c r="X119" s="7">
        <v>3.3141025641025643</v>
      </c>
      <c r="Y119" s="6">
        <v>0.66025641025641058</v>
      </c>
      <c r="Z119" s="7">
        <v>7.8</v>
      </c>
    </row>
    <row r="120" spans="1:26" ht="15.75" x14ac:dyDescent="0.25">
      <c r="A120" s="77"/>
      <c r="B120" s="91"/>
      <c r="C120" s="8" t="s">
        <v>41</v>
      </c>
      <c r="D120" s="4" t="s">
        <v>32</v>
      </c>
      <c r="E120" s="4">
        <v>31</v>
      </c>
      <c r="F120" s="8">
        <v>20</v>
      </c>
      <c r="G120" s="8">
        <v>17</v>
      </c>
      <c r="H120" s="8">
        <v>157</v>
      </c>
      <c r="I120" s="8">
        <v>4</v>
      </c>
      <c r="J120" s="8">
        <v>178</v>
      </c>
      <c r="K120" s="8">
        <v>8</v>
      </c>
      <c r="L120" s="8">
        <v>146</v>
      </c>
      <c r="M120" s="8">
        <v>10</v>
      </c>
      <c r="N120" s="8">
        <v>6</v>
      </c>
      <c r="O120" s="8">
        <v>4</v>
      </c>
      <c r="P120" s="8">
        <v>164</v>
      </c>
      <c r="Q120" s="8">
        <v>500</v>
      </c>
      <c r="R120" s="8">
        <v>2</v>
      </c>
      <c r="S120" s="8">
        <v>517</v>
      </c>
      <c r="T120" s="8">
        <v>14</v>
      </c>
      <c r="U120" s="8">
        <v>156</v>
      </c>
      <c r="V120" s="24">
        <v>16.677419354838708</v>
      </c>
      <c r="W120" s="24">
        <v>83.387096774193537</v>
      </c>
      <c r="X120" s="24">
        <v>3.3141025641025643</v>
      </c>
      <c r="Y120" s="24">
        <v>0.66025641025641058</v>
      </c>
      <c r="Z120" s="24">
        <v>7.8</v>
      </c>
    </row>
    <row r="121" spans="1:26" ht="15.75" x14ac:dyDescent="0.25">
      <c r="A121" s="76">
        <v>6</v>
      </c>
      <c r="B121" s="91"/>
      <c r="C121" s="5" t="s">
        <v>35</v>
      </c>
      <c r="D121" s="4" t="s">
        <v>32</v>
      </c>
      <c r="E121" s="4">
        <v>31</v>
      </c>
      <c r="F121" s="5">
        <v>12</v>
      </c>
      <c r="G121" s="5">
        <v>10</v>
      </c>
      <c r="H121" s="5">
        <v>88</v>
      </c>
      <c r="I121" s="5">
        <v>6</v>
      </c>
      <c r="J121" s="5">
        <v>104</v>
      </c>
      <c r="K121" s="5">
        <v>11</v>
      </c>
      <c r="L121" s="5">
        <v>82</v>
      </c>
      <c r="M121" s="5">
        <v>3</v>
      </c>
      <c r="N121" s="5">
        <v>2</v>
      </c>
      <c r="O121" s="5">
        <v>1</v>
      </c>
      <c r="P121" s="5">
        <v>96</v>
      </c>
      <c r="Q121" s="5">
        <v>307</v>
      </c>
      <c r="R121" s="5">
        <v>1</v>
      </c>
      <c r="S121" s="5">
        <v>299</v>
      </c>
      <c r="T121" s="5">
        <v>8</v>
      </c>
      <c r="U121" s="5">
        <v>85</v>
      </c>
      <c r="V121" s="13">
        <v>9.6451612903225801</v>
      </c>
      <c r="W121" s="13">
        <v>80.376344086021504</v>
      </c>
      <c r="X121" s="13">
        <v>3.5176470588235293</v>
      </c>
      <c r="Y121" s="14">
        <v>0.85882352941176487</v>
      </c>
      <c r="Z121" s="13">
        <v>7.083333333333333</v>
      </c>
    </row>
    <row r="122" spans="1:26" ht="15.75" x14ac:dyDescent="0.25">
      <c r="A122" s="77"/>
      <c r="B122" s="91"/>
      <c r="C122" s="8" t="s">
        <v>35</v>
      </c>
      <c r="D122" s="4" t="s">
        <v>32</v>
      </c>
      <c r="E122" s="4">
        <v>31</v>
      </c>
      <c r="F122" s="8">
        <v>12</v>
      </c>
      <c r="G122" s="8">
        <v>10</v>
      </c>
      <c r="H122" s="8">
        <v>88</v>
      </c>
      <c r="I122" s="8">
        <v>6</v>
      </c>
      <c r="J122" s="8">
        <v>104</v>
      </c>
      <c r="K122" s="8">
        <v>11</v>
      </c>
      <c r="L122" s="8">
        <v>82</v>
      </c>
      <c r="M122" s="8">
        <v>3</v>
      </c>
      <c r="N122" s="8">
        <v>2</v>
      </c>
      <c r="O122" s="8">
        <v>1</v>
      </c>
      <c r="P122" s="8">
        <v>96</v>
      </c>
      <c r="Q122" s="8">
        <v>307</v>
      </c>
      <c r="R122" s="8">
        <v>1</v>
      </c>
      <c r="S122" s="8">
        <v>299</v>
      </c>
      <c r="T122" s="8">
        <v>8</v>
      </c>
      <c r="U122" s="8">
        <v>85</v>
      </c>
      <c r="V122" s="26">
        <v>9.6451612903225801</v>
      </c>
      <c r="W122" s="26">
        <v>80.376344086021504</v>
      </c>
      <c r="X122" s="26">
        <v>3.5176470588235293</v>
      </c>
      <c r="Y122" s="26">
        <v>0.85882352941176487</v>
      </c>
      <c r="Z122" s="26">
        <v>7.083333333333333</v>
      </c>
    </row>
    <row r="123" spans="1:26" ht="15.75" x14ac:dyDescent="0.25">
      <c r="A123" s="76">
        <v>7</v>
      </c>
      <c r="B123" s="91"/>
      <c r="C123" s="5" t="s">
        <v>34</v>
      </c>
      <c r="D123" s="4" t="s">
        <v>32</v>
      </c>
      <c r="E123" s="4">
        <v>31</v>
      </c>
      <c r="F123" s="5">
        <v>16</v>
      </c>
      <c r="G123" s="5">
        <v>14</v>
      </c>
      <c r="H123" s="5">
        <v>90</v>
      </c>
      <c r="I123" s="5">
        <v>40</v>
      </c>
      <c r="J123" s="5">
        <v>144</v>
      </c>
      <c r="K123" s="5">
        <v>6</v>
      </c>
      <c r="L123" s="5">
        <v>106</v>
      </c>
      <c r="M123" s="5">
        <v>18</v>
      </c>
      <c r="N123" s="5">
        <v>7</v>
      </c>
      <c r="O123" s="5">
        <v>11</v>
      </c>
      <c r="P123" s="5">
        <v>130</v>
      </c>
      <c r="Q123" s="5">
        <v>438</v>
      </c>
      <c r="R123" s="5">
        <v>2</v>
      </c>
      <c r="S123" s="5">
        <v>460</v>
      </c>
      <c r="T123" s="5">
        <v>14</v>
      </c>
      <c r="U123" s="5">
        <v>124</v>
      </c>
      <c r="V123" s="7">
        <v>14.838709677419354</v>
      </c>
      <c r="W123" s="7">
        <v>92.741935483870961</v>
      </c>
      <c r="X123" s="7">
        <v>3.7096774193548385</v>
      </c>
      <c r="Y123" s="6">
        <v>0.29032258064516148</v>
      </c>
      <c r="Z123" s="7">
        <v>7.75</v>
      </c>
    </row>
    <row r="124" spans="1:26" ht="15.75" x14ac:dyDescent="0.25">
      <c r="A124" s="77"/>
      <c r="B124" s="91"/>
      <c r="C124" s="8" t="s">
        <v>34</v>
      </c>
      <c r="D124" s="4" t="s">
        <v>32</v>
      </c>
      <c r="E124" s="4">
        <v>31</v>
      </c>
      <c r="F124" s="8">
        <v>16</v>
      </c>
      <c r="G124" s="8">
        <v>14</v>
      </c>
      <c r="H124" s="8">
        <v>90</v>
      </c>
      <c r="I124" s="8">
        <v>40</v>
      </c>
      <c r="J124" s="8">
        <v>144</v>
      </c>
      <c r="K124" s="8">
        <v>6</v>
      </c>
      <c r="L124" s="8">
        <v>106</v>
      </c>
      <c r="M124" s="8">
        <v>18</v>
      </c>
      <c r="N124" s="8">
        <v>7</v>
      </c>
      <c r="O124" s="8">
        <v>11</v>
      </c>
      <c r="P124" s="8">
        <v>130</v>
      </c>
      <c r="Q124" s="8">
        <v>438</v>
      </c>
      <c r="R124" s="8">
        <v>2</v>
      </c>
      <c r="S124" s="8">
        <v>460</v>
      </c>
      <c r="T124" s="8">
        <v>14</v>
      </c>
      <c r="U124" s="8">
        <v>124</v>
      </c>
      <c r="V124" s="24">
        <v>14.838709677419354</v>
      </c>
      <c r="W124" s="24">
        <v>92.741935483870961</v>
      </c>
      <c r="X124" s="24">
        <v>3.7096774193548385</v>
      </c>
      <c r="Y124" s="24">
        <v>0.29032258064516148</v>
      </c>
      <c r="Z124" s="24">
        <v>7.75</v>
      </c>
    </row>
    <row r="125" spans="1:26" ht="15.75" x14ac:dyDescent="0.25">
      <c r="A125" s="76">
        <v>8</v>
      </c>
      <c r="B125" s="91"/>
      <c r="C125" s="5" t="s">
        <v>37</v>
      </c>
      <c r="D125" s="4" t="s">
        <v>32</v>
      </c>
      <c r="E125" s="4">
        <v>31</v>
      </c>
      <c r="F125" s="5">
        <v>17</v>
      </c>
      <c r="G125" s="5">
        <v>15</v>
      </c>
      <c r="H125" s="5">
        <v>127</v>
      </c>
      <c r="I125" s="5">
        <v>17</v>
      </c>
      <c r="J125" s="5">
        <v>159</v>
      </c>
      <c r="K125" s="5">
        <v>12</v>
      </c>
      <c r="L125" s="5">
        <v>129</v>
      </c>
      <c r="M125" s="5">
        <v>5</v>
      </c>
      <c r="N125" s="5">
        <v>4</v>
      </c>
      <c r="O125" s="5">
        <v>1</v>
      </c>
      <c r="P125" s="5">
        <v>146</v>
      </c>
      <c r="Q125" s="5">
        <v>448</v>
      </c>
      <c r="R125" s="5">
        <v>4</v>
      </c>
      <c r="S125" s="5">
        <v>449</v>
      </c>
      <c r="T125" s="5">
        <v>13</v>
      </c>
      <c r="U125" s="5">
        <v>134</v>
      </c>
      <c r="V125" s="7">
        <v>14.483870967741936</v>
      </c>
      <c r="W125" s="7">
        <v>85.199240986717271</v>
      </c>
      <c r="X125" s="7">
        <v>3.3507462686567164</v>
      </c>
      <c r="Y125" s="6">
        <v>0.58208955223880587</v>
      </c>
      <c r="Z125" s="7">
        <v>7.882352941176471</v>
      </c>
    </row>
    <row r="126" spans="1:26" ht="15.75" x14ac:dyDescent="0.25">
      <c r="A126" s="77"/>
      <c r="B126" s="91"/>
      <c r="C126" s="8" t="s">
        <v>37</v>
      </c>
      <c r="D126" s="4" t="s">
        <v>32</v>
      </c>
      <c r="E126" s="4">
        <v>31</v>
      </c>
      <c r="F126" s="8">
        <v>17</v>
      </c>
      <c r="G126" s="8">
        <v>15</v>
      </c>
      <c r="H126" s="8">
        <v>127</v>
      </c>
      <c r="I126" s="8">
        <v>17</v>
      </c>
      <c r="J126" s="8">
        <v>159</v>
      </c>
      <c r="K126" s="8">
        <v>12</v>
      </c>
      <c r="L126" s="8">
        <v>129</v>
      </c>
      <c r="M126" s="8">
        <v>5</v>
      </c>
      <c r="N126" s="8">
        <v>4</v>
      </c>
      <c r="O126" s="8">
        <v>1</v>
      </c>
      <c r="P126" s="8">
        <v>146</v>
      </c>
      <c r="Q126" s="8">
        <v>448</v>
      </c>
      <c r="R126" s="8">
        <v>4</v>
      </c>
      <c r="S126" s="8">
        <v>449</v>
      </c>
      <c r="T126" s="8">
        <v>13</v>
      </c>
      <c r="U126" s="8">
        <v>134</v>
      </c>
      <c r="V126" s="24">
        <v>14.483870967741936</v>
      </c>
      <c r="W126" s="24">
        <v>85.199240986717271</v>
      </c>
      <c r="X126" s="24">
        <v>3.3507462686567164</v>
      </c>
      <c r="Y126" s="24">
        <v>0.58208955223880587</v>
      </c>
      <c r="Z126" s="24">
        <v>7.882352941176471</v>
      </c>
    </row>
    <row r="127" spans="1:26" ht="15.75" x14ac:dyDescent="0.25">
      <c r="A127" s="76">
        <v>9</v>
      </c>
      <c r="B127" s="91"/>
      <c r="C127" s="5" t="s">
        <v>33</v>
      </c>
      <c r="D127" s="4" t="s">
        <v>32</v>
      </c>
      <c r="E127" s="4">
        <v>31</v>
      </c>
      <c r="F127" s="5">
        <v>20</v>
      </c>
      <c r="G127" s="5">
        <v>22</v>
      </c>
      <c r="H127" s="5">
        <v>148</v>
      </c>
      <c r="I127" s="5">
        <v>25</v>
      </c>
      <c r="J127" s="5">
        <v>195</v>
      </c>
      <c r="K127" s="5">
        <v>12</v>
      </c>
      <c r="L127" s="5">
        <v>143</v>
      </c>
      <c r="M127" s="5">
        <v>26</v>
      </c>
      <c r="N127" s="5">
        <v>12</v>
      </c>
      <c r="O127" s="5">
        <v>14</v>
      </c>
      <c r="P127" s="5">
        <v>181</v>
      </c>
      <c r="Q127" s="5">
        <v>614</v>
      </c>
      <c r="R127" s="5">
        <v>2</v>
      </c>
      <c r="S127" s="5">
        <v>607</v>
      </c>
      <c r="T127" s="5">
        <v>14</v>
      </c>
      <c r="U127" s="5">
        <v>169</v>
      </c>
      <c r="V127" s="7">
        <v>19.580645161290324</v>
      </c>
      <c r="W127" s="7">
        <v>97.903225806451616</v>
      </c>
      <c r="X127" s="7">
        <v>3.5917159763313609</v>
      </c>
      <c r="Y127" s="6">
        <v>7.6923076923076691E-2</v>
      </c>
      <c r="Z127" s="7">
        <v>8.4499999999999993</v>
      </c>
    </row>
    <row r="128" spans="1:26" ht="15.75" x14ac:dyDescent="0.25">
      <c r="A128" s="77"/>
      <c r="B128" s="91"/>
      <c r="C128" s="8" t="s">
        <v>33</v>
      </c>
      <c r="D128" s="4" t="s">
        <v>32</v>
      </c>
      <c r="E128" s="4">
        <v>31</v>
      </c>
      <c r="F128" s="8">
        <v>20</v>
      </c>
      <c r="G128" s="8">
        <v>22</v>
      </c>
      <c r="H128" s="8">
        <v>148</v>
      </c>
      <c r="I128" s="8">
        <v>25</v>
      </c>
      <c r="J128" s="8">
        <v>195</v>
      </c>
      <c r="K128" s="8">
        <v>12</v>
      </c>
      <c r="L128" s="8">
        <v>143</v>
      </c>
      <c r="M128" s="8">
        <v>26</v>
      </c>
      <c r="N128" s="8">
        <v>12</v>
      </c>
      <c r="O128" s="8">
        <v>14</v>
      </c>
      <c r="P128" s="8">
        <v>181</v>
      </c>
      <c r="Q128" s="8">
        <v>614</v>
      </c>
      <c r="R128" s="8">
        <v>2</v>
      </c>
      <c r="S128" s="8">
        <v>607</v>
      </c>
      <c r="T128" s="8">
        <v>14</v>
      </c>
      <c r="U128" s="8">
        <v>169</v>
      </c>
      <c r="V128" s="24">
        <v>19.580645161290324</v>
      </c>
      <c r="W128" s="24">
        <v>97.903225806451616</v>
      </c>
      <c r="X128" s="24">
        <v>3.5917159763313609</v>
      </c>
      <c r="Y128" s="24">
        <v>7.6923076923076691E-2</v>
      </c>
      <c r="Z128" s="24">
        <v>8.4499999999999993</v>
      </c>
    </row>
    <row r="129" spans="1:26" ht="15.75" x14ac:dyDescent="0.25">
      <c r="A129" s="76">
        <v>10</v>
      </c>
      <c r="B129" s="91"/>
      <c r="C129" s="4" t="s">
        <v>40</v>
      </c>
      <c r="D129" s="4" t="s">
        <v>32</v>
      </c>
      <c r="E129" s="4">
        <v>31</v>
      </c>
      <c r="F129" s="4">
        <v>16</v>
      </c>
      <c r="G129" s="4">
        <v>17</v>
      </c>
      <c r="H129" s="4">
        <v>129</v>
      </c>
      <c r="I129" s="4">
        <v>9</v>
      </c>
      <c r="J129" s="5">
        <v>155</v>
      </c>
      <c r="K129" s="4">
        <v>9</v>
      </c>
      <c r="L129" s="4">
        <v>129</v>
      </c>
      <c r="M129" s="5">
        <v>3</v>
      </c>
      <c r="N129" s="4">
        <v>1</v>
      </c>
      <c r="O129" s="4">
        <v>2</v>
      </c>
      <c r="P129" s="5">
        <v>141</v>
      </c>
      <c r="Q129" s="4">
        <v>479</v>
      </c>
      <c r="R129" s="4">
        <v>0</v>
      </c>
      <c r="S129" s="4">
        <v>504</v>
      </c>
      <c r="T129" s="5">
        <v>14</v>
      </c>
      <c r="U129" s="5">
        <v>132</v>
      </c>
      <c r="V129" s="7">
        <v>16.258064516129032</v>
      </c>
      <c r="W129" s="7">
        <v>101.61290322580645</v>
      </c>
      <c r="X129" s="7">
        <v>3.8181818181818183</v>
      </c>
      <c r="Y129" s="6">
        <v>-6.0606060606060552E-2</v>
      </c>
      <c r="Z129" s="7">
        <v>8.25</v>
      </c>
    </row>
    <row r="130" spans="1:26" ht="15.75" x14ac:dyDescent="0.25">
      <c r="A130" s="77"/>
      <c r="B130" s="91"/>
      <c r="C130" s="8" t="s">
        <v>40</v>
      </c>
      <c r="D130" s="4" t="s">
        <v>32</v>
      </c>
      <c r="E130" s="4">
        <v>31</v>
      </c>
      <c r="F130" s="8">
        <v>16</v>
      </c>
      <c r="G130" s="8">
        <v>17</v>
      </c>
      <c r="H130" s="8">
        <v>129</v>
      </c>
      <c r="I130" s="8">
        <v>9</v>
      </c>
      <c r="J130" s="8">
        <v>155</v>
      </c>
      <c r="K130" s="8">
        <v>9</v>
      </c>
      <c r="L130" s="8">
        <v>129</v>
      </c>
      <c r="M130" s="8">
        <v>3</v>
      </c>
      <c r="N130" s="8">
        <v>1</v>
      </c>
      <c r="O130" s="8">
        <v>2</v>
      </c>
      <c r="P130" s="8">
        <v>141</v>
      </c>
      <c r="Q130" s="8">
        <v>479</v>
      </c>
      <c r="R130" s="8">
        <v>0</v>
      </c>
      <c r="S130" s="8">
        <v>504</v>
      </c>
      <c r="T130" s="8">
        <v>14</v>
      </c>
      <c r="U130" s="8">
        <v>132</v>
      </c>
      <c r="V130" s="24">
        <v>16.258064516129032</v>
      </c>
      <c r="W130" s="24">
        <v>101.61290322580645</v>
      </c>
      <c r="X130" s="24">
        <v>3.8181818181818183</v>
      </c>
      <c r="Y130" s="24">
        <v>-6.0606060606060552E-2</v>
      </c>
      <c r="Z130" s="24">
        <v>8.25</v>
      </c>
    </row>
    <row r="131" spans="1:26" ht="15.75" x14ac:dyDescent="0.25">
      <c r="A131" s="93">
        <v>11</v>
      </c>
      <c r="B131" s="91"/>
      <c r="C131" s="4" t="s">
        <v>56</v>
      </c>
      <c r="D131" s="4" t="s">
        <v>32</v>
      </c>
      <c r="E131" s="4">
        <v>31</v>
      </c>
      <c r="F131" s="4">
        <v>21</v>
      </c>
      <c r="G131" s="4">
        <v>9</v>
      </c>
      <c r="H131" s="4">
        <v>123</v>
      </c>
      <c r="I131" s="4">
        <v>233</v>
      </c>
      <c r="J131" s="5">
        <v>365</v>
      </c>
      <c r="K131" s="4">
        <v>76</v>
      </c>
      <c r="L131" s="4">
        <v>276</v>
      </c>
      <c r="M131" s="5">
        <v>0</v>
      </c>
      <c r="N131" s="4">
        <v>0</v>
      </c>
      <c r="O131" s="4">
        <v>0</v>
      </c>
      <c r="P131" s="5">
        <v>352</v>
      </c>
      <c r="Q131" s="4">
        <v>636</v>
      </c>
      <c r="R131" s="4">
        <v>2</v>
      </c>
      <c r="S131" s="4">
        <v>424</v>
      </c>
      <c r="T131" s="5">
        <v>13</v>
      </c>
      <c r="U131" s="5">
        <v>276</v>
      </c>
      <c r="V131" s="7">
        <v>13.67741935483871</v>
      </c>
      <c r="W131" s="7">
        <v>65.130568356374809</v>
      </c>
      <c r="X131" s="7">
        <v>1.536231884057971</v>
      </c>
      <c r="Y131" s="6">
        <v>0.82246376811594202</v>
      </c>
      <c r="Z131" s="7">
        <v>13.142857142857142</v>
      </c>
    </row>
    <row r="132" spans="1:26" ht="15.75" x14ac:dyDescent="0.25">
      <c r="A132" s="94"/>
      <c r="B132" s="91"/>
      <c r="C132" s="4" t="s">
        <v>60</v>
      </c>
      <c r="D132" s="4" t="s">
        <v>32</v>
      </c>
      <c r="E132" s="4">
        <v>31</v>
      </c>
      <c r="F132" s="4">
        <v>10</v>
      </c>
      <c r="G132" s="4">
        <v>2</v>
      </c>
      <c r="H132" s="4">
        <v>7</v>
      </c>
      <c r="I132" s="4">
        <v>116</v>
      </c>
      <c r="J132" s="5">
        <v>125</v>
      </c>
      <c r="K132" s="4">
        <v>2</v>
      </c>
      <c r="L132" s="4">
        <v>119</v>
      </c>
      <c r="M132" s="5">
        <v>0</v>
      </c>
      <c r="N132" s="4">
        <v>0</v>
      </c>
      <c r="O132" s="4">
        <v>0</v>
      </c>
      <c r="P132" s="5">
        <v>121</v>
      </c>
      <c r="Q132" s="4">
        <v>186</v>
      </c>
      <c r="R132" s="4">
        <v>1</v>
      </c>
      <c r="S132" s="4">
        <v>127</v>
      </c>
      <c r="T132" s="5">
        <v>4</v>
      </c>
      <c r="U132" s="5">
        <v>119</v>
      </c>
      <c r="V132" s="7">
        <v>4.096774193548387</v>
      </c>
      <c r="W132" s="7">
        <v>40.967741935483872</v>
      </c>
      <c r="X132" s="7">
        <v>1.0672268907563025</v>
      </c>
      <c r="Y132" s="6">
        <v>1.5378151260504203</v>
      </c>
      <c r="Z132" s="7">
        <v>11.9</v>
      </c>
    </row>
    <row r="133" spans="1:26" ht="15.75" x14ac:dyDescent="0.25">
      <c r="A133" s="95"/>
      <c r="B133" s="92"/>
      <c r="C133" s="10"/>
      <c r="D133" s="31"/>
      <c r="E133" s="4">
        <v>31</v>
      </c>
      <c r="F133" s="8">
        <v>31</v>
      </c>
      <c r="G133" s="8">
        <v>11</v>
      </c>
      <c r="H133" s="8">
        <v>130</v>
      </c>
      <c r="I133" s="8">
        <v>349</v>
      </c>
      <c r="J133" s="8">
        <v>490</v>
      </c>
      <c r="K133" s="8">
        <v>78</v>
      </c>
      <c r="L133" s="8">
        <v>395</v>
      </c>
      <c r="M133" s="8">
        <v>0</v>
      </c>
      <c r="N133" s="8">
        <v>0</v>
      </c>
      <c r="O133" s="8">
        <v>0</v>
      </c>
      <c r="P133" s="8">
        <v>473</v>
      </c>
      <c r="Q133" s="8">
        <v>822</v>
      </c>
      <c r="R133" s="8">
        <v>3</v>
      </c>
      <c r="S133" s="8">
        <v>551</v>
      </c>
      <c r="T133" s="8">
        <v>17</v>
      </c>
      <c r="U133" s="8">
        <v>395</v>
      </c>
      <c r="V133" s="24">
        <v>17.774193548387096</v>
      </c>
      <c r="W133" s="24">
        <v>57.336108220603535</v>
      </c>
      <c r="X133" s="24">
        <v>1.3949367088607596</v>
      </c>
      <c r="Y133" s="24">
        <v>1.0379746835443038</v>
      </c>
      <c r="Z133" s="24">
        <v>12.741935483870968</v>
      </c>
    </row>
    <row r="134" spans="1:26" ht="15.75" x14ac:dyDescent="0.25">
      <c r="A134" s="86" t="s">
        <v>79</v>
      </c>
      <c r="B134" s="86"/>
      <c r="C134" s="86"/>
      <c r="D134" s="86"/>
      <c r="E134" s="4">
        <v>31</v>
      </c>
      <c r="F134" s="20">
        <v>189</v>
      </c>
      <c r="G134" s="20">
        <v>169</v>
      </c>
      <c r="H134" s="20">
        <v>1372</v>
      </c>
      <c r="I134" s="20">
        <v>501</v>
      </c>
      <c r="J134" s="11">
        <v>2042</v>
      </c>
      <c r="K134" s="20">
        <v>178</v>
      </c>
      <c r="L134" s="20">
        <v>1612</v>
      </c>
      <c r="M134" s="11">
        <v>100</v>
      </c>
      <c r="N134" s="20">
        <v>49</v>
      </c>
      <c r="O134" s="20">
        <v>51</v>
      </c>
      <c r="P134" s="11">
        <v>1890</v>
      </c>
      <c r="Q134" s="20">
        <v>5381</v>
      </c>
      <c r="R134" s="20">
        <v>22</v>
      </c>
      <c r="S134" s="20">
        <v>5282</v>
      </c>
      <c r="T134" s="11">
        <v>152</v>
      </c>
      <c r="U134" s="11">
        <v>1712</v>
      </c>
      <c r="V134" s="22">
        <v>170.38709677419354</v>
      </c>
      <c r="W134" s="12">
        <v>90.151903055128855</v>
      </c>
      <c r="X134" s="12">
        <v>3.0852803738317758</v>
      </c>
      <c r="Y134" s="12">
        <v>0.33703271028037401</v>
      </c>
      <c r="Z134" s="12">
        <v>9.0582010582010586</v>
      </c>
    </row>
    <row r="135" spans="1:26" ht="15.75" x14ac:dyDescent="0.25">
      <c r="A135" s="87" t="s">
        <v>84</v>
      </c>
      <c r="B135" s="88"/>
      <c r="C135" s="88"/>
      <c r="D135" s="89"/>
      <c r="E135" s="63">
        <v>31</v>
      </c>
      <c r="F135" s="64">
        <f>+F88+F104+F134</f>
        <v>251</v>
      </c>
      <c r="G135" s="64">
        <f>+G88+G104+G134</f>
        <v>217</v>
      </c>
      <c r="H135" s="64">
        <f>+H88+H104+H134</f>
        <v>1724</v>
      </c>
      <c r="I135" s="64">
        <f>+I88+I104+I134</f>
        <v>750</v>
      </c>
      <c r="J135" s="63">
        <f t="shared" ref="J135" si="0">+G135+H135+I135</f>
        <v>2691</v>
      </c>
      <c r="K135" s="64">
        <f>+K88+K104+K134</f>
        <v>434</v>
      </c>
      <c r="L135" s="64">
        <f>+L88+L104+L134</f>
        <v>1959</v>
      </c>
      <c r="M135" s="63">
        <f t="shared" ref="M135" si="1">+N135+O135</f>
        <v>119</v>
      </c>
      <c r="N135" s="64">
        <f>+N88+N104+N134</f>
        <v>57</v>
      </c>
      <c r="O135" s="64">
        <f>+O88+O104+O134</f>
        <v>62</v>
      </c>
      <c r="P135" s="63">
        <f t="shared" ref="P135" si="2">+K135+L135+M135</f>
        <v>2512</v>
      </c>
      <c r="Q135" s="64">
        <f>+Q88+Q104+Q134</f>
        <v>6591</v>
      </c>
      <c r="R135" s="64">
        <f>+R88+R104+R134</f>
        <v>29</v>
      </c>
      <c r="S135" s="64">
        <f>+S88+S104+S134</f>
        <v>6628</v>
      </c>
      <c r="T135" s="63">
        <f t="shared" ref="T135" si="3">J135-P135</f>
        <v>179</v>
      </c>
      <c r="U135" s="63">
        <f t="shared" ref="U135" si="4">L135+M135</f>
        <v>2078</v>
      </c>
      <c r="V135" s="65">
        <f t="shared" ref="V135" si="5">$S135/$E135</f>
        <v>213.80645161290323</v>
      </c>
      <c r="W135" s="66">
        <f t="shared" ref="W135" si="6">$V135/$F135*100</f>
        <v>85.181853232232356</v>
      </c>
      <c r="X135" s="66">
        <f t="shared" ref="X135" si="7">$S135/($L135+$M135)</f>
        <v>3.1896053897978827</v>
      </c>
      <c r="Y135" s="66">
        <f t="shared" ref="Y135" si="8">(($F135-$V135)*$E135)/($L135+$M135)</f>
        <v>0.55486044273339741</v>
      </c>
      <c r="Z135" s="66">
        <f t="shared" ref="Z135" si="9">($L135+$M135)/$F135</f>
        <v>8.2788844621513942</v>
      </c>
    </row>
    <row r="137" spans="1:26" x14ac:dyDescent="0.25">
      <c r="A137" s="78" t="s">
        <v>1</v>
      </c>
      <c r="B137" s="78" t="s">
        <v>2</v>
      </c>
      <c r="C137" s="72" t="s">
        <v>3</v>
      </c>
      <c r="D137" s="72" t="s">
        <v>4</v>
      </c>
      <c r="E137" s="75" t="s">
        <v>5</v>
      </c>
      <c r="F137" s="72" t="s">
        <v>6</v>
      </c>
      <c r="G137" s="72" t="s">
        <v>7</v>
      </c>
      <c r="H137" s="72" t="s">
        <v>8</v>
      </c>
      <c r="I137" s="75" t="s">
        <v>9</v>
      </c>
      <c r="J137" s="72" t="s">
        <v>10</v>
      </c>
      <c r="K137" s="72" t="s">
        <v>11</v>
      </c>
      <c r="L137" s="72" t="s">
        <v>12</v>
      </c>
      <c r="M137" s="72" t="s">
        <v>13</v>
      </c>
      <c r="N137" s="72" t="s">
        <v>14</v>
      </c>
      <c r="O137" s="72" t="s">
        <v>15</v>
      </c>
      <c r="P137" s="72" t="s">
        <v>16</v>
      </c>
      <c r="Q137" s="72" t="s">
        <v>17</v>
      </c>
      <c r="R137" s="72" t="s">
        <v>18</v>
      </c>
      <c r="S137" s="72" t="s">
        <v>19</v>
      </c>
      <c r="T137" s="72" t="s">
        <v>20</v>
      </c>
      <c r="U137" s="73" t="s">
        <v>21</v>
      </c>
      <c r="V137" s="2" t="s">
        <v>22</v>
      </c>
      <c r="W137" s="2" t="s">
        <v>23</v>
      </c>
      <c r="X137" s="2" t="s">
        <v>24</v>
      </c>
      <c r="Y137" s="2" t="s">
        <v>25</v>
      </c>
      <c r="Z137" s="2" t="s">
        <v>26</v>
      </c>
    </row>
    <row r="138" spans="1:26" x14ac:dyDescent="0.25">
      <c r="A138" s="78"/>
      <c r="B138" s="78"/>
      <c r="C138" s="72"/>
      <c r="D138" s="72"/>
      <c r="E138" s="75"/>
      <c r="F138" s="72"/>
      <c r="G138" s="72"/>
      <c r="H138" s="72"/>
      <c r="I138" s="75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3"/>
      <c r="V138" s="71" t="s">
        <v>27</v>
      </c>
      <c r="W138" s="71" t="s">
        <v>28</v>
      </c>
      <c r="X138" s="71" t="s">
        <v>29</v>
      </c>
      <c r="Y138" s="71" t="s">
        <v>30</v>
      </c>
      <c r="Z138" s="71" t="s">
        <v>31</v>
      </c>
    </row>
    <row r="139" spans="1:26" x14ac:dyDescent="0.25">
      <c r="A139" s="78"/>
      <c r="B139" s="78"/>
      <c r="C139" s="72"/>
      <c r="D139" s="72"/>
      <c r="E139" s="75"/>
      <c r="F139" s="72"/>
      <c r="G139" s="72"/>
      <c r="H139" s="72"/>
      <c r="I139" s="75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3"/>
      <c r="V139" s="74"/>
      <c r="W139" s="71"/>
      <c r="X139" s="71"/>
      <c r="Y139" s="71"/>
      <c r="Z139" s="71"/>
    </row>
    <row r="140" spans="1:26" x14ac:dyDescent="0.25">
      <c r="A140" s="78"/>
      <c r="B140" s="78"/>
      <c r="C140" s="72"/>
      <c r="D140" s="72"/>
      <c r="E140" s="75"/>
      <c r="F140" s="72"/>
      <c r="G140" s="3">
        <v>1</v>
      </c>
      <c r="H140" s="3">
        <v>2</v>
      </c>
      <c r="I140" s="3">
        <v>3</v>
      </c>
      <c r="J140" s="3">
        <v>4</v>
      </c>
      <c r="K140" s="3">
        <v>5</v>
      </c>
      <c r="L140" s="3">
        <v>6</v>
      </c>
      <c r="M140" s="3">
        <v>7</v>
      </c>
      <c r="N140" s="3">
        <v>8</v>
      </c>
      <c r="O140" s="3">
        <v>9</v>
      </c>
      <c r="P140" s="3">
        <v>10</v>
      </c>
      <c r="Q140" s="3">
        <v>11</v>
      </c>
      <c r="R140" s="3">
        <v>12</v>
      </c>
      <c r="S140" s="3">
        <v>13</v>
      </c>
      <c r="T140" s="3">
        <v>14</v>
      </c>
      <c r="U140" s="73"/>
      <c r="V140" s="16">
        <v>15</v>
      </c>
      <c r="W140" s="16">
        <v>16</v>
      </c>
      <c r="X140" s="16">
        <v>17</v>
      </c>
      <c r="Y140" s="16">
        <v>18</v>
      </c>
      <c r="Z140" s="16">
        <v>19</v>
      </c>
    </row>
    <row r="141" spans="1:26" ht="15.75" x14ac:dyDescent="0.25">
      <c r="A141" s="82">
        <v>1</v>
      </c>
      <c r="B141" s="82" t="s">
        <v>80</v>
      </c>
      <c r="C141" s="5" t="s">
        <v>68</v>
      </c>
      <c r="D141" s="5" t="s">
        <v>36</v>
      </c>
      <c r="E141" s="4">
        <v>31</v>
      </c>
      <c r="F141" s="5">
        <v>0</v>
      </c>
      <c r="G141" s="5">
        <v>0</v>
      </c>
      <c r="H141" s="5">
        <v>214</v>
      </c>
      <c r="I141" s="5">
        <v>5</v>
      </c>
      <c r="J141" s="5">
        <v>219</v>
      </c>
      <c r="K141" s="5">
        <v>213</v>
      </c>
      <c r="L141" s="5">
        <v>0</v>
      </c>
      <c r="M141" s="5">
        <v>5</v>
      </c>
      <c r="N141" s="5">
        <v>5</v>
      </c>
      <c r="O141" s="5">
        <v>0</v>
      </c>
      <c r="P141" s="5">
        <v>218</v>
      </c>
      <c r="Q141" s="5">
        <v>5</v>
      </c>
      <c r="R141" s="5">
        <v>5</v>
      </c>
      <c r="S141" s="5">
        <v>96</v>
      </c>
      <c r="T141" s="5">
        <v>1</v>
      </c>
      <c r="U141" s="5">
        <v>5</v>
      </c>
      <c r="V141" s="7">
        <v>3.096774193548387</v>
      </c>
      <c r="W141" s="7" t="e">
        <v>#DIV/0!</v>
      </c>
      <c r="X141" s="7">
        <v>19.2</v>
      </c>
      <c r="Y141" s="6">
        <v>-19.2</v>
      </c>
      <c r="Z141" s="7" t="e">
        <v>#DIV/0!</v>
      </c>
    </row>
    <row r="142" spans="1:26" ht="15.75" x14ac:dyDescent="0.25">
      <c r="A142" s="82"/>
      <c r="B142" s="82"/>
      <c r="C142" s="8" t="s">
        <v>68</v>
      </c>
      <c r="D142" s="8" t="s">
        <v>36</v>
      </c>
      <c r="E142" s="4">
        <v>31</v>
      </c>
      <c r="F142" s="8">
        <v>0</v>
      </c>
      <c r="G142" s="8">
        <v>0</v>
      </c>
      <c r="H142" s="8">
        <v>214</v>
      </c>
      <c r="I142" s="8">
        <v>5</v>
      </c>
      <c r="J142" s="8">
        <v>219</v>
      </c>
      <c r="K142" s="8">
        <v>213</v>
      </c>
      <c r="L142" s="8">
        <v>0</v>
      </c>
      <c r="M142" s="8">
        <v>5</v>
      </c>
      <c r="N142" s="8">
        <v>5</v>
      </c>
      <c r="O142" s="8">
        <v>0</v>
      </c>
      <c r="P142" s="8">
        <v>218</v>
      </c>
      <c r="Q142" s="8">
        <v>5</v>
      </c>
      <c r="R142" s="8">
        <v>5</v>
      </c>
      <c r="S142" s="8">
        <v>96</v>
      </c>
      <c r="T142" s="8">
        <v>1</v>
      </c>
      <c r="U142" s="8">
        <v>5</v>
      </c>
      <c r="V142" s="24">
        <v>3.096774193548387</v>
      </c>
      <c r="W142" s="24" t="e">
        <v>#DIV/0!</v>
      </c>
      <c r="X142" s="24">
        <v>19.2</v>
      </c>
      <c r="Y142" s="24">
        <v>-19.2</v>
      </c>
      <c r="Z142" s="24" t="e">
        <v>#DIV/0!</v>
      </c>
    </row>
    <row r="143" spans="1:26" ht="15.75" x14ac:dyDescent="0.25">
      <c r="A143" s="83" t="s">
        <v>70</v>
      </c>
      <c r="B143" s="84"/>
      <c r="C143" s="84"/>
      <c r="D143" s="85"/>
      <c r="E143" s="4">
        <v>31</v>
      </c>
      <c r="F143" s="15">
        <v>388</v>
      </c>
      <c r="G143" s="15">
        <v>292</v>
      </c>
      <c r="H143" s="15">
        <v>2499</v>
      </c>
      <c r="I143" s="15">
        <v>1000</v>
      </c>
      <c r="J143" s="15">
        <v>3791</v>
      </c>
      <c r="K143" s="15">
        <v>1025</v>
      </c>
      <c r="L143" s="15">
        <v>2284</v>
      </c>
      <c r="M143" s="15">
        <v>230</v>
      </c>
      <c r="N143" s="15">
        <v>107</v>
      </c>
      <c r="O143" s="15">
        <v>123</v>
      </c>
      <c r="P143" s="15">
        <v>3539</v>
      </c>
      <c r="Q143" s="15">
        <v>8467</v>
      </c>
      <c r="R143" s="15">
        <v>43</v>
      </c>
      <c r="S143" s="15">
        <v>9185</v>
      </c>
      <c r="T143" s="15">
        <v>252</v>
      </c>
      <c r="U143" s="15">
        <v>2514</v>
      </c>
      <c r="V143" s="32">
        <v>296.29032258064518</v>
      </c>
      <c r="W143" s="33">
        <v>76.363485201197207</v>
      </c>
      <c r="X143" s="33">
        <v>3.6535401750198888</v>
      </c>
      <c r="Y143" s="33">
        <v>1.1308671439936355</v>
      </c>
      <c r="Z143" s="33">
        <v>6.4793814432989691</v>
      </c>
    </row>
  </sheetData>
  <sheetProtection algorithmName="SHA-512" hashValue="HqK4+bs8+tApdjmbwxpPCnSPaTwR5BKEGqT4XLXiiN4+spILZSli7m0ge/lF/3e51XIao2CMkmezp+rPxfiVpQ==" saltValue="ot+ngTHIkQfA4/44fFW25A==" spinCount="100000" sheet="1" objects="1" scenarios="1"/>
  <mergeCells count="262">
    <mergeCell ref="B60:B63"/>
    <mergeCell ref="C60:C63"/>
    <mergeCell ref="D60:D63"/>
    <mergeCell ref="E60:E63"/>
    <mergeCell ref="F60:F63"/>
    <mergeCell ref="G60:G62"/>
    <mergeCell ref="H60:H62"/>
    <mergeCell ref="I60:I62"/>
    <mergeCell ref="J60:J62"/>
    <mergeCell ref="E52:E55"/>
    <mergeCell ref="F52:F55"/>
    <mergeCell ref="G52:G54"/>
    <mergeCell ref="H52:H54"/>
    <mergeCell ref="P73:P75"/>
    <mergeCell ref="Q73:Q75"/>
    <mergeCell ref="J73:J75"/>
    <mergeCell ref="W74:W75"/>
    <mergeCell ref="X74:X75"/>
    <mergeCell ref="K60:K62"/>
    <mergeCell ref="L60:L62"/>
    <mergeCell ref="R73:R75"/>
    <mergeCell ref="S73:S75"/>
    <mergeCell ref="Q60:Q62"/>
    <mergeCell ref="R60:R62"/>
    <mergeCell ref="S60:S62"/>
    <mergeCell ref="K73:K75"/>
    <mergeCell ref="L73:L75"/>
    <mergeCell ref="M73:M75"/>
    <mergeCell ref="W53:W54"/>
    <mergeCell ref="X53:X54"/>
    <mergeCell ref="B7:B20"/>
    <mergeCell ref="A11:A12"/>
    <mergeCell ref="A13:A14"/>
    <mergeCell ref="A7:A8"/>
    <mergeCell ref="A9:A10"/>
    <mergeCell ref="E24:E27"/>
    <mergeCell ref="A97:A98"/>
    <mergeCell ref="T73:T75"/>
    <mergeCell ref="U73:U76"/>
    <mergeCell ref="J24:J26"/>
    <mergeCell ref="K24:K26"/>
    <mergeCell ref="L24:L26"/>
    <mergeCell ref="M24:M26"/>
    <mergeCell ref="A49:D49"/>
    <mergeCell ref="A52:A55"/>
    <mergeCell ref="B52:B55"/>
    <mergeCell ref="C52:C55"/>
    <mergeCell ref="D52:D55"/>
    <mergeCell ref="N73:N75"/>
    <mergeCell ref="O73:O75"/>
    <mergeCell ref="F73:F76"/>
    <mergeCell ref="G73:G75"/>
    <mergeCell ref="H73:H75"/>
    <mergeCell ref="I73:I75"/>
    <mergeCell ref="Y25:Y26"/>
    <mergeCell ref="Z25:Z26"/>
    <mergeCell ref="A28:A32"/>
    <mergeCell ref="B28:B48"/>
    <mergeCell ref="A33:A34"/>
    <mergeCell ref="A35:A36"/>
    <mergeCell ref="A37:A38"/>
    <mergeCell ref="A39:A40"/>
    <mergeCell ref="A41:A42"/>
    <mergeCell ref="A43:A44"/>
    <mergeCell ref="O24:O26"/>
    <mergeCell ref="P24:P26"/>
    <mergeCell ref="Q24:Q26"/>
    <mergeCell ref="R24:R26"/>
    <mergeCell ref="S24:S26"/>
    <mergeCell ref="T24:T26"/>
    <mergeCell ref="X25:X26"/>
    <mergeCell ref="U24:U27"/>
    <mergeCell ref="V25:V26"/>
    <mergeCell ref="W25:W26"/>
    <mergeCell ref="F24:F27"/>
    <mergeCell ref="G24:G26"/>
    <mergeCell ref="H24:H26"/>
    <mergeCell ref="I24:I26"/>
    <mergeCell ref="Y53:Y54"/>
    <mergeCell ref="Z53:Z54"/>
    <mergeCell ref="I52:I54"/>
    <mergeCell ref="J52:J54"/>
    <mergeCell ref="K52:K54"/>
    <mergeCell ref="L52:L54"/>
    <mergeCell ref="M52:M54"/>
    <mergeCell ref="N52:N54"/>
    <mergeCell ref="O52:O54"/>
    <mergeCell ref="P52:P54"/>
    <mergeCell ref="Q52:Q54"/>
    <mergeCell ref="R52:R54"/>
    <mergeCell ref="S52:S54"/>
    <mergeCell ref="T52:T54"/>
    <mergeCell ref="U52:U55"/>
    <mergeCell ref="V53:V54"/>
    <mergeCell ref="A73:A76"/>
    <mergeCell ref="B73:B76"/>
    <mergeCell ref="C73:C76"/>
    <mergeCell ref="D73:D76"/>
    <mergeCell ref="E73:E76"/>
    <mergeCell ref="Z61:Z62"/>
    <mergeCell ref="A64:A65"/>
    <mergeCell ref="B64:B69"/>
    <mergeCell ref="A66:A67"/>
    <mergeCell ref="A68:A69"/>
    <mergeCell ref="T60:T62"/>
    <mergeCell ref="U60:U63"/>
    <mergeCell ref="V61:V62"/>
    <mergeCell ref="W61:W62"/>
    <mergeCell ref="X61:X62"/>
    <mergeCell ref="Y61:Y62"/>
    <mergeCell ref="V74:V75"/>
    <mergeCell ref="M60:M62"/>
    <mergeCell ref="N60:N62"/>
    <mergeCell ref="O60:O62"/>
    <mergeCell ref="P60:P62"/>
    <mergeCell ref="Y74:Y75"/>
    <mergeCell ref="Z74:Z75"/>
    <mergeCell ref="A60:A63"/>
    <mergeCell ref="A88:D88"/>
    <mergeCell ref="A91:A94"/>
    <mergeCell ref="B91:B94"/>
    <mergeCell ref="C91:C94"/>
    <mergeCell ref="D91:D94"/>
    <mergeCell ref="A77:A78"/>
    <mergeCell ref="B77:B87"/>
    <mergeCell ref="A79:A80"/>
    <mergeCell ref="A81:A83"/>
    <mergeCell ref="A84:A85"/>
    <mergeCell ref="A86:A87"/>
    <mergeCell ref="A104:D104"/>
    <mergeCell ref="N91:N93"/>
    <mergeCell ref="O91:O93"/>
    <mergeCell ref="P91:P93"/>
    <mergeCell ref="Q91:Q93"/>
    <mergeCell ref="E91:E94"/>
    <mergeCell ref="F91:F94"/>
    <mergeCell ref="G91:G93"/>
    <mergeCell ref="H91:H93"/>
    <mergeCell ref="I91:I93"/>
    <mergeCell ref="J91:J93"/>
    <mergeCell ref="K91:K93"/>
    <mergeCell ref="L91:L93"/>
    <mergeCell ref="M91:M93"/>
    <mergeCell ref="A95:A96"/>
    <mergeCell ref="B95:B103"/>
    <mergeCell ref="A99:A101"/>
    <mergeCell ref="A102:A103"/>
    <mergeCell ref="R91:R93"/>
    <mergeCell ref="S91:S93"/>
    <mergeCell ref="T91:T93"/>
    <mergeCell ref="U91:U94"/>
    <mergeCell ref="V92:V93"/>
    <mergeCell ref="K107:K109"/>
    <mergeCell ref="L107:L109"/>
    <mergeCell ref="M107:M109"/>
    <mergeCell ref="N107:N109"/>
    <mergeCell ref="O107:O109"/>
    <mergeCell ref="R107:R109"/>
    <mergeCell ref="W92:W93"/>
    <mergeCell ref="X92:X93"/>
    <mergeCell ref="Y92:Y93"/>
    <mergeCell ref="Z92:Z93"/>
    <mergeCell ref="A107:A110"/>
    <mergeCell ref="B107:B110"/>
    <mergeCell ref="C107:C110"/>
    <mergeCell ref="D107:D110"/>
    <mergeCell ref="E107:E110"/>
    <mergeCell ref="F107:F110"/>
    <mergeCell ref="G107:G109"/>
    <mergeCell ref="H107:H109"/>
    <mergeCell ref="I107:I109"/>
    <mergeCell ref="X108:X109"/>
    <mergeCell ref="Y108:Y109"/>
    <mergeCell ref="Z108:Z109"/>
    <mergeCell ref="J107:J109"/>
    <mergeCell ref="S107:S109"/>
    <mergeCell ref="T107:T109"/>
    <mergeCell ref="U107:U110"/>
    <mergeCell ref="V108:V109"/>
    <mergeCell ref="W108:W109"/>
    <mergeCell ref="P107:P109"/>
    <mergeCell ref="Q107:Q109"/>
    <mergeCell ref="A111:A112"/>
    <mergeCell ref="B111:B133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3"/>
    <mergeCell ref="A134:D134"/>
    <mergeCell ref="A137:A140"/>
    <mergeCell ref="B137:B140"/>
    <mergeCell ref="C137:C140"/>
    <mergeCell ref="D137:D140"/>
    <mergeCell ref="Y138:Y139"/>
    <mergeCell ref="Z138:Z139"/>
    <mergeCell ref="I137:I139"/>
    <mergeCell ref="J137:J139"/>
    <mergeCell ref="K137:K139"/>
    <mergeCell ref="L137:L139"/>
    <mergeCell ref="M137:M139"/>
    <mergeCell ref="N137:N139"/>
    <mergeCell ref="O137:O139"/>
    <mergeCell ref="P137:P139"/>
    <mergeCell ref="Q137:Q139"/>
    <mergeCell ref="T137:T139"/>
    <mergeCell ref="U137:U140"/>
    <mergeCell ref="V138:V139"/>
    <mergeCell ref="W138:W139"/>
    <mergeCell ref="X138:X139"/>
    <mergeCell ref="A135:D135"/>
    <mergeCell ref="A141:A142"/>
    <mergeCell ref="B141:B142"/>
    <mergeCell ref="A143:D143"/>
    <mergeCell ref="R137:R139"/>
    <mergeCell ref="S137:S139"/>
    <mergeCell ref="E137:E140"/>
    <mergeCell ref="F137:F140"/>
    <mergeCell ref="G137:G139"/>
    <mergeCell ref="H137:H139"/>
    <mergeCell ref="A45:A46"/>
    <mergeCell ref="A47:A48"/>
    <mergeCell ref="S3:S5"/>
    <mergeCell ref="M3:M5"/>
    <mergeCell ref="N3:N5"/>
    <mergeCell ref="P3:P5"/>
    <mergeCell ref="Q3:Q5"/>
    <mergeCell ref="O3:O5"/>
    <mergeCell ref="J3:J5"/>
    <mergeCell ref="K3:K5"/>
    <mergeCell ref="L3:L5"/>
    <mergeCell ref="A3:A6"/>
    <mergeCell ref="B3:B6"/>
    <mergeCell ref="C3:C6"/>
    <mergeCell ref="R3:R5"/>
    <mergeCell ref="N24:N26"/>
    <mergeCell ref="A15:A16"/>
    <mergeCell ref="A17:A18"/>
    <mergeCell ref="A19:A20"/>
    <mergeCell ref="A21:D21"/>
    <mergeCell ref="A24:A27"/>
    <mergeCell ref="B24:B27"/>
    <mergeCell ref="C24:C27"/>
    <mergeCell ref="D24:D27"/>
    <mergeCell ref="Y4:Y5"/>
    <mergeCell ref="Z4:Z5"/>
    <mergeCell ref="T3:T5"/>
    <mergeCell ref="U3:U6"/>
    <mergeCell ref="V4:V5"/>
    <mergeCell ref="W4:W5"/>
    <mergeCell ref="X4:X5"/>
    <mergeCell ref="I3:I5"/>
    <mergeCell ref="D3:D6"/>
    <mergeCell ref="E3:E6"/>
    <mergeCell ref="F3:F6"/>
    <mergeCell ref="G3:G5"/>
    <mergeCell ref="H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43"/>
  <sheetViews>
    <sheetView zoomScale="60" zoomScaleNormal="60" workbookViewId="0">
      <pane xSplit="4" ySplit="1" topLeftCell="E110" activePane="bottomRight" state="frozen"/>
      <selection activeCell="A60" sqref="A60:XFD60"/>
      <selection pane="topRight" activeCell="A60" sqref="A60:XFD60"/>
      <selection pane="bottomLeft" activeCell="A60" sqref="A60:XFD60"/>
      <selection pane="bottomRight" activeCell="A135" sqref="A135:Z135"/>
    </sheetView>
  </sheetViews>
  <sheetFormatPr defaultRowHeight="15" x14ac:dyDescent="0.25"/>
  <cols>
    <col min="3" max="3" width="20.85546875" bestFit="1" customWidth="1"/>
  </cols>
  <sheetData>
    <row r="1" spans="1:26" ht="15.75" x14ac:dyDescent="0.25">
      <c r="A1" s="1" t="s">
        <v>0</v>
      </c>
    </row>
    <row r="2" spans="1:26" ht="15.75" x14ac:dyDescent="0.25">
      <c r="A2" s="1" t="s">
        <v>81</v>
      </c>
    </row>
    <row r="3" spans="1:26" x14ac:dyDescent="0.25">
      <c r="A3" s="78" t="s">
        <v>1</v>
      </c>
      <c r="B3" s="78" t="s">
        <v>2</v>
      </c>
      <c r="C3" s="72" t="s">
        <v>3</v>
      </c>
      <c r="D3" s="72" t="s">
        <v>4</v>
      </c>
      <c r="E3" s="75" t="s">
        <v>5</v>
      </c>
      <c r="F3" s="72" t="s">
        <v>6</v>
      </c>
      <c r="G3" s="72" t="s">
        <v>7</v>
      </c>
      <c r="H3" s="72" t="s">
        <v>8</v>
      </c>
      <c r="I3" s="75" t="s">
        <v>9</v>
      </c>
      <c r="J3" s="72" t="s">
        <v>10</v>
      </c>
      <c r="K3" s="72" t="s">
        <v>11</v>
      </c>
      <c r="L3" s="72" t="s">
        <v>12</v>
      </c>
      <c r="M3" s="72" t="s">
        <v>13</v>
      </c>
      <c r="N3" s="72" t="s">
        <v>14</v>
      </c>
      <c r="O3" s="72" t="s">
        <v>15</v>
      </c>
      <c r="P3" s="72" t="s">
        <v>16</v>
      </c>
      <c r="Q3" s="72" t="s">
        <v>17</v>
      </c>
      <c r="R3" s="72" t="s">
        <v>18</v>
      </c>
      <c r="S3" s="72" t="s">
        <v>19</v>
      </c>
      <c r="T3" s="72" t="s">
        <v>20</v>
      </c>
      <c r="U3" s="73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</row>
    <row r="4" spans="1:26" x14ac:dyDescent="0.25">
      <c r="A4" s="78"/>
      <c r="B4" s="78"/>
      <c r="C4" s="72"/>
      <c r="D4" s="72"/>
      <c r="E4" s="75"/>
      <c r="F4" s="72"/>
      <c r="G4" s="72"/>
      <c r="H4" s="72"/>
      <c r="I4" s="75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3"/>
      <c r="V4" s="71" t="s">
        <v>27</v>
      </c>
      <c r="W4" s="71" t="s">
        <v>28</v>
      </c>
      <c r="X4" s="71" t="s">
        <v>29</v>
      </c>
      <c r="Y4" s="71" t="s">
        <v>30</v>
      </c>
      <c r="Z4" s="71" t="s">
        <v>31</v>
      </c>
    </row>
    <row r="5" spans="1:26" x14ac:dyDescent="0.25">
      <c r="A5" s="78"/>
      <c r="B5" s="78"/>
      <c r="C5" s="72"/>
      <c r="D5" s="72"/>
      <c r="E5" s="75"/>
      <c r="F5" s="72"/>
      <c r="G5" s="72"/>
      <c r="H5" s="72"/>
      <c r="I5" s="75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3"/>
      <c r="V5" s="74"/>
      <c r="W5" s="71"/>
      <c r="X5" s="71"/>
      <c r="Y5" s="71"/>
      <c r="Z5" s="71"/>
    </row>
    <row r="6" spans="1:26" x14ac:dyDescent="0.25">
      <c r="A6" s="78"/>
      <c r="B6" s="78"/>
      <c r="C6" s="72"/>
      <c r="D6" s="72"/>
      <c r="E6" s="75"/>
      <c r="F6" s="72"/>
      <c r="G6" s="3">
        <v>1</v>
      </c>
      <c r="H6" s="3">
        <v>2</v>
      </c>
      <c r="I6" s="3">
        <v>3</v>
      </c>
      <c r="J6" s="3">
        <v>4</v>
      </c>
      <c r="K6" s="3">
        <v>5</v>
      </c>
      <c r="L6" s="3">
        <v>6</v>
      </c>
      <c r="M6" s="3">
        <v>7</v>
      </c>
      <c r="N6" s="3">
        <v>8</v>
      </c>
      <c r="O6" s="3">
        <v>9</v>
      </c>
      <c r="P6" s="3">
        <v>10</v>
      </c>
      <c r="Q6" s="3">
        <v>11</v>
      </c>
      <c r="R6" s="3">
        <v>12</v>
      </c>
      <c r="S6" s="3">
        <v>13</v>
      </c>
      <c r="T6" s="3">
        <v>14</v>
      </c>
      <c r="U6" s="73"/>
      <c r="V6" s="16">
        <v>15</v>
      </c>
      <c r="W6" s="16">
        <v>16</v>
      </c>
      <c r="X6" s="16">
        <v>17</v>
      </c>
      <c r="Y6" s="16">
        <v>18</v>
      </c>
      <c r="Z6" s="16">
        <v>19</v>
      </c>
    </row>
    <row r="7" spans="1:26" ht="15.75" x14ac:dyDescent="0.25">
      <c r="A7" s="76">
        <v>1</v>
      </c>
      <c r="B7" s="96" t="s">
        <v>62</v>
      </c>
      <c r="C7" s="4" t="s">
        <v>63</v>
      </c>
      <c r="D7" s="4" t="s">
        <v>43</v>
      </c>
      <c r="E7" s="4">
        <v>28</v>
      </c>
      <c r="F7" s="4">
        <v>14</v>
      </c>
      <c r="G7" s="4">
        <v>6</v>
      </c>
      <c r="H7" s="4">
        <v>14</v>
      </c>
      <c r="I7" s="4">
        <v>96</v>
      </c>
      <c r="J7" s="5">
        <v>116</v>
      </c>
      <c r="K7" s="4">
        <v>94</v>
      </c>
      <c r="L7" s="4">
        <v>0</v>
      </c>
      <c r="M7" s="5">
        <v>13</v>
      </c>
      <c r="N7" s="4">
        <v>2</v>
      </c>
      <c r="O7" s="4">
        <v>11</v>
      </c>
      <c r="P7" s="5">
        <v>107</v>
      </c>
      <c r="Q7" s="4">
        <v>149</v>
      </c>
      <c r="R7" s="4">
        <v>1</v>
      </c>
      <c r="S7" s="4">
        <v>255</v>
      </c>
      <c r="T7" s="5">
        <v>9</v>
      </c>
      <c r="U7" s="5">
        <v>13</v>
      </c>
      <c r="V7" s="7">
        <v>9.1071428571428577</v>
      </c>
      <c r="W7" s="7">
        <v>65.051020408163268</v>
      </c>
      <c r="X7" s="7">
        <v>19.615384615384617</v>
      </c>
      <c r="Y7" s="6">
        <v>10.538461538461538</v>
      </c>
      <c r="Z7" s="7">
        <v>0.9285714285714286</v>
      </c>
    </row>
    <row r="8" spans="1:26" ht="15.75" x14ac:dyDescent="0.25">
      <c r="A8" s="77"/>
      <c r="B8" s="97"/>
      <c r="C8" s="8" t="s">
        <v>63</v>
      </c>
      <c r="D8" s="8" t="s">
        <v>43</v>
      </c>
      <c r="E8" s="4">
        <v>28</v>
      </c>
      <c r="F8" s="8">
        <v>14</v>
      </c>
      <c r="G8" s="8">
        <v>6</v>
      </c>
      <c r="H8" s="8">
        <v>14</v>
      </c>
      <c r="I8" s="8">
        <v>96</v>
      </c>
      <c r="J8" s="8">
        <v>116</v>
      </c>
      <c r="K8" s="8">
        <v>94</v>
      </c>
      <c r="L8" s="8">
        <v>0</v>
      </c>
      <c r="M8" s="8">
        <v>13</v>
      </c>
      <c r="N8" s="8">
        <v>2</v>
      </c>
      <c r="O8" s="8">
        <v>11</v>
      </c>
      <c r="P8" s="8">
        <v>107</v>
      </c>
      <c r="Q8" s="8">
        <v>149</v>
      </c>
      <c r="R8" s="8">
        <v>1</v>
      </c>
      <c r="S8" s="8">
        <v>255</v>
      </c>
      <c r="T8" s="8">
        <v>9</v>
      </c>
      <c r="U8" s="8">
        <v>13</v>
      </c>
      <c r="V8" s="24">
        <v>9.1071428571428577</v>
      </c>
      <c r="W8" s="24">
        <v>65.051020408163268</v>
      </c>
      <c r="X8" s="24">
        <v>19.615384615384617</v>
      </c>
      <c r="Y8" s="24">
        <v>10.538461538461538</v>
      </c>
      <c r="Z8" s="24">
        <v>0.9285714285714286</v>
      </c>
    </row>
    <row r="9" spans="1:26" ht="15.75" x14ac:dyDescent="0.25">
      <c r="A9" s="76">
        <v>2</v>
      </c>
      <c r="B9" s="97"/>
      <c r="C9" s="4" t="s">
        <v>64</v>
      </c>
      <c r="D9" s="4" t="s">
        <v>43</v>
      </c>
      <c r="E9" s="4">
        <v>28</v>
      </c>
      <c r="F9" s="4">
        <v>5</v>
      </c>
      <c r="G9" s="4">
        <v>5</v>
      </c>
      <c r="H9" s="4">
        <v>69</v>
      </c>
      <c r="I9" s="4">
        <v>8</v>
      </c>
      <c r="J9" s="5">
        <v>82</v>
      </c>
      <c r="K9" s="4">
        <v>71</v>
      </c>
      <c r="L9" s="4">
        <v>1</v>
      </c>
      <c r="M9" s="5">
        <v>7</v>
      </c>
      <c r="N9" s="4">
        <v>7</v>
      </c>
      <c r="O9" s="4">
        <v>0</v>
      </c>
      <c r="P9" s="5">
        <v>79</v>
      </c>
      <c r="Q9" s="4">
        <v>8</v>
      </c>
      <c r="R9" s="4">
        <v>4</v>
      </c>
      <c r="S9" s="4">
        <v>102</v>
      </c>
      <c r="T9" s="5">
        <v>3</v>
      </c>
      <c r="U9" s="5">
        <v>8</v>
      </c>
      <c r="V9" s="7">
        <v>3.6428571428571428</v>
      </c>
      <c r="W9" s="7">
        <v>72.857142857142847</v>
      </c>
      <c r="X9" s="7">
        <v>12.75</v>
      </c>
      <c r="Y9" s="6">
        <v>4.75</v>
      </c>
      <c r="Z9" s="7">
        <v>1.6</v>
      </c>
    </row>
    <row r="10" spans="1:26" ht="15.75" x14ac:dyDescent="0.25">
      <c r="A10" s="77"/>
      <c r="B10" s="97"/>
      <c r="C10" s="8" t="s">
        <v>64</v>
      </c>
      <c r="D10" s="8" t="s">
        <v>43</v>
      </c>
      <c r="E10" s="4">
        <v>28</v>
      </c>
      <c r="F10" s="8">
        <v>5</v>
      </c>
      <c r="G10" s="8">
        <v>5</v>
      </c>
      <c r="H10" s="8">
        <v>69</v>
      </c>
      <c r="I10" s="8">
        <v>8</v>
      </c>
      <c r="J10" s="8">
        <v>82</v>
      </c>
      <c r="K10" s="8">
        <v>71</v>
      </c>
      <c r="L10" s="8">
        <v>1</v>
      </c>
      <c r="M10" s="8">
        <v>7</v>
      </c>
      <c r="N10" s="8">
        <v>7</v>
      </c>
      <c r="O10" s="8">
        <v>0</v>
      </c>
      <c r="P10" s="8">
        <v>79</v>
      </c>
      <c r="Q10" s="8">
        <v>8</v>
      </c>
      <c r="R10" s="8">
        <v>4</v>
      </c>
      <c r="S10" s="8">
        <v>102</v>
      </c>
      <c r="T10" s="8">
        <v>3</v>
      </c>
      <c r="U10" s="8">
        <v>8</v>
      </c>
      <c r="V10" s="24">
        <v>3.6428571428571428</v>
      </c>
      <c r="W10" s="24">
        <v>72.857142857142847</v>
      </c>
      <c r="X10" s="24">
        <v>12.75</v>
      </c>
      <c r="Y10" s="24">
        <v>4.75</v>
      </c>
      <c r="Z10" s="24">
        <v>1.6</v>
      </c>
    </row>
    <row r="11" spans="1:26" ht="15.75" x14ac:dyDescent="0.25">
      <c r="A11" s="76">
        <v>3</v>
      </c>
      <c r="B11" s="97"/>
      <c r="C11" s="4" t="s">
        <v>65</v>
      </c>
      <c r="D11" s="4" t="s">
        <v>43</v>
      </c>
      <c r="E11" s="4">
        <v>28</v>
      </c>
      <c r="F11" s="4">
        <v>3</v>
      </c>
      <c r="G11" s="4">
        <v>3</v>
      </c>
      <c r="H11" s="4">
        <v>12</v>
      </c>
      <c r="I11" s="4">
        <v>7</v>
      </c>
      <c r="J11" s="5">
        <v>22</v>
      </c>
      <c r="K11" s="4">
        <v>17</v>
      </c>
      <c r="L11" s="4">
        <v>0</v>
      </c>
      <c r="M11" s="5">
        <v>4</v>
      </c>
      <c r="N11" s="4">
        <v>1</v>
      </c>
      <c r="O11" s="4">
        <v>3</v>
      </c>
      <c r="P11" s="5">
        <v>21</v>
      </c>
      <c r="Q11" s="4">
        <v>23</v>
      </c>
      <c r="R11" s="4">
        <v>0</v>
      </c>
      <c r="S11" s="4">
        <v>48</v>
      </c>
      <c r="T11" s="5">
        <v>1</v>
      </c>
      <c r="U11" s="5">
        <v>4</v>
      </c>
      <c r="V11" s="7">
        <v>1.7142857142857142</v>
      </c>
      <c r="W11" s="7">
        <v>57.142857142857139</v>
      </c>
      <c r="X11" s="7">
        <v>12</v>
      </c>
      <c r="Y11" s="6">
        <v>9</v>
      </c>
      <c r="Z11" s="7">
        <v>1.3333333333333333</v>
      </c>
    </row>
    <row r="12" spans="1:26" ht="15.75" x14ac:dyDescent="0.25">
      <c r="A12" s="77"/>
      <c r="B12" s="97"/>
      <c r="C12" s="8" t="s">
        <v>65</v>
      </c>
      <c r="D12" s="8" t="s">
        <v>43</v>
      </c>
      <c r="E12" s="4">
        <v>28</v>
      </c>
      <c r="F12" s="8">
        <v>3</v>
      </c>
      <c r="G12" s="8">
        <v>3</v>
      </c>
      <c r="H12" s="8">
        <v>12</v>
      </c>
      <c r="I12" s="8">
        <v>7</v>
      </c>
      <c r="J12" s="8">
        <v>22</v>
      </c>
      <c r="K12" s="8">
        <v>17</v>
      </c>
      <c r="L12" s="8">
        <v>0</v>
      </c>
      <c r="M12" s="8">
        <v>4</v>
      </c>
      <c r="N12" s="8">
        <v>1</v>
      </c>
      <c r="O12" s="8">
        <v>3</v>
      </c>
      <c r="P12" s="8">
        <v>21</v>
      </c>
      <c r="Q12" s="8">
        <v>23</v>
      </c>
      <c r="R12" s="8">
        <v>0</v>
      </c>
      <c r="S12" s="8">
        <v>48</v>
      </c>
      <c r="T12" s="8">
        <v>1</v>
      </c>
      <c r="U12" s="8">
        <v>4</v>
      </c>
      <c r="V12" s="24">
        <v>1.7142857142857142</v>
      </c>
      <c r="W12" s="24">
        <v>57.142857142857139</v>
      </c>
      <c r="X12" s="24">
        <v>12</v>
      </c>
      <c r="Y12" s="24">
        <v>9</v>
      </c>
      <c r="Z12" s="24">
        <v>1.3333333333333333</v>
      </c>
    </row>
    <row r="13" spans="1:26" ht="15.75" x14ac:dyDescent="0.25">
      <c r="A13" s="76">
        <v>4</v>
      </c>
      <c r="B13" s="97"/>
      <c r="C13" s="5" t="s">
        <v>66</v>
      </c>
      <c r="D13" s="5" t="s">
        <v>43</v>
      </c>
      <c r="E13" s="4">
        <v>28</v>
      </c>
      <c r="F13" s="5">
        <v>5</v>
      </c>
      <c r="G13" s="5">
        <v>5</v>
      </c>
      <c r="H13" s="5">
        <v>9</v>
      </c>
      <c r="I13" s="5">
        <v>17</v>
      </c>
      <c r="J13" s="5">
        <v>31</v>
      </c>
      <c r="K13" s="5">
        <v>16</v>
      </c>
      <c r="L13" s="5">
        <v>1</v>
      </c>
      <c r="M13" s="5">
        <v>10</v>
      </c>
      <c r="N13" s="5">
        <v>6</v>
      </c>
      <c r="O13" s="5">
        <v>4</v>
      </c>
      <c r="P13" s="5">
        <v>27</v>
      </c>
      <c r="Q13" s="5">
        <v>51</v>
      </c>
      <c r="R13" s="5">
        <v>1</v>
      </c>
      <c r="S13" s="5">
        <v>119</v>
      </c>
      <c r="T13" s="5">
        <v>4</v>
      </c>
      <c r="U13" s="5">
        <v>11</v>
      </c>
      <c r="V13" s="7">
        <v>4.25</v>
      </c>
      <c r="W13" s="7">
        <v>85</v>
      </c>
      <c r="X13" s="7">
        <v>10.818181818181818</v>
      </c>
      <c r="Y13" s="6">
        <v>1.9090909090909092</v>
      </c>
      <c r="Z13" s="7">
        <v>2.2000000000000002</v>
      </c>
    </row>
    <row r="14" spans="1:26" ht="15.75" x14ac:dyDescent="0.25">
      <c r="A14" s="77"/>
      <c r="B14" s="97"/>
      <c r="C14" s="8" t="s">
        <v>66</v>
      </c>
      <c r="D14" s="8" t="s">
        <v>43</v>
      </c>
      <c r="E14" s="4">
        <v>28</v>
      </c>
      <c r="F14" s="8">
        <v>5</v>
      </c>
      <c r="G14" s="8">
        <v>5</v>
      </c>
      <c r="H14" s="8">
        <v>9</v>
      </c>
      <c r="I14" s="8">
        <v>17</v>
      </c>
      <c r="J14" s="8">
        <v>31</v>
      </c>
      <c r="K14" s="8">
        <v>16</v>
      </c>
      <c r="L14" s="8">
        <v>1</v>
      </c>
      <c r="M14" s="8">
        <v>10</v>
      </c>
      <c r="N14" s="8">
        <v>6</v>
      </c>
      <c r="O14" s="8">
        <v>4</v>
      </c>
      <c r="P14" s="8">
        <v>27</v>
      </c>
      <c r="Q14" s="8">
        <v>51</v>
      </c>
      <c r="R14" s="8">
        <v>1</v>
      </c>
      <c r="S14" s="8">
        <v>119</v>
      </c>
      <c r="T14" s="8">
        <v>4</v>
      </c>
      <c r="U14" s="8">
        <v>11</v>
      </c>
      <c r="V14" s="24">
        <v>4.25</v>
      </c>
      <c r="W14" s="24">
        <v>85</v>
      </c>
      <c r="X14" s="24">
        <v>10.818181818181818</v>
      </c>
      <c r="Y14" s="24">
        <v>1.9090909090909092</v>
      </c>
      <c r="Z14" s="24">
        <v>2.2000000000000002</v>
      </c>
    </row>
    <row r="15" spans="1:26" ht="15.75" x14ac:dyDescent="0.25">
      <c r="A15" s="76">
        <v>5</v>
      </c>
      <c r="B15" s="97"/>
      <c r="C15" s="5" t="s">
        <v>67</v>
      </c>
      <c r="D15" s="5" t="s">
        <v>43</v>
      </c>
      <c r="E15" s="4">
        <v>28</v>
      </c>
      <c r="F15" s="5">
        <v>4</v>
      </c>
      <c r="G15" s="5">
        <v>3</v>
      </c>
      <c r="H15" s="5">
        <v>29</v>
      </c>
      <c r="I15" s="5">
        <v>8</v>
      </c>
      <c r="J15" s="5">
        <v>40</v>
      </c>
      <c r="K15" s="5">
        <v>25</v>
      </c>
      <c r="L15" s="5">
        <v>0</v>
      </c>
      <c r="M15" s="5">
        <v>11</v>
      </c>
      <c r="N15" s="5">
        <v>9</v>
      </c>
      <c r="O15" s="5">
        <v>2</v>
      </c>
      <c r="P15" s="5">
        <v>36</v>
      </c>
      <c r="Q15" s="5">
        <v>21</v>
      </c>
      <c r="R15" s="5">
        <v>2</v>
      </c>
      <c r="S15" s="5">
        <v>67</v>
      </c>
      <c r="T15" s="5">
        <v>4</v>
      </c>
      <c r="U15" s="5">
        <v>11</v>
      </c>
      <c r="V15" s="7">
        <v>2.3928571428571428</v>
      </c>
      <c r="W15" s="7">
        <v>59.821428571428569</v>
      </c>
      <c r="X15" s="7">
        <v>6.0909090909090908</v>
      </c>
      <c r="Y15" s="6">
        <v>4.0909090909090908</v>
      </c>
      <c r="Z15" s="7">
        <v>2.75</v>
      </c>
    </row>
    <row r="16" spans="1:26" ht="15.75" x14ac:dyDescent="0.25">
      <c r="A16" s="77"/>
      <c r="B16" s="97"/>
      <c r="C16" s="8" t="s">
        <v>67</v>
      </c>
      <c r="D16" s="8" t="s">
        <v>43</v>
      </c>
      <c r="E16" s="4">
        <v>28</v>
      </c>
      <c r="F16" s="8">
        <v>4</v>
      </c>
      <c r="G16" s="8">
        <v>3</v>
      </c>
      <c r="H16" s="8">
        <v>29</v>
      </c>
      <c r="I16" s="8">
        <v>8</v>
      </c>
      <c r="J16" s="8">
        <v>40</v>
      </c>
      <c r="K16" s="8">
        <v>25</v>
      </c>
      <c r="L16" s="8">
        <v>0</v>
      </c>
      <c r="M16" s="8">
        <v>11</v>
      </c>
      <c r="N16" s="8">
        <v>9</v>
      </c>
      <c r="O16" s="8">
        <v>2</v>
      </c>
      <c r="P16" s="8">
        <v>36</v>
      </c>
      <c r="Q16" s="8">
        <v>21</v>
      </c>
      <c r="R16" s="8">
        <v>2</v>
      </c>
      <c r="S16" s="8">
        <v>67</v>
      </c>
      <c r="T16" s="8">
        <v>4</v>
      </c>
      <c r="U16" s="8">
        <v>11</v>
      </c>
      <c r="V16" s="24">
        <v>2.3928571428571428</v>
      </c>
      <c r="W16" s="24">
        <v>59.821428571428569</v>
      </c>
      <c r="X16" s="24">
        <v>6.0909090909090908</v>
      </c>
      <c r="Y16" s="24">
        <v>4.0909090909090908</v>
      </c>
      <c r="Z16" s="24">
        <v>2.75</v>
      </c>
    </row>
    <row r="17" spans="1:26" ht="15.75" x14ac:dyDescent="0.25">
      <c r="A17" s="76">
        <v>6</v>
      </c>
      <c r="B17" s="97"/>
      <c r="C17" s="5" t="s">
        <v>58</v>
      </c>
      <c r="D17" s="5" t="s">
        <v>43</v>
      </c>
      <c r="E17" s="4">
        <v>28</v>
      </c>
      <c r="F17" s="5">
        <v>2</v>
      </c>
      <c r="G17" s="5">
        <v>1</v>
      </c>
      <c r="H17" s="5">
        <v>8</v>
      </c>
      <c r="I17" s="5">
        <v>3</v>
      </c>
      <c r="J17" s="5">
        <v>12</v>
      </c>
      <c r="K17" s="5">
        <v>7</v>
      </c>
      <c r="L17" s="5">
        <v>0</v>
      </c>
      <c r="M17" s="5">
        <v>3</v>
      </c>
      <c r="N17" s="5">
        <v>1</v>
      </c>
      <c r="O17" s="5">
        <v>2</v>
      </c>
      <c r="P17" s="5">
        <v>10</v>
      </c>
      <c r="Q17" s="5">
        <v>8</v>
      </c>
      <c r="R17" s="5">
        <v>0</v>
      </c>
      <c r="S17" s="5">
        <v>24</v>
      </c>
      <c r="T17" s="5">
        <v>2</v>
      </c>
      <c r="U17" s="5">
        <v>3</v>
      </c>
      <c r="V17" s="13">
        <v>0.8571428571428571</v>
      </c>
      <c r="W17" s="13">
        <v>42.857142857142854</v>
      </c>
      <c r="X17" s="13">
        <v>8</v>
      </c>
      <c r="Y17" s="14">
        <v>10.666666666666666</v>
      </c>
      <c r="Z17" s="13">
        <v>1.5</v>
      </c>
    </row>
    <row r="18" spans="1:26" ht="15.75" x14ac:dyDescent="0.25">
      <c r="A18" s="77"/>
      <c r="B18" s="97"/>
      <c r="C18" s="8" t="s">
        <v>58</v>
      </c>
      <c r="D18" s="8"/>
      <c r="E18" s="4">
        <v>28</v>
      </c>
      <c r="F18" s="8">
        <v>2</v>
      </c>
      <c r="G18" s="8">
        <v>1</v>
      </c>
      <c r="H18" s="8">
        <v>8</v>
      </c>
      <c r="I18" s="8">
        <v>3</v>
      </c>
      <c r="J18" s="8">
        <v>12</v>
      </c>
      <c r="K18" s="8">
        <v>7</v>
      </c>
      <c r="L18" s="8">
        <v>0</v>
      </c>
      <c r="M18" s="8">
        <v>3</v>
      </c>
      <c r="N18" s="8">
        <v>1</v>
      </c>
      <c r="O18" s="8">
        <v>2</v>
      </c>
      <c r="P18" s="8">
        <v>10</v>
      </c>
      <c r="Q18" s="8">
        <v>8</v>
      </c>
      <c r="R18" s="8">
        <v>0</v>
      </c>
      <c r="S18" s="8">
        <v>24</v>
      </c>
      <c r="T18" s="8">
        <v>2</v>
      </c>
      <c r="U18" s="8">
        <v>3</v>
      </c>
      <c r="V18" s="26">
        <v>0.8571428571428571</v>
      </c>
      <c r="W18" s="26">
        <v>42.857142857142854</v>
      </c>
      <c r="X18" s="26">
        <v>8</v>
      </c>
      <c r="Y18" s="26">
        <v>10.666666666666666</v>
      </c>
      <c r="Z18" s="26">
        <v>1.5</v>
      </c>
    </row>
    <row r="19" spans="1:26" ht="15.75" x14ac:dyDescent="0.25">
      <c r="A19" s="76">
        <v>7</v>
      </c>
      <c r="B19" s="97"/>
      <c r="C19" s="5" t="s">
        <v>73</v>
      </c>
      <c r="D19" s="5" t="s">
        <v>36</v>
      </c>
      <c r="E19" s="4">
        <v>28</v>
      </c>
      <c r="F19" s="5">
        <v>12</v>
      </c>
      <c r="G19" s="5">
        <v>12</v>
      </c>
      <c r="H19" s="5">
        <v>65</v>
      </c>
      <c r="I19" s="5">
        <v>28</v>
      </c>
      <c r="J19" s="5">
        <v>105</v>
      </c>
      <c r="K19" s="5">
        <v>18</v>
      </c>
      <c r="L19" s="5">
        <v>68</v>
      </c>
      <c r="M19" s="5">
        <v>11</v>
      </c>
      <c r="N19" s="5">
        <v>9</v>
      </c>
      <c r="O19" s="5">
        <v>2</v>
      </c>
      <c r="P19" s="5">
        <v>97</v>
      </c>
      <c r="Q19" s="5">
        <v>307</v>
      </c>
      <c r="R19" s="5">
        <v>4</v>
      </c>
      <c r="S19" s="5">
        <v>345</v>
      </c>
      <c r="T19" s="5">
        <v>8</v>
      </c>
      <c r="U19" s="5">
        <v>79</v>
      </c>
      <c r="V19" s="7">
        <v>12.321428571428571</v>
      </c>
      <c r="W19" s="7">
        <v>102.67857142857142</v>
      </c>
      <c r="X19" s="7">
        <v>4.3670886075949369</v>
      </c>
      <c r="Y19" s="6">
        <v>-0.11392405063291131</v>
      </c>
      <c r="Z19" s="7">
        <v>6.583333333333333</v>
      </c>
    </row>
    <row r="20" spans="1:26" ht="15.75" x14ac:dyDescent="0.25">
      <c r="A20" s="77"/>
      <c r="B20" s="99"/>
      <c r="C20" s="8" t="s">
        <v>73</v>
      </c>
      <c r="D20" s="8" t="s">
        <v>36</v>
      </c>
      <c r="E20" s="4">
        <v>28</v>
      </c>
      <c r="F20" s="8">
        <v>12</v>
      </c>
      <c r="G20" s="8">
        <v>12</v>
      </c>
      <c r="H20" s="8">
        <v>65</v>
      </c>
      <c r="I20" s="8">
        <v>28</v>
      </c>
      <c r="J20" s="8">
        <v>105</v>
      </c>
      <c r="K20" s="8">
        <v>18</v>
      </c>
      <c r="L20" s="8">
        <v>68</v>
      </c>
      <c r="M20" s="8">
        <v>11</v>
      </c>
      <c r="N20" s="8">
        <v>9</v>
      </c>
      <c r="O20" s="8">
        <v>2</v>
      </c>
      <c r="P20" s="8">
        <v>97</v>
      </c>
      <c r="Q20" s="8">
        <v>307</v>
      </c>
      <c r="R20" s="8">
        <v>4</v>
      </c>
      <c r="S20" s="8">
        <v>345</v>
      </c>
      <c r="T20" s="8">
        <v>8</v>
      </c>
      <c r="U20" s="8">
        <v>79</v>
      </c>
      <c r="V20" s="24">
        <v>12.321428571428571</v>
      </c>
      <c r="W20" s="24">
        <v>102.67857142857142</v>
      </c>
      <c r="X20" s="24">
        <v>4.3670886075949369</v>
      </c>
      <c r="Y20" s="24">
        <v>-0.11392405063291131</v>
      </c>
      <c r="Z20" s="24">
        <v>6.583333333333333</v>
      </c>
    </row>
    <row r="21" spans="1:26" ht="15.75" x14ac:dyDescent="0.25">
      <c r="A21" s="79" t="s">
        <v>69</v>
      </c>
      <c r="B21" s="80"/>
      <c r="C21" s="80"/>
      <c r="D21" s="81"/>
      <c r="E21" s="4">
        <v>28</v>
      </c>
      <c r="F21" s="20">
        <v>45</v>
      </c>
      <c r="G21" s="20">
        <v>35</v>
      </c>
      <c r="H21" s="20">
        <v>206</v>
      </c>
      <c r="I21" s="20">
        <v>167</v>
      </c>
      <c r="J21" s="11">
        <v>408</v>
      </c>
      <c r="K21" s="20">
        <v>248</v>
      </c>
      <c r="L21" s="20">
        <v>70</v>
      </c>
      <c r="M21" s="11">
        <v>59</v>
      </c>
      <c r="N21" s="20">
        <v>35</v>
      </c>
      <c r="O21" s="20">
        <v>24</v>
      </c>
      <c r="P21" s="11">
        <v>377</v>
      </c>
      <c r="Q21" s="20">
        <v>567</v>
      </c>
      <c r="R21" s="20">
        <v>12</v>
      </c>
      <c r="S21" s="20">
        <v>960</v>
      </c>
      <c r="T21" s="11">
        <v>31</v>
      </c>
      <c r="U21" s="11">
        <v>129</v>
      </c>
      <c r="V21" s="22">
        <v>34.285714285714285</v>
      </c>
      <c r="W21" s="12">
        <v>76.19047619047619</v>
      </c>
      <c r="X21" s="12">
        <v>7.441860465116279</v>
      </c>
      <c r="Y21" s="12">
        <v>2.3255813953488373</v>
      </c>
      <c r="Z21" s="12">
        <v>2.8666666666666667</v>
      </c>
    </row>
    <row r="24" spans="1:26" x14ac:dyDescent="0.25">
      <c r="A24" s="78" t="s">
        <v>1</v>
      </c>
      <c r="B24" s="78" t="s">
        <v>2</v>
      </c>
      <c r="C24" s="72" t="s">
        <v>3</v>
      </c>
      <c r="D24" s="72" t="s">
        <v>4</v>
      </c>
      <c r="E24" s="75" t="s">
        <v>5</v>
      </c>
      <c r="F24" s="72" t="s">
        <v>6</v>
      </c>
      <c r="G24" s="72" t="s">
        <v>7</v>
      </c>
      <c r="H24" s="72" t="s">
        <v>8</v>
      </c>
      <c r="I24" s="75" t="s">
        <v>9</v>
      </c>
      <c r="J24" s="72" t="s">
        <v>10</v>
      </c>
      <c r="K24" s="72" t="s">
        <v>11</v>
      </c>
      <c r="L24" s="72" t="s">
        <v>12</v>
      </c>
      <c r="M24" s="72" t="s">
        <v>13</v>
      </c>
      <c r="N24" s="72" t="s">
        <v>14</v>
      </c>
      <c r="O24" s="72" t="s">
        <v>15</v>
      </c>
      <c r="P24" s="72" t="s">
        <v>16</v>
      </c>
      <c r="Q24" s="72" t="s">
        <v>17</v>
      </c>
      <c r="R24" s="72" t="s">
        <v>18</v>
      </c>
      <c r="S24" s="72" t="s">
        <v>19</v>
      </c>
      <c r="T24" s="72" t="s">
        <v>20</v>
      </c>
      <c r="U24" s="73" t="s">
        <v>21</v>
      </c>
      <c r="V24" s="2" t="s">
        <v>22</v>
      </c>
      <c r="W24" s="2" t="s">
        <v>23</v>
      </c>
      <c r="X24" s="2" t="s">
        <v>24</v>
      </c>
      <c r="Y24" s="2" t="s">
        <v>25</v>
      </c>
      <c r="Z24" s="2" t="s">
        <v>26</v>
      </c>
    </row>
    <row r="25" spans="1:26" x14ac:dyDescent="0.25">
      <c r="A25" s="78"/>
      <c r="B25" s="78"/>
      <c r="C25" s="72"/>
      <c r="D25" s="72"/>
      <c r="E25" s="75"/>
      <c r="F25" s="72"/>
      <c r="G25" s="72"/>
      <c r="H25" s="72"/>
      <c r="I25" s="75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3"/>
      <c r="V25" s="71" t="s">
        <v>27</v>
      </c>
      <c r="W25" s="71" t="s">
        <v>28</v>
      </c>
      <c r="X25" s="71" t="s">
        <v>29</v>
      </c>
      <c r="Y25" s="71" t="s">
        <v>30</v>
      </c>
      <c r="Z25" s="71" t="s">
        <v>31</v>
      </c>
    </row>
    <row r="26" spans="1:26" x14ac:dyDescent="0.25">
      <c r="A26" s="78"/>
      <c r="B26" s="78"/>
      <c r="C26" s="72"/>
      <c r="D26" s="72"/>
      <c r="E26" s="75"/>
      <c r="F26" s="72"/>
      <c r="G26" s="72"/>
      <c r="H26" s="72"/>
      <c r="I26" s="75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3"/>
      <c r="V26" s="74"/>
      <c r="W26" s="71"/>
      <c r="X26" s="71"/>
      <c r="Y26" s="71"/>
      <c r="Z26" s="71"/>
    </row>
    <row r="27" spans="1:26" x14ac:dyDescent="0.25">
      <c r="A27" s="78"/>
      <c r="B27" s="78"/>
      <c r="C27" s="72"/>
      <c r="D27" s="72"/>
      <c r="E27" s="75"/>
      <c r="F27" s="72"/>
      <c r="G27" s="3">
        <v>1</v>
      </c>
      <c r="H27" s="3">
        <v>2</v>
      </c>
      <c r="I27" s="3">
        <v>3</v>
      </c>
      <c r="J27" s="3">
        <v>4</v>
      </c>
      <c r="K27" s="3">
        <v>5</v>
      </c>
      <c r="L27" s="3">
        <v>6</v>
      </c>
      <c r="M27" s="3">
        <v>7</v>
      </c>
      <c r="N27" s="3">
        <v>8</v>
      </c>
      <c r="O27" s="3">
        <v>9</v>
      </c>
      <c r="P27" s="3">
        <v>10</v>
      </c>
      <c r="Q27" s="3">
        <v>11</v>
      </c>
      <c r="R27" s="3">
        <v>12</v>
      </c>
      <c r="S27" s="3">
        <v>13</v>
      </c>
      <c r="T27" s="3">
        <v>14</v>
      </c>
      <c r="U27" s="73"/>
      <c r="V27" s="16">
        <v>15</v>
      </c>
      <c r="W27" s="16">
        <v>16</v>
      </c>
      <c r="X27" s="16">
        <v>17</v>
      </c>
      <c r="Y27" s="16">
        <v>18</v>
      </c>
      <c r="Z27" s="16">
        <v>19</v>
      </c>
    </row>
    <row r="28" spans="1:26" ht="15.75" x14ac:dyDescent="0.25">
      <c r="A28" s="76">
        <v>1</v>
      </c>
      <c r="B28" s="96" t="s">
        <v>38</v>
      </c>
      <c r="C28" s="27" t="s">
        <v>53</v>
      </c>
      <c r="D28" s="9" t="s">
        <v>49</v>
      </c>
      <c r="E28" s="4">
        <v>28</v>
      </c>
      <c r="F28" s="4">
        <v>2</v>
      </c>
      <c r="G28" s="4">
        <v>0</v>
      </c>
      <c r="H28" s="4">
        <v>1</v>
      </c>
      <c r="I28" s="4">
        <v>0</v>
      </c>
      <c r="J28" s="5">
        <v>1</v>
      </c>
      <c r="K28" s="4">
        <v>0</v>
      </c>
      <c r="L28" s="4">
        <v>1</v>
      </c>
      <c r="M28" s="5">
        <v>0</v>
      </c>
      <c r="N28" s="4">
        <v>0</v>
      </c>
      <c r="O28" s="4">
        <v>0</v>
      </c>
      <c r="P28" s="5">
        <v>1</v>
      </c>
      <c r="Q28" s="4">
        <v>3</v>
      </c>
      <c r="R28" s="4">
        <v>0</v>
      </c>
      <c r="S28" s="4">
        <v>3</v>
      </c>
      <c r="T28" s="5">
        <v>0</v>
      </c>
      <c r="U28" s="5">
        <v>1</v>
      </c>
      <c r="V28" s="7">
        <v>0.10714285714285714</v>
      </c>
      <c r="W28" s="7">
        <v>5.3571428571428568</v>
      </c>
      <c r="X28" s="7">
        <v>3</v>
      </c>
      <c r="Y28" s="6">
        <v>53</v>
      </c>
      <c r="Z28" s="7">
        <v>0.5</v>
      </c>
    </row>
    <row r="29" spans="1:26" ht="15.75" x14ac:dyDescent="0.25">
      <c r="A29" s="98"/>
      <c r="B29" s="97"/>
      <c r="C29" s="27" t="s">
        <v>53</v>
      </c>
      <c r="D29" s="18" t="s">
        <v>50</v>
      </c>
      <c r="E29" s="4">
        <v>28</v>
      </c>
      <c r="F29" s="4">
        <v>3</v>
      </c>
      <c r="G29" s="4">
        <v>0</v>
      </c>
      <c r="H29" s="4">
        <v>4</v>
      </c>
      <c r="I29" s="4">
        <v>0</v>
      </c>
      <c r="J29" s="8">
        <v>4</v>
      </c>
      <c r="K29" s="4">
        <v>0</v>
      </c>
      <c r="L29" s="4">
        <v>1</v>
      </c>
      <c r="M29" s="8">
        <v>3</v>
      </c>
      <c r="N29" s="4">
        <v>1</v>
      </c>
      <c r="O29" s="4">
        <v>2</v>
      </c>
      <c r="P29" s="8">
        <v>4</v>
      </c>
      <c r="Q29" s="4">
        <v>12</v>
      </c>
      <c r="R29" s="4">
        <v>0</v>
      </c>
      <c r="S29" s="4">
        <v>11</v>
      </c>
      <c r="T29" s="8">
        <v>0</v>
      </c>
      <c r="U29" s="8">
        <v>4</v>
      </c>
      <c r="V29" s="24">
        <v>0.39285714285714285</v>
      </c>
      <c r="W29" s="24">
        <v>13.095238095238097</v>
      </c>
      <c r="X29" s="24">
        <v>2.75</v>
      </c>
      <c r="Y29" s="24">
        <v>18.25</v>
      </c>
      <c r="Z29" s="24">
        <v>1.3333333333333333</v>
      </c>
    </row>
    <row r="30" spans="1:26" ht="15.75" x14ac:dyDescent="0.25">
      <c r="A30" s="98"/>
      <c r="B30" s="97"/>
      <c r="C30" s="23" t="s">
        <v>53</v>
      </c>
      <c r="D30" s="18" t="s">
        <v>51</v>
      </c>
      <c r="E30" s="4">
        <v>28</v>
      </c>
      <c r="F30" s="4">
        <v>2</v>
      </c>
      <c r="G30" s="4">
        <v>0</v>
      </c>
      <c r="H30" s="4">
        <v>6</v>
      </c>
      <c r="I30" s="4">
        <v>4</v>
      </c>
      <c r="J30" s="5">
        <v>10</v>
      </c>
      <c r="K30" s="4">
        <v>0</v>
      </c>
      <c r="L30" s="4">
        <v>8</v>
      </c>
      <c r="M30" s="5">
        <v>0</v>
      </c>
      <c r="N30" s="4">
        <v>0</v>
      </c>
      <c r="O30" s="4">
        <v>0</v>
      </c>
      <c r="P30" s="5">
        <v>8</v>
      </c>
      <c r="Q30" s="4">
        <v>40</v>
      </c>
      <c r="R30" s="4">
        <v>0</v>
      </c>
      <c r="S30" s="4">
        <v>30</v>
      </c>
      <c r="T30" s="5">
        <v>2</v>
      </c>
      <c r="U30" s="5">
        <v>8</v>
      </c>
      <c r="V30" s="7">
        <v>1.0714285714285714</v>
      </c>
      <c r="W30" s="7">
        <v>53.571428571428569</v>
      </c>
      <c r="X30" s="7">
        <v>3.75</v>
      </c>
      <c r="Y30" s="6">
        <v>3.25</v>
      </c>
      <c r="Z30" s="7">
        <v>4</v>
      </c>
    </row>
    <row r="31" spans="1:26" ht="15.75" x14ac:dyDescent="0.25">
      <c r="A31" s="98"/>
      <c r="B31" s="97"/>
      <c r="C31" s="27" t="s">
        <v>53</v>
      </c>
      <c r="D31" s="18" t="s">
        <v>52</v>
      </c>
      <c r="E31" s="4">
        <v>28</v>
      </c>
      <c r="F31" s="4">
        <v>10</v>
      </c>
      <c r="G31" s="4">
        <v>5</v>
      </c>
      <c r="H31" s="4">
        <v>47</v>
      </c>
      <c r="I31" s="4">
        <v>7</v>
      </c>
      <c r="J31" s="8">
        <v>59</v>
      </c>
      <c r="K31" s="4">
        <v>2</v>
      </c>
      <c r="L31" s="4">
        <v>35</v>
      </c>
      <c r="M31" s="8">
        <v>14</v>
      </c>
      <c r="N31" s="4">
        <v>7</v>
      </c>
      <c r="O31" s="4">
        <v>7</v>
      </c>
      <c r="P31" s="8">
        <v>51</v>
      </c>
      <c r="Q31" s="4">
        <v>230</v>
      </c>
      <c r="R31" s="4">
        <v>0</v>
      </c>
      <c r="S31" s="4">
        <v>229</v>
      </c>
      <c r="T31" s="8">
        <v>8</v>
      </c>
      <c r="U31" s="8">
        <v>49</v>
      </c>
      <c r="V31" s="24">
        <v>8.1785714285714288</v>
      </c>
      <c r="W31" s="24">
        <v>81.785714285714278</v>
      </c>
      <c r="X31" s="24">
        <v>4.6734693877551017</v>
      </c>
      <c r="Y31" s="24">
        <v>1.0408163265306121</v>
      </c>
      <c r="Z31" s="24">
        <v>4.9000000000000004</v>
      </c>
    </row>
    <row r="32" spans="1:26" ht="15.75" x14ac:dyDescent="0.25">
      <c r="A32" s="77"/>
      <c r="B32" s="97"/>
      <c r="C32" s="8" t="s">
        <v>53</v>
      </c>
      <c r="D32" s="8"/>
      <c r="E32" s="4">
        <v>28</v>
      </c>
      <c r="F32" s="8">
        <v>17</v>
      </c>
      <c r="G32" s="8">
        <v>5</v>
      </c>
      <c r="H32" s="8">
        <v>58</v>
      </c>
      <c r="I32" s="8">
        <v>11</v>
      </c>
      <c r="J32" s="8">
        <v>74</v>
      </c>
      <c r="K32" s="8">
        <v>2</v>
      </c>
      <c r="L32" s="8">
        <v>45</v>
      </c>
      <c r="M32" s="8">
        <v>17</v>
      </c>
      <c r="N32" s="8">
        <v>8</v>
      </c>
      <c r="O32" s="8">
        <v>9</v>
      </c>
      <c r="P32" s="8">
        <v>64</v>
      </c>
      <c r="Q32" s="8">
        <v>285</v>
      </c>
      <c r="R32" s="8">
        <v>0</v>
      </c>
      <c r="S32" s="8">
        <v>273</v>
      </c>
      <c r="T32" s="8">
        <v>10</v>
      </c>
      <c r="U32" s="8">
        <v>62</v>
      </c>
      <c r="V32" s="24">
        <v>9.75</v>
      </c>
      <c r="W32" s="24">
        <v>57.352941176470587</v>
      </c>
      <c r="X32" s="24">
        <v>4.403225806451613</v>
      </c>
      <c r="Y32" s="24">
        <v>3.274193548387097</v>
      </c>
      <c r="Z32" s="24">
        <v>3.6470588235294117</v>
      </c>
    </row>
    <row r="33" spans="1:26" ht="15.75" x14ac:dyDescent="0.25">
      <c r="A33" s="76">
        <v>2</v>
      </c>
      <c r="B33" s="97"/>
      <c r="C33" s="5" t="s">
        <v>71</v>
      </c>
      <c r="D33" s="5" t="s">
        <v>38</v>
      </c>
      <c r="E33" s="4">
        <v>28</v>
      </c>
      <c r="F33" s="5">
        <v>6</v>
      </c>
      <c r="G33" s="5">
        <v>8</v>
      </c>
      <c r="H33" s="5">
        <v>46</v>
      </c>
      <c r="I33" s="5">
        <v>8</v>
      </c>
      <c r="J33" s="5">
        <v>62</v>
      </c>
      <c r="K33" s="5">
        <v>3</v>
      </c>
      <c r="L33" s="5">
        <v>45</v>
      </c>
      <c r="M33" s="5">
        <v>7</v>
      </c>
      <c r="N33" s="5">
        <v>2</v>
      </c>
      <c r="O33" s="5">
        <v>5</v>
      </c>
      <c r="P33" s="5">
        <v>55</v>
      </c>
      <c r="Q33" s="5">
        <v>141</v>
      </c>
      <c r="R33" s="5">
        <v>0</v>
      </c>
      <c r="S33" s="5">
        <v>177</v>
      </c>
      <c r="T33" s="5">
        <v>7</v>
      </c>
      <c r="U33" s="5">
        <v>52</v>
      </c>
      <c r="V33" s="7">
        <v>6.3214285714285712</v>
      </c>
      <c r="W33" s="7">
        <v>105.35714285714286</v>
      </c>
      <c r="X33" s="7">
        <v>3.4038461538461537</v>
      </c>
      <c r="Y33" s="6">
        <v>-0.17307692307692293</v>
      </c>
      <c r="Z33" s="7">
        <v>8.6666666666666661</v>
      </c>
    </row>
    <row r="34" spans="1:26" ht="15.75" x14ac:dyDescent="0.25">
      <c r="A34" s="77"/>
      <c r="B34" s="97"/>
      <c r="C34" s="8" t="s">
        <v>71</v>
      </c>
      <c r="D34" s="8"/>
      <c r="E34" s="4">
        <v>28</v>
      </c>
      <c r="F34" s="8">
        <v>6</v>
      </c>
      <c r="G34" s="8">
        <v>8</v>
      </c>
      <c r="H34" s="8">
        <v>46</v>
      </c>
      <c r="I34" s="8">
        <v>8</v>
      </c>
      <c r="J34" s="8">
        <v>62</v>
      </c>
      <c r="K34" s="8">
        <v>3</v>
      </c>
      <c r="L34" s="8">
        <v>45</v>
      </c>
      <c r="M34" s="8">
        <v>7</v>
      </c>
      <c r="N34" s="8">
        <v>2</v>
      </c>
      <c r="O34" s="8">
        <v>5</v>
      </c>
      <c r="P34" s="8">
        <v>55</v>
      </c>
      <c r="Q34" s="8">
        <v>141</v>
      </c>
      <c r="R34" s="8">
        <v>0</v>
      </c>
      <c r="S34" s="8">
        <v>177</v>
      </c>
      <c r="T34" s="8">
        <v>7</v>
      </c>
      <c r="U34" s="8">
        <v>52</v>
      </c>
      <c r="V34" s="24">
        <v>6.3214285714285712</v>
      </c>
      <c r="W34" s="24">
        <v>105.35714285714286</v>
      </c>
      <c r="X34" s="24">
        <v>3.4038461538461537</v>
      </c>
      <c r="Y34" s="24">
        <v>-0.17307692307692293</v>
      </c>
      <c r="Z34" s="24">
        <v>8.6666666666666661</v>
      </c>
    </row>
    <row r="35" spans="1:26" ht="15.75" x14ac:dyDescent="0.25">
      <c r="A35" s="76">
        <v>3</v>
      </c>
      <c r="B35" s="97"/>
      <c r="C35" s="5" t="s">
        <v>55</v>
      </c>
      <c r="D35" s="5" t="s">
        <v>32</v>
      </c>
      <c r="E35" s="4">
        <v>28</v>
      </c>
      <c r="F35" s="5">
        <v>4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7">
        <v>0</v>
      </c>
      <c r="W35" s="7">
        <v>0</v>
      </c>
      <c r="X35" s="7" t="e">
        <v>#DIV/0!</v>
      </c>
      <c r="Y35" s="6" t="e">
        <v>#DIV/0!</v>
      </c>
      <c r="Z35" s="7">
        <v>0</v>
      </c>
    </row>
    <row r="36" spans="1:26" ht="15.75" x14ac:dyDescent="0.25">
      <c r="A36" s="77"/>
      <c r="B36" s="97"/>
      <c r="C36" s="8" t="s">
        <v>55</v>
      </c>
      <c r="D36" s="8"/>
      <c r="E36" s="4">
        <v>28</v>
      </c>
      <c r="F36" s="8">
        <v>4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24">
        <v>0</v>
      </c>
      <c r="W36" s="24">
        <v>0</v>
      </c>
      <c r="X36" s="24" t="e">
        <v>#DIV/0!</v>
      </c>
      <c r="Y36" s="24" t="e">
        <v>#DIV/0!</v>
      </c>
      <c r="Z36" s="24">
        <v>0</v>
      </c>
    </row>
    <row r="37" spans="1:26" ht="15.75" x14ac:dyDescent="0.25">
      <c r="A37" s="76">
        <v>4</v>
      </c>
      <c r="B37" s="97"/>
      <c r="C37" s="5" t="s">
        <v>47</v>
      </c>
      <c r="D37" s="5" t="s">
        <v>43</v>
      </c>
      <c r="E37" s="4">
        <v>28</v>
      </c>
      <c r="F37" s="5">
        <v>2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13">
        <v>0</v>
      </c>
      <c r="W37" s="13">
        <v>0</v>
      </c>
      <c r="X37" s="13" t="e">
        <v>#DIV/0!</v>
      </c>
      <c r="Y37" s="14" t="e">
        <v>#DIV/0!</v>
      </c>
      <c r="Z37" s="13">
        <v>0</v>
      </c>
    </row>
    <row r="38" spans="1:26" ht="15.75" x14ac:dyDescent="0.25">
      <c r="A38" s="77"/>
      <c r="B38" s="97"/>
      <c r="C38" s="8" t="s">
        <v>47</v>
      </c>
      <c r="D38" s="8"/>
      <c r="E38" s="4">
        <v>28</v>
      </c>
      <c r="F38" s="8">
        <v>2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26">
        <v>0</v>
      </c>
      <c r="W38" s="26">
        <v>0</v>
      </c>
      <c r="X38" s="26" t="e">
        <v>#DIV/0!</v>
      </c>
      <c r="Y38" s="26" t="e">
        <v>#DIV/0!</v>
      </c>
      <c r="Z38" s="26">
        <v>0</v>
      </c>
    </row>
    <row r="39" spans="1:26" ht="15.75" x14ac:dyDescent="0.25">
      <c r="A39" s="76">
        <v>5</v>
      </c>
      <c r="B39" s="97"/>
      <c r="C39" s="5" t="s">
        <v>40</v>
      </c>
      <c r="D39" s="5" t="s">
        <v>32</v>
      </c>
      <c r="E39" s="4">
        <v>28</v>
      </c>
      <c r="F39" s="5">
        <v>4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7">
        <v>0</v>
      </c>
      <c r="W39" s="7">
        <v>0</v>
      </c>
      <c r="X39" s="7" t="e">
        <v>#DIV/0!</v>
      </c>
      <c r="Y39" s="6" t="e">
        <v>#DIV/0!</v>
      </c>
      <c r="Z39" s="7">
        <v>0</v>
      </c>
    </row>
    <row r="40" spans="1:26" ht="15.75" x14ac:dyDescent="0.25">
      <c r="A40" s="77"/>
      <c r="B40" s="97"/>
      <c r="C40" s="8" t="s">
        <v>40</v>
      </c>
      <c r="D40" s="8"/>
      <c r="E40" s="4">
        <v>28</v>
      </c>
      <c r="F40" s="8">
        <v>4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24">
        <v>0</v>
      </c>
      <c r="W40" s="24">
        <v>0</v>
      </c>
      <c r="X40" s="24" t="e">
        <v>#DIV/0!</v>
      </c>
      <c r="Y40" s="24" t="e">
        <v>#DIV/0!</v>
      </c>
      <c r="Z40" s="24">
        <v>0</v>
      </c>
    </row>
    <row r="41" spans="1:26" ht="15.75" x14ac:dyDescent="0.25">
      <c r="A41" s="76">
        <v>6</v>
      </c>
      <c r="B41" s="97"/>
      <c r="C41" s="5" t="s">
        <v>42</v>
      </c>
      <c r="D41" s="5" t="s">
        <v>43</v>
      </c>
      <c r="E41" s="4">
        <v>28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7">
        <v>0</v>
      </c>
      <c r="W41" s="7">
        <v>0</v>
      </c>
      <c r="X41" s="7" t="e">
        <v>#DIV/0!</v>
      </c>
      <c r="Y41" s="6" t="e">
        <v>#DIV/0!</v>
      </c>
      <c r="Z41" s="7">
        <v>0</v>
      </c>
    </row>
    <row r="42" spans="1:26" ht="15.75" x14ac:dyDescent="0.25">
      <c r="A42" s="77"/>
      <c r="B42" s="97"/>
      <c r="C42" s="8" t="s">
        <v>42</v>
      </c>
      <c r="D42" s="8"/>
      <c r="E42" s="4">
        <v>28</v>
      </c>
      <c r="F42" s="8">
        <v>1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24">
        <v>0</v>
      </c>
      <c r="W42" s="24">
        <v>0</v>
      </c>
      <c r="X42" s="24" t="e">
        <v>#DIV/0!</v>
      </c>
      <c r="Y42" s="24" t="e">
        <v>#DIV/0!</v>
      </c>
      <c r="Z42" s="24">
        <v>0</v>
      </c>
    </row>
    <row r="43" spans="1:26" ht="15.75" x14ac:dyDescent="0.25">
      <c r="A43" s="76">
        <v>7</v>
      </c>
      <c r="B43" s="97"/>
      <c r="C43" s="5" t="s">
        <v>74</v>
      </c>
      <c r="D43" s="5" t="s">
        <v>32</v>
      </c>
      <c r="E43" s="4">
        <v>28</v>
      </c>
      <c r="F43" s="5">
        <v>4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7">
        <v>0</v>
      </c>
      <c r="W43" s="28">
        <v>0</v>
      </c>
      <c r="X43" s="28" t="e">
        <v>#DIV/0!</v>
      </c>
      <c r="Y43" s="29" t="e">
        <v>#DIV/0!</v>
      </c>
      <c r="Z43" s="28">
        <v>0</v>
      </c>
    </row>
    <row r="44" spans="1:26" ht="15.75" x14ac:dyDescent="0.25">
      <c r="A44" s="77"/>
      <c r="B44" s="97"/>
      <c r="C44" s="8" t="s">
        <v>74</v>
      </c>
      <c r="D44" s="8"/>
      <c r="E44" s="4">
        <v>28</v>
      </c>
      <c r="F44" s="8">
        <v>4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24">
        <v>0</v>
      </c>
      <c r="W44" s="24">
        <v>0</v>
      </c>
      <c r="X44" s="24" t="e">
        <v>#DIV/0!</v>
      </c>
      <c r="Y44" s="24" t="e">
        <v>#DIV/0!</v>
      </c>
      <c r="Z44" s="24">
        <v>0</v>
      </c>
    </row>
    <row r="45" spans="1:26" ht="15.75" x14ac:dyDescent="0.25">
      <c r="A45" s="76">
        <v>8</v>
      </c>
      <c r="B45" s="97"/>
      <c r="C45" s="4" t="s">
        <v>44</v>
      </c>
      <c r="D45" s="4" t="s">
        <v>32</v>
      </c>
      <c r="E45" s="4">
        <v>28</v>
      </c>
      <c r="F45" s="4">
        <v>1</v>
      </c>
      <c r="G45" s="4">
        <v>0</v>
      </c>
      <c r="H45" s="4">
        <v>0</v>
      </c>
      <c r="I45" s="4">
        <v>0</v>
      </c>
      <c r="J45" s="5">
        <v>0</v>
      </c>
      <c r="K45" s="4">
        <v>0</v>
      </c>
      <c r="L45" s="4">
        <v>0</v>
      </c>
      <c r="M45" s="5">
        <v>0</v>
      </c>
      <c r="N45" s="4">
        <v>0</v>
      </c>
      <c r="O45" s="4">
        <v>0</v>
      </c>
      <c r="P45" s="5">
        <v>0</v>
      </c>
      <c r="Q45" s="4">
        <v>0</v>
      </c>
      <c r="R45" s="4">
        <v>0</v>
      </c>
      <c r="S45" s="4">
        <v>0</v>
      </c>
      <c r="T45" s="5">
        <v>0</v>
      </c>
      <c r="U45" s="5">
        <v>0</v>
      </c>
      <c r="V45" s="7">
        <v>0</v>
      </c>
      <c r="W45" s="28">
        <v>0</v>
      </c>
      <c r="X45" s="28" t="e">
        <v>#DIV/0!</v>
      </c>
      <c r="Y45" s="29" t="e">
        <v>#DIV/0!</v>
      </c>
      <c r="Z45" s="28">
        <v>0</v>
      </c>
    </row>
    <row r="46" spans="1:26" ht="15.75" x14ac:dyDescent="0.25">
      <c r="A46" s="77"/>
      <c r="B46" s="97"/>
      <c r="C46" s="8" t="s">
        <v>44</v>
      </c>
      <c r="D46" s="8"/>
      <c r="E46" s="4">
        <v>28</v>
      </c>
      <c r="F46" s="8">
        <v>1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24">
        <v>0</v>
      </c>
      <c r="W46" s="24">
        <v>0</v>
      </c>
      <c r="X46" s="24" t="e">
        <v>#DIV/0!</v>
      </c>
      <c r="Y46" s="24" t="e">
        <v>#DIV/0!</v>
      </c>
      <c r="Z46" s="24">
        <v>0</v>
      </c>
    </row>
    <row r="47" spans="1:26" ht="15.75" x14ac:dyDescent="0.25">
      <c r="A47" s="76">
        <v>9</v>
      </c>
      <c r="B47" s="97"/>
      <c r="C47" s="4" t="s">
        <v>37</v>
      </c>
      <c r="D47" s="4" t="s">
        <v>32</v>
      </c>
      <c r="E47" s="4">
        <v>28</v>
      </c>
      <c r="F47" s="4">
        <v>5</v>
      </c>
      <c r="G47" s="4">
        <v>2</v>
      </c>
      <c r="H47" s="4">
        <v>9</v>
      </c>
      <c r="I47" s="4">
        <v>25</v>
      </c>
      <c r="J47" s="5">
        <v>36</v>
      </c>
      <c r="K47" s="4">
        <v>6</v>
      </c>
      <c r="L47" s="4">
        <v>25</v>
      </c>
      <c r="M47" s="5">
        <v>0</v>
      </c>
      <c r="N47" s="4">
        <v>0</v>
      </c>
      <c r="O47" s="4">
        <v>0</v>
      </c>
      <c r="P47" s="5">
        <v>31</v>
      </c>
      <c r="Q47" s="4">
        <v>80</v>
      </c>
      <c r="R47" s="4">
        <v>1</v>
      </c>
      <c r="S47" s="4">
        <v>104</v>
      </c>
      <c r="T47" s="5">
        <v>5</v>
      </c>
      <c r="U47" s="5">
        <v>25</v>
      </c>
      <c r="V47" s="7">
        <v>3.7142857142857144</v>
      </c>
      <c r="W47" s="28">
        <v>74.285714285714292</v>
      </c>
      <c r="X47" s="28">
        <v>4.16</v>
      </c>
      <c r="Y47" s="29">
        <v>1.44</v>
      </c>
      <c r="Z47" s="28">
        <v>5</v>
      </c>
    </row>
    <row r="48" spans="1:26" ht="15.75" x14ac:dyDescent="0.25">
      <c r="A48" s="77"/>
      <c r="B48" s="99"/>
      <c r="C48" s="8" t="s">
        <v>37</v>
      </c>
      <c r="D48" s="8"/>
      <c r="E48" s="4">
        <v>28</v>
      </c>
      <c r="F48" s="8">
        <v>5</v>
      </c>
      <c r="G48" s="8">
        <v>2</v>
      </c>
      <c r="H48" s="8">
        <v>9</v>
      </c>
      <c r="I48" s="8">
        <v>25</v>
      </c>
      <c r="J48" s="8">
        <v>36</v>
      </c>
      <c r="K48" s="8">
        <v>6</v>
      </c>
      <c r="L48" s="8">
        <v>25</v>
      </c>
      <c r="M48" s="8">
        <v>0</v>
      </c>
      <c r="N48" s="8">
        <v>0</v>
      </c>
      <c r="O48" s="8">
        <v>0</v>
      </c>
      <c r="P48" s="8">
        <v>31</v>
      </c>
      <c r="Q48" s="8">
        <v>80</v>
      </c>
      <c r="R48" s="8">
        <v>1</v>
      </c>
      <c r="S48" s="8">
        <v>104</v>
      </c>
      <c r="T48" s="8">
        <v>5</v>
      </c>
      <c r="U48" s="8">
        <v>25</v>
      </c>
      <c r="V48" s="24">
        <v>3.7142857142857144</v>
      </c>
      <c r="W48" s="24">
        <v>74.285714285714292</v>
      </c>
      <c r="X48" s="24">
        <v>4.16</v>
      </c>
      <c r="Y48" s="24">
        <v>1.44</v>
      </c>
      <c r="Z48" s="24">
        <v>5</v>
      </c>
    </row>
    <row r="49" spans="1:26" ht="15.75" x14ac:dyDescent="0.25">
      <c r="A49" s="79" t="s">
        <v>85</v>
      </c>
      <c r="B49" s="80"/>
      <c r="C49" s="80"/>
      <c r="D49" s="81"/>
      <c r="E49" s="4">
        <v>28</v>
      </c>
      <c r="F49" s="20">
        <v>44</v>
      </c>
      <c r="G49" s="20">
        <v>15</v>
      </c>
      <c r="H49" s="20">
        <v>113</v>
      </c>
      <c r="I49" s="20">
        <v>44</v>
      </c>
      <c r="J49" s="11">
        <v>172</v>
      </c>
      <c r="K49" s="20">
        <v>11</v>
      </c>
      <c r="L49" s="20">
        <v>115</v>
      </c>
      <c r="M49" s="11">
        <v>24</v>
      </c>
      <c r="N49" s="20">
        <v>10</v>
      </c>
      <c r="O49" s="20">
        <v>14</v>
      </c>
      <c r="P49" s="11">
        <v>150</v>
      </c>
      <c r="Q49" s="20">
        <v>506</v>
      </c>
      <c r="R49" s="20">
        <v>1</v>
      </c>
      <c r="S49" s="20">
        <v>554</v>
      </c>
      <c r="T49" s="11">
        <v>22</v>
      </c>
      <c r="U49" s="11">
        <v>139</v>
      </c>
      <c r="V49" s="22">
        <v>19.785714285714285</v>
      </c>
      <c r="W49" s="12">
        <v>44.967532467532465</v>
      </c>
      <c r="X49" s="12">
        <v>3.985611510791367</v>
      </c>
      <c r="Y49" s="12">
        <v>4.8776978417266186</v>
      </c>
      <c r="Z49" s="12">
        <v>3.1590909090909092</v>
      </c>
    </row>
    <row r="52" spans="1:26" x14ac:dyDescent="0.25">
      <c r="A52" s="78" t="s">
        <v>1</v>
      </c>
      <c r="B52" s="78" t="s">
        <v>2</v>
      </c>
      <c r="C52" s="72" t="s">
        <v>3</v>
      </c>
      <c r="D52" s="72" t="s">
        <v>4</v>
      </c>
      <c r="E52" s="75" t="s">
        <v>5</v>
      </c>
      <c r="F52" s="72" t="s">
        <v>6</v>
      </c>
      <c r="G52" s="72" t="s">
        <v>7</v>
      </c>
      <c r="H52" s="72" t="s">
        <v>8</v>
      </c>
      <c r="I52" s="75" t="s">
        <v>9</v>
      </c>
      <c r="J52" s="72" t="s">
        <v>10</v>
      </c>
      <c r="K52" s="72" t="s">
        <v>11</v>
      </c>
      <c r="L52" s="72" t="s">
        <v>12</v>
      </c>
      <c r="M52" s="72" t="s">
        <v>13</v>
      </c>
      <c r="N52" s="72" t="s">
        <v>14</v>
      </c>
      <c r="O52" s="72" t="s">
        <v>15</v>
      </c>
      <c r="P52" s="72" t="s">
        <v>16</v>
      </c>
      <c r="Q52" s="72" t="s">
        <v>17</v>
      </c>
      <c r="R52" s="72" t="s">
        <v>18</v>
      </c>
      <c r="S52" s="72" t="s">
        <v>19</v>
      </c>
      <c r="T52" s="72" t="s">
        <v>20</v>
      </c>
      <c r="U52" s="73" t="s">
        <v>21</v>
      </c>
      <c r="V52" s="2" t="s">
        <v>22</v>
      </c>
      <c r="W52" s="2" t="s">
        <v>23</v>
      </c>
      <c r="X52" s="2" t="s">
        <v>24</v>
      </c>
      <c r="Y52" s="2" t="s">
        <v>25</v>
      </c>
      <c r="Z52" s="2" t="s">
        <v>26</v>
      </c>
    </row>
    <row r="53" spans="1:26" x14ac:dyDescent="0.25">
      <c r="A53" s="78"/>
      <c r="B53" s="78"/>
      <c r="C53" s="72"/>
      <c r="D53" s="72"/>
      <c r="E53" s="75"/>
      <c r="F53" s="72"/>
      <c r="G53" s="72"/>
      <c r="H53" s="72"/>
      <c r="I53" s="75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3"/>
      <c r="V53" s="71" t="s">
        <v>27</v>
      </c>
      <c r="W53" s="71" t="s">
        <v>28</v>
      </c>
      <c r="X53" s="71" t="s">
        <v>29</v>
      </c>
      <c r="Y53" s="71" t="s">
        <v>30</v>
      </c>
      <c r="Z53" s="71" t="s">
        <v>31</v>
      </c>
    </row>
    <row r="54" spans="1:26" x14ac:dyDescent="0.25">
      <c r="A54" s="78"/>
      <c r="B54" s="78"/>
      <c r="C54" s="72"/>
      <c r="D54" s="72"/>
      <c r="E54" s="75"/>
      <c r="F54" s="72"/>
      <c r="G54" s="72"/>
      <c r="H54" s="72"/>
      <c r="I54" s="75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3"/>
      <c r="V54" s="74"/>
      <c r="W54" s="71"/>
      <c r="X54" s="71"/>
      <c r="Y54" s="71"/>
      <c r="Z54" s="71"/>
    </row>
    <row r="55" spans="1:26" x14ac:dyDescent="0.25">
      <c r="A55" s="78"/>
      <c r="B55" s="78"/>
      <c r="C55" s="72"/>
      <c r="D55" s="72"/>
      <c r="E55" s="75"/>
      <c r="F55" s="72"/>
      <c r="G55" s="3">
        <v>1</v>
      </c>
      <c r="H55" s="3">
        <v>2</v>
      </c>
      <c r="I55" s="3">
        <v>3</v>
      </c>
      <c r="J55" s="3">
        <v>4</v>
      </c>
      <c r="K55" s="3">
        <v>5</v>
      </c>
      <c r="L55" s="3">
        <v>6</v>
      </c>
      <c r="M55" s="3">
        <v>7</v>
      </c>
      <c r="N55" s="3">
        <v>8</v>
      </c>
      <c r="O55" s="3">
        <v>9</v>
      </c>
      <c r="P55" s="3">
        <v>10</v>
      </c>
      <c r="Q55" s="3">
        <v>11</v>
      </c>
      <c r="R55" s="3">
        <v>12</v>
      </c>
      <c r="S55" s="3">
        <v>13</v>
      </c>
      <c r="T55" s="3">
        <v>14</v>
      </c>
      <c r="U55" s="73"/>
      <c r="V55" s="16">
        <v>15</v>
      </c>
      <c r="W55" s="16">
        <v>16</v>
      </c>
      <c r="X55" s="16">
        <v>17</v>
      </c>
      <c r="Y55" s="16">
        <v>18</v>
      </c>
      <c r="Z55" s="16">
        <v>19</v>
      </c>
    </row>
    <row r="56" spans="1:26" ht="15.75" x14ac:dyDescent="0.25">
      <c r="A56" s="19">
        <v>1</v>
      </c>
      <c r="B56" s="19" t="s">
        <v>59</v>
      </c>
      <c r="C56" s="4" t="s">
        <v>57</v>
      </c>
      <c r="D56" s="4" t="s">
        <v>36</v>
      </c>
      <c r="E56" s="4">
        <v>28</v>
      </c>
      <c r="F56" s="4">
        <v>30</v>
      </c>
      <c r="G56" s="4">
        <v>15</v>
      </c>
      <c r="H56" s="4">
        <v>151</v>
      </c>
      <c r="I56" s="4">
        <v>15</v>
      </c>
      <c r="J56" s="5">
        <v>181</v>
      </c>
      <c r="K56" s="4">
        <v>75</v>
      </c>
      <c r="L56" s="4">
        <v>79</v>
      </c>
      <c r="M56" s="5">
        <v>4</v>
      </c>
      <c r="N56" s="4">
        <v>3</v>
      </c>
      <c r="O56" s="4">
        <v>1</v>
      </c>
      <c r="P56" s="5">
        <v>158</v>
      </c>
      <c r="Q56" s="4">
        <v>453</v>
      </c>
      <c r="R56" s="4">
        <v>2</v>
      </c>
      <c r="S56" s="4">
        <v>476</v>
      </c>
      <c r="T56" s="5">
        <v>23</v>
      </c>
      <c r="U56" s="5">
        <v>83</v>
      </c>
      <c r="V56" s="7">
        <v>17</v>
      </c>
      <c r="W56" s="7">
        <v>56.666666666666664</v>
      </c>
      <c r="X56" s="7">
        <v>5.7349397590361448</v>
      </c>
      <c r="Y56" s="6">
        <v>4.3855421686746991</v>
      </c>
      <c r="Z56" s="7">
        <v>2.7666666666666666</v>
      </c>
    </row>
    <row r="57" spans="1:26" ht="15.75" x14ac:dyDescent="0.25">
      <c r="A57" s="30" t="s">
        <v>61</v>
      </c>
      <c r="B57" s="25"/>
      <c r="C57" s="25"/>
      <c r="D57" s="25"/>
      <c r="E57" s="4">
        <v>28</v>
      </c>
      <c r="F57" s="20">
        <v>30</v>
      </c>
      <c r="G57" s="20">
        <v>15</v>
      </c>
      <c r="H57" s="20">
        <v>151</v>
      </c>
      <c r="I57" s="20">
        <v>15</v>
      </c>
      <c r="J57" s="11">
        <v>181</v>
      </c>
      <c r="K57" s="20">
        <v>75</v>
      </c>
      <c r="L57" s="20">
        <v>79</v>
      </c>
      <c r="M57" s="11">
        <v>4</v>
      </c>
      <c r="N57" s="20">
        <v>3</v>
      </c>
      <c r="O57" s="20">
        <v>1</v>
      </c>
      <c r="P57" s="11">
        <v>158</v>
      </c>
      <c r="Q57" s="20">
        <v>453</v>
      </c>
      <c r="R57" s="20">
        <v>2</v>
      </c>
      <c r="S57" s="20">
        <v>476</v>
      </c>
      <c r="T57" s="11">
        <v>23</v>
      </c>
      <c r="U57" s="11">
        <v>83</v>
      </c>
      <c r="V57" s="20">
        <v>17</v>
      </c>
      <c r="W57" s="12">
        <v>56.666666666666664</v>
      </c>
      <c r="X57" s="12">
        <v>5.7349397590361448</v>
      </c>
      <c r="Y57" s="12">
        <v>4.3855421686746991</v>
      </c>
      <c r="Z57" s="12">
        <v>2.7666666666666666</v>
      </c>
    </row>
    <row r="60" spans="1:26" x14ac:dyDescent="0.25">
      <c r="A60" s="78" t="s">
        <v>1</v>
      </c>
      <c r="B60" s="78" t="s">
        <v>2</v>
      </c>
      <c r="C60" s="72" t="s">
        <v>3</v>
      </c>
      <c r="D60" s="72" t="s">
        <v>4</v>
      </c>
      <c r="E60" s="75" t="s">
        <v>5</v>
      </c>
      <c r="F60" s="72" t="s">
        <v>6</v>
      </c>
      <c r="G60" s="72" t="s">
        <v>7</v>
      </c>
      <c r="H60" s="72" t="s">
        <v>8</v>
      </c>
      <c r="I60" s="75" t="s">
        <v>9</v>
      </c>
      <c r="J60" s="72" t="s">
        <v>10</v>
      </c>
      <c r="K60" s="72" t="s">
        <v>11</v>
      </c>
      <c r="L60" s="72" t="s">
        <v>12</v>
      </c>
      <c r="M60" s="72" t="s">
        <v>13</v>
      </c>
      <c r="N60" s="72" t="s">
        <v>14</v>
      </c>
      <c r="O60" s="72" t="s">
        <v>15</v>
      </c>
      <c r="P60" s="72" t="s">
        <v>16</v>
      </c>
      <c r="Q60" s="72" t="s">
        <v>17</v>
      </c>
      <c r="R60" s="72" t="s">
        <v>18</v>
      </c>
      <c r="S60" s="72" t="s">
        <v>19</v>
      </c>
      <c r="T60" s="72" t="s">
        <v>20</v>
      </c>
      <c r="U60" s="73" t="s">
        <v>21</v>
      </c>
      <c r="V60" s="2" t="s">
        <v>22</v>
      </c>
      <c r="W60" s="2" t="s">
        <v>23</v>
      </c>
      <c r="X60" s="2" t="s">
        <v>24</v>
      </c>
      <c r="Y60" s="2" t="s">
        <v>25</v>
      </c>
      <c r="Z60" s="2" t="s">
        <v>26</v>
      </c>
    </row>
    <row r="61" spans="1:26" x14ac:dyDescent="0.25">
      <c r="A61" s="78"/>
      <c r="B61" s="78"/>
      <c r="C61" s="72"/>
      <c r="D61" s="72"/>
      <c r="E61" s="75"/>
      <c r="F61" s="72"/>
      <c r="G61" s="72"/>
      <c r="H61" s="72"/>
      <c r="I61" s="75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3"/>
      <c r="V61" s="71" t="s">
        <v>27</v>
      </c>
      <c r="W61" s="71" t="s">
        <v>28</v>
      </c>
      <c r="X61" s="71" t="s">
        <v>29</v>
      </c>
      <c r="Y61" s="71" t="s">
        <v>30</v>
      </c>
      <c r="Z61" s="71" t="s">
        <v>31</v>
      </c>
    </row>
    <row r="62" spans="1:26" x14ac:dyDescent="0.25">
      <c r="A62" s="78"/>
      <c r="B62" s="78"/>
      <c r="C62" s="72"/>
      <c r="D62" s="72"/>
      <c r="E62" s="75"/>
      <c r="F62" s="72"/>
      <c r="G62" s="72"/>
      <c r="H62" s="72"/>
      <c r="I62" s="75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1"/>
      <c r="X62" s="71"/>
      <c r="Y62" s="71"/>
      <c r="Z62" s="71"/>
    </row>
    <row r="63" spans="1:26" x14ac:dyDescent="0.25">
      <c r="A63" s="78"/>
      <c r="B63" s="78"/>
      <c r="C63" s="72"/>
      <c r="D63" s="72"/>
      <c r="E63" s="75"/>
      <c r="F63" s="72"/>
      <c r="G63" s="3">
        <v>1</v>
      </c>
      <c r="H63" s="3">
        <v>2</v>
      </c>
      <c r="I63" s="3">
        <v>3</v>
      </c>
      <c r="J63" s="3">
        <v>4</v>
      </c>
      <c r="K63" s="3">
        <v>5</v>
      </c>
      <c r="L63" s="3">
        <v>6</v>
      </c>
      <c r="M63" s="3">
        <v>7</v>
      </c>
      <c r="N63" s="3">
        <v>8</v>
      </c>
      <c r="O63" s="3">
        <v>9</v>
      </c>
      <c r="P63" s="3">
        <v>10</v>
      </c>
      <c r="Q63" s="3">
        <v>11</v>
      </c>
      <c r="R63" s="3">
        <v>12</v>
      </c>
      <c r="S63" s="3">
        <v>13</v>
      </c>
      <c r="T63" s="3">
        <v>14</v>
      </c>
      <c r="U63" s="73"/>
      <c r="V63" s="16">
        <v>15</v>
      </c>
      <c r="W63" s="16">
        <v>16</v>
      </c>
      <c r="X63" s="16">
        <v>17</v>
      </c>
      <c r="Y63" s="16">
        <v>18</v>
      </c>
      <c r="Z63" s="16">
        <v>19</v>
      </c>
    </row>
    <row r="64" spans="1:26" ht="15.75" x14ac:dyDescent="0.25">
      <c r="A64" s="76">
        <v>1</v>
      </c>
      <c r="B64" s="96" t="s">
        <v>75</v>
      </c>
      <c r="C64" s="4" t="s">
        <v>54</v>
      </c>
      <c r="D64" s="4" t="s">
        <v>48</v>
      </c>
      <c r="E64" s="4">
        <v>28</v>
      </c>
      <c r="F64" s="4">
        <v>8</v>
      </c>
      <c r="G64" s="4">
        <v>3</v>
      </c>
      <c r="H64" s="4">
        <v>26</v>
      </c>
      <c r="I64" s="4">
        <v>5</v>
      </c>
      <c r="J64" s="5">
        <v>34</v>
      </c>
      <c r="K64" s="4">
        <v>4</v>
      </c>
      <c r="L64" s="4">
        <v>25</v>
      </c>
      <c r="M64" s="5">
        <v>1</v>
      </c>
      <c r="N64" s="4">
        <v>0</v>
      </c>
      <c r="O64" s="4">
        <v>1</v>
      </c>
      <c r="P64" s="5">
        <v>30</v>
      </c>
      <c r="Q64" s="4">
        <v>92</v>
      </c>
      <c r="R64" s="4">
        <v>1</v>
      </c>
      <c r="S64" s="4">
        <v>115</v>
      </c>
      <c r="T64" s="5">
        <v>4</v>
      </c>
      <c r="U64" s="5">
        <v>26</v>
      </c>
      <c r="V64" s="7">
        <v>4.1071428571428568</v>
      </c>
      <c r="W64" s="7">
        <v>51.339285714285708</v>
      </c>
      <c r="X64" s="7">
        <v>4.4230769230769234</v>
      </c>
      <c r="Y64" s="6">
        <v>4.1923076923076925</v>
      </c>
      <c r="Z64" s="7">
        <v>3.25</v>
      </c>
    </row>
    <row r="65" spans="1:26" ht="15.75" x14ac:dyDescent="0.25">
      <c r="A65" s="77"/>
      <c r="B65" s="97"/>
      <c r="C65" s="8" t="s">
        <v>54</v>
      </c>
      <c r="D65" s="8" t="s">
        <v>48</v>
      </c>
      <c r="E65" s="4">
        <v>28</v>
      </c>
      <c r="F65" s="8">
        <v>8</v>
      </c>
      <c r="G65" s="8">
        <v>3</v>
      </c>
      <c r="H65" s="8">
        <v>26</v>
      </c>
      <c r="I65" s="8">
        <v>5</v>
      </c>
      <c r="J65" s="8">
        <v>34</v>
      </c>
      <c r="K65" s="8">
        <v>4</v>
      </c>
      <c r="L65" s="8">
        <v>25</v>
      </c>
      <c r="M65" s="8">
        <v>1</v>
      </c>
      <c r="N65" s="8">
        <v>0</v>
      </c>
      <c r="O65" s="8">
        <v>1</v>
      </c>
      <c r="P65" s="8">
        <v>30</v>
      </c>
      <c r="Q65" s="8">
        <v>92</v>
      </c>
      <c r="R65" s="8">
        <v>1</v>
      </c>
      <c r="S65" s="8">
        <v>115</v>
      </c>
      <c r="T65" s="8">
        <v>4</v>
      </c>
      <c r="U65" s="8">
        <v>26</v>
      </c>
      <c r="V65" s="24">
        <v>4.1071428571428568</v>
      </c>
      <c r="W65" s="24">
        <v>51.339285714285708</v>
      </c>
      <c r="X65" s="24">
        <v>4.4230769230769234</v>
      </c>
      <c r="Y65" s="24">
        <v>4.1923076923076925</v>
      </c>
      <c r="Z65" s="24">
        <v>3.25</v>
      </c>
    </row>
    <row r="66" spans="1:26" ht="15.75" x14ac:dyDescent="0.25">
      <c r="A66" s="76">
        <v>2</v>
      </c>
      <c r="B66" s="97"/>
      <c r="C66" s="4" t="s">
        <v>47</v>
      </c>
      <c r="D66" s="4" t="s">
        <v>48</v>
      </c>
      <c r="E66" s="4">
        <v>28</v>
      </c>
      <c r="F66" s="4">
        <v>2</v>
      </c>
      <c r="G66" s="4">
        <v>0</v>
      </c>
      <c r="H66" s="4">
        <v>0</v>
      </c>
      <c r="I66" s="4">
        <v>0</v>
      </c>
      <c r="J66" s="5">
        <v>0</v>
      </c>
      <c r="K66" s="4">
        <v>0</v>
      </c>
      <c r="L66" s="4">
        <v>0</v>
      </c>
      <c r="M66" s="5">
        <v>0</v>
      </c>
      <c r="N66" s="4">
        <v>0</v>
      </c>
      <c r="O66" s="4">
        <v>0</v>
      </c>
      <c r="P66" s="5">
        <v>0</v>
      </c>
      <c r="Q66" s="4">
        <v>0</v>
      </c>
      <c r="R66" s="4">
        <v>0</v>
      </c>
      <c r="S66" s="4">
        <v>0</v>
      </c>
      <c r="T66" s="5">
        <v>0</v>
      </c>
      <c r="U66" s="5">
        <v>0</v>
      </c>
      <c r="V66" s="7">
        <v>0</v>
      </c>
      <c r="W66" s="7">
        <v>0</v>
      </c>
      <c r="X66" s="7" t="e">
        <v>#DIV/0!</v>
      </c>
      <c r="Y66" s="6" t="e">
        <v>#DIV/0!</v>
      </c>
      <c r="Z66" s="7">
        <v>0</v>
      </c>
    </row>
    <row r="67" spans="1:26" ht="15.75" x14ac:dyDescent="0.25">
      <c r="A67" s="77"/>
      <c r="B67" s="97"/>
      <c r="C67" s="8" t="s">
        <v>47</v>
      </c>
      <c r="D67" s="8" t="s">
        <v>48</v>
      </c>
      <c r="E67" s="4">
        <v>28</v>
      </c>
      <c r="F67" s="8">
        <v>2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24">
        <v>0</v>
      </c>
      <c r="W67" s="24">
        <v>0</v>
      </c>
      <c r="X67" s="24" t="e">
        <v>#DIV/0!</v>
      </c>
      <c r="Y67" s="24" t="e">
        <v>#DIV/0!</v>
      </c>
      <c r="Z67" s="24">
        <v>0</v>
      </c>
    </row>
    <row r="68" spans="1:26" ht="15.75" x14ac:dyDescent="0.25">
      <c r="A68" s="76">
        <v>3</v>
      </c>
      <c r="B68" s="97"/>
      <c r="C68" s="4" t="s">
        <v>42</v>
      </c>
      <c r="D68" s="4" t="s">
        <v>48</v>
      </c>
      <c r="E68" s="4">
        <v>28</v>
      </c>
      <c r="F68" s="4">
        <v>8</v>
      </c>
      <c r="G68" s="4">
        <v>4</v>
      </c>
      <c r="H68" s="4">
        <v>35</v>
      </c>
      <c r="I68" s="4">
        <v>10</v>
      </c>
      <c r="J68" s="5">
        <v>49</v>
      </c>
      <c r="K68" s="4">
        <v>11</v>
      </c>
      <c r="L68" s="4">
        <v>34</v>
      </c>
      <c r="M68" s="5">
        <v>2</v>
      </c>
      <c r="N68" s="4">
        <v>1</v>
      </c>
      <c r="O68" s="4">
        <v>1</v>
      </c>
      <c r="P68" s="5">
        <v>47</v>
      </c>
      <c r="Q68" s="4">
        <v>126</v>
      </c>
      <c r="R68" s="4">
        <v>1</v>
      </c>
      <c r="S68" s="4">
        <v>123</v>
      </c>
      <c r="T68" s="5">
        <v>2</v>
      </c>
      <c r="U68" s="5">
        <v>36</v>
      </c>
      <c r="V68" s="7">
        <v>4.3928571428571432</v>
      </c>
      <c r="W68" s="7">
        <v>54.910714285714292</v>
      </c>
      <c r="X68" s="7">
        <v>3.4166666666666665</v>
      </c>
      <c r="Y68" s="6">
        <v>2.8055555555555554</v>
      </c>
      <c r="Z68" s="7">
        <v>4.5</v>
      </c>
    </row>
    <row r="69" spans="1:26" ht="15.75" x14ac:dyDescent="0.25">
      <c r="A69" s="77"/>
      <c r="B69" s="97"/>
      <c r="C69" s="8" t="s">
        <v>42</v>
      </c>
      <c r="D69" s="8" t="s">
        <v>48</v>
      </c>
      <c r="E69" s="4">
        <v>28</v>
      </c>
      <c r="F69" s="8">
        <v>8</v>
      </c>
      <c r="G69" s="8">
        <v>4</v>
      </c>
      <c r="H69" s="8">
        <v>35</v>
      </c>
      <c r="I69" s="8">
        <v>10</v>
      </c>
      <c r="J69" s="8">
        <v>49</v>
      </c>
      <c r="K69" s="8">
        <v>11</v>
      </c>
      <c r="L69" s="8">
        <v>34</v>
      </c>
      <c r="M69" s="8">
        <v>2</v>
      </c>
      <c r="N69" s="8">
        <v>1</v>
      </c>
      <c r="O69" s="8">
        <v>1</v>
      </c>
      <c r="P69" s="8">
        <v>47</v>
      </c>
      <c r="Q69" s="8">
        <v>126</v>
      </c>
      <c r="R69" s="8">
        <v>1</v>
      </c>
      <c r="S69" s="8">
        <v>123</v>
      </c>
      <c r="T69" s="8">
        <v>2</v>
      </c>
      <c r="U69" s="8">
        <v>36</v>
      </c>
      <c r="V69" s="24">
        <v>4.3928571428571432</v>
      </c>
      <c r="W69" s="24">
        <v>54.910714285714292</v>
      </c>
      <c r="X69" s="24">
        <v>3.4166666666666665</v>
      </c>
      <c r="Y69" s="24">
        <v>2.8055555555555554</v>
      </c>
      <c r="Z69" s="24">
        <v>4.5</v>
      </c>
    </row>
    <row r="70" spans="1:26" ht="15.75" x14ac:dyDescent="0.25">
      <c r="A70" s="30" t="s">
        <v>75</v>
      </c>
      <c r="B70" s="25"/>
      <c r="C70" s="25"/>
      <c r="D70" s="25" t="s">
        <v>48</v>
      </c>
      <c r="E70" s="4">
        <v>28</v>
      </c>
      <c r="F70" s="20">
        <v>18</v>
      </c>
      <c r="G70" s="20">
        <v>7</v>
      </c>
      <c r="H70" s="20">
        <v>61</v>
      </c>
      <c r="I70" s="20">
        <v>15</v>
      </c>
      <c r="J70" s="11">
        <v>83</v>
      </c>
      <c r="K70" s="20">
        <v>15</v>
      </c>
      <c r="L70" s="20">
        <v>59</v>
      </c>
      <c r="M70" s="11">
        <v>3</v>
      </c>
      <c r="N70" s="20">
        <v>1</v>
      </c>
      <c r="O70" s="20">
        <v>2</v>
      </c>
      <c r="P70" s="11">
        <v>77</v>
      </c>
      <c r="Q70" s="20">
        <v>218</v>
      </c>
      <c r="R70" s="20">
        <v>2</v>
      </c>
      <c r="S70" s="20">
        <v>238</v>
      </c>
      <c r="T70" s="11">
        <v>6</v>
      </c>
      <c r="U70" s="11">
        <v>62</v>
      </c>
      <c r="V70" s="20">
        <v>8.5</v>
      </c>
      <c r="W70" s="12">
        <v>47.222222222222221</v>
      </c>
      <c r="X70" s="12">
        <v>3.838709677419355</v>
      </c>
      <c r="Y70" s="12">
        <v>4.290322580645161</v>
      </c>
      <c r="Z70" s="12">
        <v>3.4444444444444446</v>
      </c>
    </row>
    <row r="73" spans="1:26" x14ac:dyDescent="0.25">
      <c r="A73" s="78" t="s">
        <v>1</v>
      </c>
      <c r="B73" s="78" t="s">
        <v>2</v>
      </c>
      <c r="C73" s="72" t="s">
        <v>3</v>
      </c>
      <c r="D73" s="72" t="s">
        <v>4</v>
      </c>
      <c r="E73" s="75" t="s">
        <v>5</v>
      </c>
      <c r="F73" s="72" t="s">
        <v>6</v>
      </c>
      <c r="G73" s="72" t="s">
        <v>7</v>
      </c>
      <c r="H73" s="72" t="s">
        <v>8</v>
      </c>
      <c r="I73" s="75" t="s">
        <v>9</v>
      </c>
      <c r="J73" s="72" t="s">
        <v>10</v>
      </c>
      <c r="K73" s="72" t="s">
        <v>11</v>
      </c>
      <c r="L73" s="72" t="s">
        <v>12</v>
      </c>
      <c r="M73" s="72" t="s">
        <v>13</v>
      </c>
      <c r="N73" s="72" t="s">
        <v>14</v>
      </c>
      <c r="O73" s="72" t="s">
        <v>15</v>
      </c>
      <c r="P73" s="72" t="s">
        <v>16</v>
      </c>
      <c r="Q73" s="72" t="s">
        <v>17</v>
      </c>
      <c r="R73" s="72" t="s">
        <v>18</v>
      </c>
      <c r="S73" s="72" t="s">
        <v>19</v>
      </c>
      <c r="T73" s="72" t="s">
        <v>20</v>
      </c>
      <c r="U73" s="73" t="s">
        <v>21</v>
      </c>
      <c r="V73" s="2" t="s">
        <v>22</v>
      </c>
      <c r="W73" s="2" t="s">
        <v>23</v>
      </c>
      <c r="X73" s="2" t="s">
        <v>24</v>
      </c>
      <c r="Y73" s="2" t="s">
        <v>25</v>
      </c>
      <c r="Z73" s="2" t="s">
        <v>26</v>
      </c>
    </row>
    <row r="74" spans="1:26" x14ac:dyDescent="0.25">
      <c r="A74" s="78"/>
      <c r="B74" s="78"/>
      <c r="C74" s="72"/>
      <c r="D74" s="72"/>
      <c r="E74" s="75"/>
      <c r="F74" s="72"/>
      <c r="G74" s="72"/>
      <c r="H74" s="72"/>
      <c r="I74" s="75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3"/>
      <c r="V74" s="71" t="s">
        <v>27</v>
      </c>
      <c r="W74" s="71" t="s">
        <v>28</v>
      </c>
      <c r="X74" s="71" t="s">
        <v>29</v>
      </c>
      <c r="Y74" s="71" t="s">
        <v>30</v>
      </c>
      <c r="Z74" s="71" t="s">
        <v>31</v>
      </c>
    </row>
    <row r="75" spans="1:26" x14ac:dyDescent="0.25">
      <c r="A75" s="78"/>
      <c r="B75" s="78"/>
      <c r="C75" s="72"/>
      <c r="D75" s="72"/>
      <c r="E75" s="75"/>
      <c r="F75" s="72"/>
      <c r="G75" s="72"/>
      <c r="H75" s="72"/>
      <c r="I75" s="75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3"/>
      <c r="V75" s="74"/>
      <c r="W75" s="71"/>
      <c r="X75" s="71"/>
      <c r="Y75" s="71"/>
      <c r="Z75" s="71"/>
    </row>
    <row r="76" spans="1:26" x14ac:dyDescent="0.25">
      <c r="A76" s="78"/>
      <c r="B76" s="78"/>
      <c r="C76" s="72"/>
      <c r="D76" s="72"/>
      <c r="E76" s="75"/>
      <c r="F76" s="72"/>
      <c r="G76" s="3">
        <v>1</v>
      </c>
      <c r="H76" s="3">
        <v>2</v>
      </c>
      <c r="I76" s="3">
        <v>3</v>
      </c>
      <c r="J76" s="3">
        <v>4</v>
      </c>
      <c r="K76" s="3">
        <v>5</v>
      </c>
      <c r="L76" s="3">
        <v>6</v>
      </c>
      <c r="M76" s="3">
        <v>7</v>
      </c>
      <c r="N76" s="3">
        <v>8</v>
      </c>
      <c r="O76" s="3">
        <v>9</v>
      </c>
      <c r="P76" s="3">
        <v>10</v>
      </c>
      <c r="Q76" s="3">
        <v>11</v>
      </c>
      <c r="R76" s="3">
        <v>12</v>
      </c>
      <c r="S76" s="3">
        <v>13</v>
      </c>
      <c r="T76" s="3">
        <v>14</v>
      </c>
      <c r="U76" s="73"/>
      <c r="V76" s="16">
        <v>15</v>
      </c>
      <c r="W76" s="16">
        <v>16</v>
      </c>
      <c r="X76" s="16">
        <v>17</v>
      </c>
      <c r="Y76" s="16">
        <v>18</v>
      </c>
      <c r="Z76" s="16">
        <v>19</v>
      </c>
    </row>
    <row r="77" spans="1:26" ht="15.75" x14ac:dyDescent="0.25">
      <c r="A77" s="76">
        <v>1</v>
      </c>
      <c r="B77" s="96" t="s">
        <v>76</v>
      </c>
      <c r="C77" s="4" t="s">
        <v>44</v>
      </c>
      <c r="D77" s="4" t="s">
        <v>43</v>
      </c>
      <c r="E77" s="4">
        <v>28</v>
      </c>
      <c r="F77" s="4">
        <v>2</v>
      </c>
      <c r="G77" s="4">
        <v>3</v>
      </c>
      <c r="H77" s="4">
        <v>14</v>
      </c>
      <c r="I77" s="4">
        <v>4</v>
      </c>
      <c r="J77" s="5">
        <v>21</v>
      </c>
      <c r="K77" s="4">
        <v>2</v>
      </c>
      <c r="L77" s="4">
        <v>15</v>
      </c>
      <c r="M77" s="5">
        <v>2</v>
      </c>
      <c r="N77" s="4">
        <v>0</v>
      </c>
      <c r="O77" s="4">
        <v>2</v>
      </c>
      <c r="P77" s="5">
        <v>19</v>
      </c>
      <c r="Q77" s="4">
        <v>56</v>
      </c>
      <c r="R77" s="4">
        <v>0</v>
      </c>
      <c r="S77" s="4">
        <v>65</v>
      </c>
      <c r="T77" s="5">
        <v>2</v>
      </c>
      <c r="U77" s="5">
        <v>17</v>
      </c>
      <c r="V77" s="7">
        <v>2.3214285714285716</v>
      </c>
      <c r="W77" s="7">
        <v>116.07142857142858</v>
      </c>
      <c r="X77" s="7">
        <v>3.8235294117647061</v>
      </c>
      <c r="Y77" s="6">
        <v>-0.52941176470588269</v>
      </c>
      <c r="Z77" s="7">
        <v>8.5</v>
      </c>
    </row>
    <row r="78" spans="1:26" ht="15.75" x14ac:dyDescent="0.25">
      <c r="A78" s="77"/>
      <c r="B78" s="97"/>
      <c r="C78" s="8" t="s">
        <v>44</v>
      </c>
      <c r="D78" s="8" t="s">
        <v>43</v>
      </c>
      <c r="E78" s="4">
        <v>28</v>
      </c>
      <c r="F78" s="8">
        <v>2</v>
      </c>
      <c r="G78" s="8">
        <v>3</v>
      </c>
      <c r="H78" s="8">
        <v>14</v>
      </c>
      <c r="I78" s="8">
        <v>4</v>
      </c>
      <c r="J78" s="8">
        <v>21</v>
      </c>
      <c r="K78" s="8">
        <v>2</v>
      </c>
      <c r="L78" s="8">
        <v>15</v>
      </c>
      <c r="M78" s="8">
        <v>2</v>
      </c>
      <c r="N78" s="8">
        <v>0</v>
      </c>
      <c r="O78" s="8">
        <v>2</v>
      </c>
      <c r="P78" s="8">
        <v>19</v>
      </c>
      <c r="Q78" s="8">
        <v>56</v>
      </c>
      <c r="R78" s="8">
        <v>0</v>
      </c>
      <c r="S78" s="8">
        <v>65</v>
      </c>
      <c r="T78" s="8">
        <v>2</v>
      </c>
      <c r="U78" s="8">
        <v>17</v>
      </c>
      <c r="V78" s="24">
        <v>2.3214285714285716</v>
      </c>
      <c r="W78" s="24">
        <v>116.07142857142858</v>
      </c>
      <c r="X78" s="24">
        <v>3.8235294117647061</v>
      </c>
      <c r="Y78" s="24">
        <v>-0.52941176470588269</v>
      </c>
      <c r="Z78" s="24">
        <v>8.5</v>
      </c>
    </row>
    <row r="79" spans="1:26" ht="15.75" x14ac:dyDescent="0.25">
      <c r="A79" s="76">
        <v>2</v>
      </c>
      <c r="B79" s="97"/>
      <c r="C79" s="4" t="s">
        <v>47</v>
      </c>
      <c r="D79" s="4" t="s">
        <v>43</v>
      </c>
      <c r="E79" s="4">
        <v>28</v>
      </c>
      <c r="F79" s="4">
        <v>13</v>
      </c>
      <c r="G79" s="4">
        <v>7</v>
      </c>
      <c r="H79" s="4">
        <v>101</v>
      </c>
      <c r="I79" s="4">
        <v>12</v>
      </c>
      <c r="J79" s="5">
        <v>120</v>
      </c>
      <c r="K79" s="4">
        <v>8</v>
      </c>
      <c r="L79" s="4">
        <v>96</v>
      </c>
      <c r="M79" s="5">
        <v>5</v>
      </c>
      <c r="N79" s="4">
        <v>3</v>
      </c>
      <c r="O79" s="4">
        <v>2</v>
      </c>
      <c r="P79" s="5">
        <v>109</v>
      </c>
      <c r="Q79" s="4">
        <v>318</v>
      </c>
      <c r="R79" s="4">
        <v>0</v>
      </c>
      <c r="S79" s="4">
        <v>343</v>
      </c>
      <c r="T79" s="5">
        <v>11</v>
      </c>
      <c r="U79" s="5">
        <v>101</v>
      </c>
      <c r="V79" s="7">
        <v>12.25</v>
      </c>
      <c r="W79" s="7">
        <v>94.230769230769226</v>
      </c>
      <c r="X79" s="7">
        <v>3.3960396039603959</v>
      </c>
      <c r="Y79" s="6">
        <v>0.20792079207920791</v>
      </c>
      <c r="Z79" s="7">
        <v>7.7692307692307692</v>
      </c>
    </row>
    <row r="80" spans="1:26" ht="15.75" x14ac:dyDescent="0.25">
      <c r="A80" s="77"/>
      <c r="B80" s="97"/>
      <c r="C80" s="8" t="s">
        <v>47</v>
      </c>
      <c r="D80" s="8" t="s">
        <v>43</v>
      </c>
      <c r="E80" s="4">
        <v>28</v>
      </c>
      <c r="F80" s="8">
        <v>13</v>
      </c>
      <c r="G80" s="8">
        <v>7</v>
      </c>
      <c r="H80" s="8">
        <v>101</v>
      </c>
      <c r="I80" s="8">
        <v>12</v>
      </c>
      <c r="J80" s="8">
        <v>120</v>
      </c>
      <c r="K80" s="8">
        <v>8</v>
      </c>
      <c r="L80" s="8">
        <v>96</v>
      </c>
      <c r="M80" s="8">
        <v>5</v>
      </c>
      <c r="N80" s="8">
        <v>3</v>
      </c>
      <c r="O80" s="8">
        <v>2</v>
      </c>
      <c r="P80" s="8">
        <v>109</v>
      </c>
      <c r="Q80" s="8">
        <v>318</v>
      </c>
      <c r="R80" s="8">
        <v>0</v>
      </c>
      <c r="S80" s="8">
        <v>343</v>
      </c>
      <c r="T80" s="8">
        <v>11</v>
      </c>
      <c r="U80" s="8">
        <v>101</v>
      </c>
      <c r="V80" s="24">
        <v>12.25</v>
      </c>
      <c r="W80" s="24">
        <v>94.230769230769226</v>
      </c>
      <c r="X80" s="24">
        <v>3.3960396039603959</v>
      </c>
      <c r="Y80" s="24">
        <v>0.20792079207920791</v>
      </c>
      <c r="Z80" s="24">
        <v>7.7692307692307692</v>
      </c>
    </row>
    <row r="81" spans="1:26" ht="15.75" x14ac:dyDescent="0.25">
      <c r="A81" s="76">
        <v>3</v>
      </c>
      <c r="B81" s="97"/>
      <c r="C81" s="4" t="s">
        <v>56</v>
      </c>
      <c r="D81" s="4" t="s">
        <v>43</v>
      </c>
      <c r="E81" s="4">
        <v>28</v>
      </c>
      <c r="F81" s="4">
        <v>2</v>
      </c>
      <c r="G81" s="4">
        <v>1</v>
      </c>
      <c r="H81" s="4">
        <v>3</v>
      </c>
      <c r="I81" s="4">
        <v>6</v>
      </c>
      <c r="J81" s="5">
        <v>10</v>
      </c>
      <c r="K81" s="4">
        <v>3</v>
      </c>
      <c r="L81" s="4">
        <v>7</v>
      </c>
      <c r="M81" s="5">
        <v>0</v>
      </c>
      <c r="N81" s="4">
        <v>0</v>
      </c>
      <c r="O81" s="4">
        <v>0</v>
      </c>
      <c r="P81" s="5">
        <v>10</v>
      </c>
      <c r="Q81" s="4">
        <v>25</v>
      </c>
      <c r="R81" s="4">
        <v>0</v>
      </c>
      <c r="S81" s="4">
        <v>10</v>
      </c>
      <c r="T81" s="5">
        <v>0</v>
      </c>
      <c r="U81" s="5">
        <v>7</v>
      </c>
      <c r="V81" s="7">
        <v>0.35714285714285715</v>
      </c>
      <c r="W81" s="7">
        <v>17.857142857142858</v>
      </c>
      <c r="X81" s="7">
        <v>1.4285714285714286</v>
      </c>
      <c r="Y81" s="6">
        <v>6.5714285714285712</v>
      </c>
      <c r="Z81" s="7">
        <v>3.5</v>
      </c>
    </row>
    <row r="82" spans="1:26" ht="15.75" x14ac:dyDescent="0.25">
      <c r="A82" s="98"/>
      <c r="B82" s="97"/>
      <c r="C82" s="4" t="s">
        <v>60</v>
      </c>
      <c r="D82" s="4" t="s">
        <v>43</v>
      </c>
      <c r="E82" s="4">
        <v>28</v>
      </c>
      <c r="F82" s="4">
        <v>2</v>
      </c>
      <c r="G82" s="4">
        <v>1</v>
      </c>
      <c r="H82" s="4">
        <v>0</v>
      </c>
      <c r="I82" s="4">
        <v>2</v>
      </c>
      <c r="J82" s="5">
        <v>3</v>
      </c>
      <c r="K82" s="4">
        <v>0</v>
      </c>
      <c r="L82" s="4">
        <v>3</v>
      </c>
      <c r="M82" s="5">
        <v>0</v>
      </c>
      <c r="N82" s="4">
        <v>0</v>
      </c>
      <c r="O82" s="4">
        <v>0</v>
      </c>
      <c r="P82" s="5">
        <v>3</v>
      </c>
      <c r="Q82" s="4">
        <v>5</v>
      </c>
      <c r="R82" s="4">
        <v>0</v>
      </c>
      <c r="S82" s="4">
        <v>2</v>
      </c>
      <c r="T82" s="5">
        <v>0</v>
      </c>
      <c r="U82" s="5">
        <v>3</v>
      </c>
      <c r="V82" s="7">
        <v>7.1428571428571425E-2</v>
      </c>
      <c r="W82" s="7">
        <v>3.5714285714285712</v>
      </c>
      <c r="X82" s="7">
        <v>0.66666666666666663</v>
      </c>
      <c r="Y82" s="6">
        <v>18</v>
      </c>
      <c r="Z82" s="7">
        <v>1.5</v>
      </c>
    </row>
    <row r="83" spans="1:26" ht="15.75" x14ac:dyDescent="0.25">
      <c r="A83" s="77"/>
      <c r="B83" s="97"/>
      <c r="C83" s="8" t="s">
        <v>77</v>
      </c>
      <c r="D83" s="8" t="s">
        <v>43</v>
      </c>
      <c r="E83" s="4">
        <v>28</v>
      </c>
      <c r="F83" s="8">
        <v>4</v>
      </c>
      <c r="G83" s="8">
        <v>2</v>
      </c>
      <c r="H83" s="8">
        <v>3</v>
      </c>
      <c r="I83" s="8">
        <v>8</v>
      </c>
      <c r="J83" s="8">
        <v>13</v>
      </c>
      <c r="K83" s="8">
        <v>3</v>
      </c>
      <c r="L83" s="8">
        <v>10</v>
      </c>
      <c r="M83" s="8">
        <v>0</v>
      </c>
      <c r="N83" s="8">
        <v>0</v>
      </c>
      <c r="O83" s="8">
        <v>0</v>
      </c>
      <c r="P83" s="8">
        <v>13</v>
      </c>
      <c r="Q83" s="8">
        <v>30</v>
      </c>
      <c r="R83" s="8">
        <v>0</v>
      </c>
      <c r="S83" s="8">
        <v>12</v>
      </c>
      <c r="T83" s="8">
        <v>0</v>
      </c>
      <c r="U83" s="8">
        <v>10</v>
      </c>
      <c r="V83" s="24">
        <v>0.42857142857142855</v>
      </c>
      <c r="W83" s="24">
        <v>10.714285714285714</v>
      </c>
      <c r="X83" s="24">
        <v>1.2</v>
      </c>
      <c r="Y83" s="24">
        <v>10</v>
      </c>
      <c r="Z83" s="24">
        <v>2.5</v>
      </c>
    </row>
    <row r="84" spans="1:26" ht="15.75" x14ac:dyDescent="0.25">
      <c r="A84" s="76">
        <v>4</v>
      </c>
      <c r="B84" s="97"/>
      <c r="C84" s="5" t="s">
        <v>42</v>
      </c>
      <c r="D84" s="5" t="s">
        <v>43</v>
      </c>
      <c r="E84" s="4">
        <v>28</v>
      </c>
      <c r="F84" s="5">
        <v>3</v>
      </c>
      <c r="G84" s="5">
        <v>2</v>
      </c>
      <c r="H84" s="5">
        <v>28</v>
      </c>
      <c r="I84" s="5">
        <v>12</v>
      </c>
      <c r="J84" s="5">
        <v>42</v>
      </c>
      <c r="K84" s="5">
        <v>7</v>
      </c>
      <c r="L84" s="5">
        <v>32</v>
      </c>
      <c r="M84" s="5">
        <v>0</v>
      </c>
      <c r="N84" s="5">
        <v>0</v>
      </c>
      <c r="O84" s="5">
        <v>0</v>
      </c>
      <c r="P84" s="5">
        <v>39</v>
      </c>
      <c r="Q84" s="5">
        <v>89</v>
      </c>
      <c r="R84" s="5">
        <v>1</v>
      </c>
      <c r="S84" s="5">
        <v>99</v>
      </c>
      <c r="T84" s="5">
        <v>3</v>
      </c>
      <c r="U84" s="5">
        <v>32</v>
      </c>
      <c r="V84" s="7">
        <v>3.5357142857142856</v>
      </c>
      <c r="W84" s="7">
        <v>117.85714285714286</v>
      </c>
      <c r="X84" s="7">
        <v>3.09375</v>
      </c>
      <c r="Y84" s="6">
        <v>-0.46874999999999989</v>
      </c>
      <c r="Z84" s="7">
        <v>10.666666666666666</v>
      </c>
    </row>
    <row r="85" spans="1:26" ht="15.75" x14ac:dyDescent="0.25">
      <c r="A85" s="77"/>
      <c r="B85" s="97"/>
      <c r="C85" s="8" t="s">
        <v>42</v>
      </c>
      <c r="D85" s="8" t="s">
        <v>43</v>
      </c>
      <c r="E85" s="4">
        <v>28</v>
      </c>
      <c r="F85" s="8">
        <v>3</v>
      </c>
      <c r="G85" s="8">
        <v>2</v>
      </c>
      <c r="H85" s="8">
        <v>28</v>
      </c>
      <c r="I85" s="8">
        <v>12</v>
      </c>
      <c r="J85" s="8">
        <v>42</v>
      </c>
      <c r="K85" s="8">
        <v>7</v>
      </c>
      <c r="L85" s="8">
        <v>32</v>
      </c>
      <c r="M85" s="8">
        <v>0</v>
      </c>
      <c r="N85" s="8">
        <v>0</v>
      </c>
      <c r="O85" s="8">
        <v>0</v>
      </c>
      <c r="P85" s="8">
        <v>39</v>
      </c>
      <c r="Q85" s="8">
        <v>89</v>
      </c>
      <c r="R85" s="8">
        <v>1</v>
      </c>
      <c r="S85" s="8">
        <v>99</v>
      </c>
      <c r="T85" s="8">
        <v>3</v>
      </c>
      <c r="U85" s="8">
        <v>32</v>
      </c>
      <c r="V85" s="24">
        <v>3.5357142857142856</v>
      </c>
      <c r="W85" s="24">
        <v>117.85714285714286</v>
      </c>
      <c r="X85" s="24">
        <v>3.09375</v>
      </c>
      <c r="Y85" s="24">
        <v>-0.46874999999999989</v>
      </c>
      <c r="Z85" s="24">
        <v>10.666666666666666</v>
      </c>
    </row>
    <row r="86" spans="1:26" ht="15.75" x14ac:dyDescent="0.25">
      <c r="A86" s="76">
        <v>5</v>
      </c>
      <c r="B86" s="97"/>
      <c r="C86" s="5" t="s">
        <v>46</v>
      </c>
      <c r="D86" s="5" t="s">
        <v>43</v>
      </c>
      <c r="E86" s="4">
        <v>28</v>
      </c>
      <c r="F86" s="5">
        <v>14</v>
      </c>
      <c r="G86" s="5">
        <v>2</v>
      </c>
      <c r="H86" s="5">
        <v>63</v>
      </c>
      <c r="I86" s="5">
        <v>12</v>
      </c>
      <c r="J86" s="5">
        <v>77</v>
      </c>
      <c r="K86" s="5">
        <v>10</v>
      </c>
      <c r="L86" s="5">
        <v>54</v>
      </c>
      <c r="M86" s="5">
        <v>5</v>
      </c>
      <c r="N86" s="5">
        <v>5</v>
      </c>
      <c r="O86" s="5">
        <v>0</v>
      </c>
      <c r="P86" s="5">
        <v>69</v>
      </c>
      <c r="Q86" s="5">
        <v>157</v>
      </c>
      <c r="R86" s="5">
        <v>3</v>
      </c>
      <c r="S86" s="5">
        <v>200</v>
      </c>
      <c r="T86" s="5">
        <v>8</v>
      </c>
      <c r="U86" s="5">
        <v>59</v>
      </c>
      <c r="V86" s="7">
        <v>7.1428571428571432</v>
      </c>
      <c r="W86" s="7">
        <v>51.020408163265309</v>
      </c>
      <c r="X86" s="7">
        <v>3.3898305084745761</v>
      </c>
      <c r="Y86" s="6">
        <v>3.2542372881355934</v>
      </c>
      <c r="Z86" s="7">
        <v>4.2142857142857144</v>
      </c>
    </row>
    <row r="87" spans="1:26" ht="15.75" x14ac:dyDescent="0.25">
      <c r="A87" s="77"/>
      <c r="B87" s="97"/>
      <c r="C87" s="8" t="s">
        <v>46</v>
      </c>
      <c r="D87" s="8" t="s">
        <v>43</v>
      </c>
      <c r="E87" s="4">
        <v>28</v>
      </c>
      <c r="F87" s="8">
        <v>14</v>
      </c>
      <c r="G87" s="8">
        <v>2</v>
      </c>
      <c r="H87" s="8">
        <v>63</v>
      </c>
      <c r="I87" s="8">
        <v>12</v>
      </c>
      <c r="J87" s="8">
        <v>77</v>
      </c>
      <c r="K87" s="8">
        <v>10</v>
      </c>
      <c r="L87" s="8">
        <v>54</v>
      </c>
      <c r="M87" s="8">
        <v>5</v>
      </c>
      <c r="N87" s="8">
        <v>5</v>
      </c>
      <c r="O87" s="8">
        <v>0</v>
      </c>
      <c r="P87" s="8">
        <v>69</v>
      </c>
      <c r="Q87" s="8">
        <v>157</v>
      </c>
      <c r="R87" s="8">
        <v>3</v>
      </c>
      <c r="S87" s="8">
        <v>200</v>
      </c>
      <c r="T87" s="8">
        <v>8</v>
      </c>
      <c r="U87" s="8">
        <v>59</v>
      </c>
      <c r="V87" s="24">
        <v>7.1428571428571432</v>
      </c>
      <c r="W87" s="24">
        <v>51.020408163265309</v>
      </c>
      <c r="X87" s="24">
        <v>3.3898305084745761</v>
      </c>
      <c r="Y87" s="24">
        <v>3.2542372881355934</v>
      </c>
      <c r="Z87" s="24">
        <v>4.2142857142857144</v>
      </c>
    </row>
    <row r="88" spans="1:26" ht="15.75" x14ac:dyDescent="0.25">
      <c r="A88" s="79" t="s">
        <v>86</v>
      </c>
      <c r="B88" s="80"/>
      <c r="C88" s="80"/>
      <c r="D88" s="81"/>
      <c r="E88" s="4">
        <v>28</v>
      </c>
      <c r="F88" s="20">
        <v>36</v>
      </c>
      <c r="G88" s="20">
        <v>16</v>
      </c>
      <c r="H88" s="20">
        <v>209</v>
      </c>
      <c r="I88" s="20">
        <v>48</v>
      </c>
      <c r="J88" s="11">
        <v>273</v>
      </c>
      <c r="K88" s="20">
        <v>30</v>
      </c>
      <c r="L88" s="20">
        <v>207</v>
      </c>
      <c r="M88" s="11">
        <v>12</v>
      </c>
      <c r="N88" s="20">
        <v>8</v>
      </c>
      <c r="O88" s="20">
        <v>4</v>
      </c>
      <c r="P88" s="11">
        <v>249</v>
      </c>
      <c r="Q88" s="20">
        <v>650</v>
      </c>
      <c r="R88" s="20">
        <v>4</v>
      </c>
      <c r="S88" s="20">
        <v>719</v>
      </c>
      <c r="T88" s="11">
        <v>24</v>
      </c>
      <c r="U88" s="11">
        <v>219</v>
      </c>
      <c r="V88" s="22">
        <v>25.678571428571427</v>
      </c>
      <c r="W88" s="12">
        <v>71.329365079365076</v>
      </c>
      <c r="X88" s="12">
        <v>3.2831050228310503</v>
      </c>
      <c r="Y88" s="12">
        <v>1.3196347031963473</v>
      </c>
      <c r="Z88" s="12">
        <v>6.083333333333333</v>
      </c>
    </row>
    <row r="91" spans="1:26" x14ac:dyDescent="0.25">
      <c r="A91" s="78" t="s">
        <v>1</v>
      </c>
      <c r="B91" s="78" t="s">
        <v>2</v>
      </c>
      <c r="C91" s="72" t="s">
        <v>3</v>
      </c>
      <c r="D91" s="72" t="s">
        <v>4</v>
      </c>
      <c r="E91" s="75" t="s">
        <v>5</v>
      </c>
      <c r="F91" s="72" t="s">
        <v>6</v>
      </c>
      <c r="G91" s="72" t="s">
        <v>7</v>
      </c>
      <c r="H91" s="72" t="s">
        <v>8</v>
      </c>
      <c r="I91" s="75" t="s">
        <v>9</v>
      </c>
      <c r="J91" s="72" t="s">
        <v>10</v>
      </c>
      <c r="K91" s="72" t="s">
        <v>11</v>
      </c>
      <c r="L91" s="72" t="s">
        <v>12</v>
      </c>
      <c r="M91" s="72" t="s">
        <v>13</v>
      </c>
      <c r="N91" s="72" t="s">
        <v>14</v>
      </c>
      <c r="O91" s="72" t="s">
        <v>15</v>
      </c>
      <c r="P91" s="72" t="s">
        <v>16</v>
      </c>
      <c r="Q91" s="72" t="s">
        <v>17</v>
      </c>
      <c r="R91" s="72" t="s">
        <v>18</v>
      </c>
      <c r="S91" s="72" t="s">
        <v>19</v>
      </c>
      <c r="T91" s="72" t="s">
        <v>20</v>
      </c>
      <c r="U91" s="73" t="s">
        <v>21</v>
      </c>
      <c r="V91" s="2" t="s">
        <v>22</v>
      </c>
      <c r="W91" s="2" t="s">
        <v>23</v>
      </c>
      <c r="X91" s="2" t="s">
        <v>24</v>
      </c>
      <c r="Y91" s="2" t="s">
        <v>25</v>
      </c>
      <c r="Z91" s="2" t="s">
        <v>26</v>
      </c>
    </row>
    <row r="92" spans="1:26" x14ac:dyDescent="0.25">
      <c r="A92" s="78"/>
      <c r="B92" s="78"/>
      <c r="C92" s="72"/>
      <c r="D92" s="72"/>
      <c r="E92" s="75"/>
      <c r="F92" s="72"/>
      <c r="G92" s="72"/>
      <c r="H92" s="72"/>
      <c r="I92" s="75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3"/>
      <c r="V92" s="71" t="s">
        <v>27</v>
      </c>
      <c r="W92" s="71" t="s">
        <v>28</v>
      </c>
      <c r="X92" s="71" t="s">
        <v>29</v>
      </c>
      <c r="Y92" s="71" t="s">
        <v>30</v>
      </c>
      <c r="Z92" s="71" t="s">
        <v>31</v>
      </c>
    </row>
    <row r="93" spans="1:26" x14ac:dyDescent="0.25">
      <c r="A93" s="78"/>
      <c r="B93" s="78"/>
      <c r="C93" s="72"/>
      <c r="D93" s="72"/>
      <c r="E93" s="75"/>
      <c r="F93" s="72"/>
      <c r="G93" s="72"/>
      <c r="H93" s="72"/>
      <c r="I93" s="75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3"/>
      <c r="V93" s="74"/>
      <c r="W93" s="71"/>
      <c r="X93" s="71"/>
      <c r="Y93" s="71"/>
      <c r="Z93" s="71"/>
    </row>
    <row r="94" spans="1:26" x14ac:dyDescent="0.25">
      <c r="A94" s="78"/>
      <c r="B94" s="78"/>
      <c r="C94" s="72"/>
      <c r="D94" s="72"/>
      <c r="E94" s="75"/>
      <c r="F94" s="72"/>
      <c r="G94" s="3">
        <v>1</v>
      </c>
      <c r="H94" s="3">
        <v>2</v>
      </c>
      <c r="I94" s="3">
        <v>3</v>
      </c>
      <c r="J94" s="3">
        <v>4</v>
      </c>
      <c r="K94" s="3">
        <v>5</v>
      </c>
      <c r="L94" s="3">
        <v>6</v>
      </c>
      <c r="M94" s="3">
        <v>7</v>
      </c>
      <c r="N94" s="3">
        <v>8</v>
      </c>
      <c r="O94" s="3">
        <v>9</v>
      </c>
      <c r="P94" s="3">
        <v>10</v>
      </c>
      <c r="Q94" s="3">
        <v>11</v>
      </c>
      <c r="R94" s="3">
        <v>12</v>
      </c>
      <c r="S94" s="3">
        <v>13</v>
      </c>
      <c r="T94" s="3">
        <v>14</v>
      </c>
      <c r="U94" s="73"/>
      <c r="V94" s="16">
        <v>15</v>
      </c>
      <c r="W94" s="16">
        <v>16</v>
      </c>
      <c r="X94" s="16">
        <v>17</v>
      </c>
      <c r="Y94" s="16">
        <v>18</v>
      </c>
      <c r="Z94" s="16">
        <v>19</v>
      </c>
    </row>
    <row r="95" spans="1:26" ht="15.75" x14ac:dyDescent="0.25">
      <c r="A95" s="76">
        <v>1</v>
      </c>
      <c r="B95" s="96" t="s">
        <v>78</v>
      </c>
      <c r="C95" s="4" t="s">
        <v>44</v>
      </c>
      <c r="D95" s="4" t="s">
        <v>36</v>
      </c>
      <c r="E95" s="4">
        <v>28</v>
      </c>
      <c r="F95" s="4">
        <v>4</v>
      </c>
      <c r="G95" s="4">
        <v>4</v>
      </c>
      <c r="H95" s="4">
        <v>24</v>
      </c>
      <c r="I95" s="4">
        <v>3</v>
      </c>
      <c r="J95" s="5">
        <v>31</v>
      </c>
      <c r="K95" s="4">
        <v>1</v>
      </c>
      <c r="L95" s="4">
        <v>25</v>
      </c>
      <c r="M95" s="5">
        <v>1</v>
      </c>
      <c r="N95" s="4">
        <v>1</v>
      </c>
      <c r="O95" s="4">
        <v>0</v>
      </c>
      <c r="P95" s="5">
        <v>27</v>
      </c>
      <c r="Q95" s="4">
        <v>82</v>
      </c>
      <c r="R95" s="4">
        <v>0</v>
      </c>
      <c r="S95" s="4">
        <v>90</v>
      </c>
      <c r="T95" s="5">
        <v>4</v>
      </c>
      <c r="U95" s="5">
        <v>26</v>
      </c>
      <c r="V95" s="7">
        <v>3.2142857142857144</v>
      </c>
      <c r="W95" s="7">
        <v>80.357142857142861</v>
      </c>
      <c r="X95" s="7">
        <v>3.4615384615384617</v>
      </c>
      <c r="Y95" s="6">
        <v>0.84615384615384603</v>
      </c>
      <c r="Z95" s="7">
        <v>6.5</v>
      </c>
    </row>
    <row r="96" spans="1:26" ht="15.75" x14ac:dyDescent="0.25">
      <c r="A96" s="77"/>
      <c r="B96" s="97"/>
      <c r="C96" s="8" t="s">
        <v>44</v>
      </c>
      <c r="D96" s="8" t="s">
        <v>36</v>
      </c>
      <c r="E96" s="4">
        <v>28</v>
      </c>
      <c r="F96" s="8">
        <v>4</v>
      </c>
      <c r="G96" s="8">
        <v>4</v>
      </c>
      <c r="H96" s="8">
        <v>24</v>
      </c>
      <c r="I96" s="8">
        <v>3</v>
      </c>
      <c r="J96" s="8">
        <v>31</v>
      </c>
      <c r="K96" s="8">
        <v>1</v>
      </c>
      <c r="L96" s="8">
        <v>25</v>
      </c>
      <c r="M96" s="8">
        <v>1</v>
      </c>
      <c r="N96" s="8">
        <v>1</v>
      </c>
      <c r="O96" s="8">
        <v>0</v>
      </c>
      <c r="P96" s="8">
        <v>27</v>
      </c>
      <c r="Q96" s="8">
        <v>82</v>
      </c>
      <c r="R96" s="8">
        <v>0</v>
      </c>
      <c r="S96" s="8">
        <v>90</v>
      </c>
      <c r="T96" s="8">
        <v>4</v>
      </c>
      <c r="U96" s="8">
        <v>26</v>
      </c>
      <c r="V96" s="24">
        <v>3.2142857142857144</v>
      </c>
      <c r="W96" s="24">
        <v>80.357142857142861</v>
      </c>
      <c r="X96" s="24">
        <v>3.4615384615384617</v>
      </c>
      <c r="Y96" s="24">
        <v>0.84615384615384603</v>
      </c>
      <c r="Z96" s="24">
        <v>6.5</v>
      </c>
    </row>
    <row r="97" spans="1:26" ht="15.75" x14ac:dyDescent="0.25">
      <c r="A97" s="76">
        <v>2</v>
      </c>
      <c r="B97" s="97"/>
      <c r="C97" s="4" t="s">
        <v>45</v>
      </c>
      <c r="D97" s="4" t="s">
        <v>36</v>
      </c>
      <c r="E97" s="4">
        <v>28</v>
      </c>
      <c r="F97" s="4">
        <v>8</v>
      </c>
      <c r="G97" s="4">
        <v>4</v>
      </c>
      <c r="H97" s="4">
        <v>34</v>
      </c>
      <c r="I97" s="4">
        <v>10</v>
      </c>
      <c r="J97" s="5">
        <v>48</v>
      </c>
      <c r="K97" s="4">
        <v>5</v>
      </c>
      <c r="L97" s="4">
        <v>39</v>
      </c>
      <c r="M97" s="5">
        <v>1</v>
      </c>
      <c r="N97" s="4">
        <v>1</v>
      </c>
      <c r="O97" s="4">
        <v>0</v>
      </c>
      <c r="P97" s="5">
        <v>45</v>
      </c>
      <c r="Q97" s="4">
        <v>120</v>
      </c>
      <c r="R97" s="4">
        <v>1</v>
      </c>
      <c r="S97" s="4">
        <v>115</v>
      </c>
      <c r="T97" s="5">
        <v>3</v>
      </c>
      <c r="U97" s="5">
        <v>40</v>
      </c>
      <c r="V97" s="7">
        <v>4.1071428571428568</v>
      </c>
      <c r="W97" s="7">
        <v>51.339285714285708</v>
      </c>
      <c r="X97" s="7">
        <v>2.875</v>
      </c>
      <c r="Y97" s="6">
        <v>2.7250000000000005</v>
      </c>
      <c r="Z97" s="7">
        <v>5</v>
      </c>
    </row>
    <row r="98" spans="1:26" ht="15.75" x14ac:dyDescent="0.25">
      <c r="A98" s="77"/>
      <c r="B98" s="97"/>
      <c r="C98" s="8" t="s">
        <v>45</v>
      </c>
      <c r="D98" s="8" t="s">
        <v>36</v>
      </c>
      <c r="E98" s="4">
        <v>28</v>
      </c>
      <c r="F98" s="8">
        <v>8</v>
      </c>
      <c r="G98" s="8">
        <v>4</v>
      </c>
      <c r="H98" s="8">
        <v>34</v>
      </c>
      <c r="I98" s="8">
        <v>10</v>
      </c>
      <c r="J98" s="8">
        <v>48</v>
      </c>
      <c r="K98" s="8">
        <v>5</v>
      </c>
      <c r="L98" s="8">
        <v>39</v>
      </c>
      <c r="M98" s="8">
        <v>1</v>
      </c>
      <c r="N98" s="8">
        <v>1</v>
      </c>
      <c r="O98" s="8">
        <v>0</v>
      </c>
      <c r="P98" s="8">
        <v>45</v>
      </c>
      <c r="Q98" s="8">
        <v>120</v>
      </c>
      <c r="R98" s="8">
        <v>1</v>
      </c>
      <c r="S98" s="8">
        <v>115</v>
      </c>
      <c r="T98" s="8">
        <v>3</v>
      </c>
      <c r="U98" s="8">
        <v>40</v>
      </c>
      <c r="V98" s="24">
        <v>4.1071428571428568</v>
      </c>
      <c r="W98" s="24">
        <v>51.339285714285708</v>
      </c>
      <c r="X98" s="24">
        <v>2.875</v>
      </c>
      <c r="Y98" s="24">
        <v>2.7250000000000005</v>
      </c>
      <c r="Z98" s="24">
        <v>5</v>
      </c>
    </row>
    <row r="99" spans="1:26" ht="15.75" x14ac:dyDescent="0.25">
      <c r="A99" s="76">
        <v>3</v>
      </c>
      <c r="B99" s="97"/>
      <c r="C99" s="4" t="s">
        <v>56</v>
      </c>
      <c r="D99" s="4" t="s">
        <v>36</v>
      </c>
      <c r="E99" s="4">
        <v>28</v>
      </c>
      <c r="F99" s="4">
        <v>8</v>
      </c>
      <c r="G99" s="4">
        <v>2</v>
      </c>
      <c r="H99" s="4">
        <v>30</v>
      </c>
      <c r="I99" s="4">
        <v>116</v>
      </c>
      <c r="J99" s="5">
        <v>148</v>
      </c>
      <c r="K99" s="4">
        <v>121</v>
      </c>
      <c r="L99" s="4">
        <v>20</v>
      </c>
      <c r="M99" s="5">
        <v>2</v>
      </c>
      <c r="N99" s="4">
        <v>1</v>
      </c>
      <c r="O99" s="4">
        <v>1</v>
      </c>
      <c r="P99" s="5">
        <v>143</v>
      </c>
      <c r="Q99" s="4">
        <v>54</v>
      </c>
      <c r="R99" s="4">
        <v>2</v>
      </c>
      <c r="S99" s="4">
        <v>172</v>
      </c>
      <c r="T99" s="5">
        <v>5</v>
      </c>
      <c r="U99" s="5">
        <v>22</v>
      </c>
      <c r="V99" s="7">
        <v>6.1428571428571432</v>
      </c>
      <c r="W99" s="7">
        <v>76.785714285714292</v>
      </c>
      <c r="X99" s="7">
        <v>7.8181818181818183</v>
      </c>
      <c r="Y99" s="6">
        <v>2.3636363636363629</v>
      </c>
      <c r="Z99" s="7">
        <v>2.75</v>
      </c>
    </row>
    <row r="100" spans="1:26" ht="15.75" x14ac:dyDescent="0.25">
      <c r="A100" s="98"/>
      <c r="B100" s="97"/>
      <c r="C100" s="4" t="s">
        <v>60</v>
      </c>
      <c r="D100" s="4" t="s">
        <v>36</v>
      </c>
      <c r="E100" s="4">
        <v>28</v>
      </c>
      <c r="F100" s="4">
        <v>4</v>
      </c>
      <c r="G100" s="4">
        <v>0</v>
      </c>
      <c r="H100" s="4">
        <v>1</v>
      </c>
      <c r="I100" s="4">
        <v>56</v>
      </c>
      <c r="J100" s="5">
        <v>57</v>
      </c>
      <c r="K100" s="4">
        <v>51</v>
      </c>
      <c r="L100" s="4">
        <v>6</v>
      </c>
      <c r="M100" s="5">
        <v>0</v>
      </c>
      <c r="N100" s="4">
        <v>0</v>
      </c>
      <c r="O100" s="4">
        <v>0</v>
      </c>
      <c r="P100" s="5">
        <v>57</v>
      </c>
      <c r="Q100" s="4">
        <v>9</v>
      </c>
      <c r="R100" s="4">
        <v>0</v>
      </c>
      <c r="S100" s="4">
        <v>56</v>
      </c>
      <c r="T100" s="5">
        <v>0</v>
      </c>
      <c r="U100" s="5">
        <v>6</v>
      </c>
      <c r="V100" s="7">
        <v>2</v>
      </c>
      <c r="W100" s="7">
        <v>50</v>
      </c>
      <c r="X100" s="7">
        <v>9.3333333333333339</v>
      </c>
      <c r="Y100" s="6">
        <v>9.3333333333333339</v>
      </c>
      <c r="Z100" s="7">
        <v>1.5</v>
      </c>
    </row>
    <row r="101" spans="1:26" ht="15.75" x14ac:dyDescent="0.25">
      <c r="A101" s="77"/>
      <c r="B101" s="97"/>
      <c r="C101" s="8" t="s">
        <v>77</v>
      </c>
      <c r="D101" s="8" t="s">
        <v>36</v>
      </c>
      <c r="E101" s="4">
        <v>28</v>
      </c>
      <c r="F101" s="8">
        <v>12</v>
      </c>
      <c r="G101" s="8">
        <v>2</v>
      </c>
      <c r="H101" s="8">
        <v>31</v>
      </c>
      <c r="I101" s="8">
        <v>172</v>
      </c>
      <c r="J101" s="8">
        <v>205</v>
      </c>
      <c r="K101" s="8">
        <v>172</v>
      </c>
      <c r="L101" s="8">
        <v>26</v>
      </c>
      <c r="M101" s="8">
        <v>2</v>
      </c>
      <c r="N101" s="8">
        <v>1</v>
      </c>
      <c r="O101" s="8">
        <v>1</v>
      </c>
      <c r="P101" s="8">
        <v>200</v>
      </c>
      <c r="Q101" s="8">
        <v>63</v>
      </c>
      <c r="R101" s="8">
        <v>2</v>
      </c>
      <c r="S101" s="8">
        <v>228</v>
      </c>
      <c r="T101" s="8">
        <v>5</v>
      </c>
      <c r="U101" s="8">
        <v>28</v>
      </c>
      <c r="V101" s="24">
        <v>8.1428571428571423</v>
      </c>
      <c r="W101" s="24">
        <v>67.857142857142847</v>
      </c>
      <c r="X101" s="24">
        <v>8.1428571428571423</v>
      </c>
      <c r="Y101" s="24">
        <v>3.8571428571428577</v>
      </c>
      <c r="Z101" s="24">
        <v>2.3333333333333335</v>
      </c>
    </row>
    <row r="102" spans="1:26" ht="15.75" x14ac:dyDescent="0.25">
      <c r="A102" s="76">
        <v>4</v>
      </c>
      <c r="B102" s="97"/>
      <c r="C102" s="5" t="s">
        <v>37</v>
      </c>
      <c r="D102" s="5" t="s">
        <v>36</v>
      </c>
      <c r="E102" s="4">
        <v>28</v>
      </c>
      <c r="F102" s="5">
        <v>2</v>
      </c>
      <c r="G102" s="5">
        <v>1</v>
      </c>
      <c r="H102" s="5">
        <v>18</v>
      </c>
      <c r="I102" s="5">
        <v>6</v>
      </c>
      <c r="J102" s="5">
        <v>25</v>
      </c>
      <c r="K102" s="5">
        <v>14</v>
      </c>
      <c r="L102" s="5">
        <v>10</v>
      </c>
      <c r="M102" s="5">
        <v>0</v>
      </c>
      <c r="N102" s="5">
        <v>0</v>
      </c>
      <c r="O102" s="5">
        <v>0</v>
      </c>
      <c r="P102" s="5">
        <v>24</v>
      </c>
      <c r="Q102" s="5">
        <v>31</v>
      </c>
      <c r="R102" s="5">
        <v>0</v>
      </c>
      <c r="S102" s="5">
        <v>34</v>
      </c>
      <c r="T102" s="5">
        <v>1</v>
      </c>
      <c r="U102" s="5">
        <v>10</v>
      </c>
      <c r="V102" s="7">
        <v>1.2142857142857142</v>
      </c>
      <c r="W102" s="7">
        <v>60.714285714285708</v>
      </c>
      <c r="X102" s="7">
        <v>3.4</v>
      </c>
      <c r="Y102" s="6">
        <v>2.2000000000000002</v>
      </c>
      <c r="Z102" s="7">
        <v>5</v>
      </c>
    </row>
    <row r="103" spans="1:26" ht="15.75" x14ac:dyDescent="0.25">
      <c r="A103" s="77"/>
      <c r="B103" s="97"/>
      <c r="C103" s="8" t="s">
        <v>37</v>
      </c>
      <c r="D103" s="8" t="s">
        <v>36</v>
      </c>
      <c r="E103" s="4">
        <v>28</v>
      </c>
      <c r="F103" s="8">
        <v>2</v>
      </c>
      <c r="G103" s="8">
        <v>1</v>
      </c>
      <c r="H103" s="8">
        <v>18</v>
      </c>
      <c r="I103" s="8">
        <v>6</v>
      </c>
      <c r="J103" s="8">
        <v>25</v>
      </c>
      <c r="K103" s="8">
        <v>14</v>
      </c>
      <c r="L103" s="8">
        <v>10</v>
      </c>
      <c r="M103" s="8">
        <v>0</v>
      </c>
      <c r="N103" s="8">
        <v>0</v>
      </c>
      <c r="O103" s="8">
        <v>0</v>
      </c>
      <c r="P103" s="8">
        <v>24</v>
      </c>
      <c r="Q103" s="8">
        <v>31</v>
      </c>
      <c r="R103" s="8">
        <v>0</v>
      </c>
      <c r="S103" s="8">
        <v>34</v>
      </c>
      <c r="T103" s="8">
        <v>1</v>
      </c>
      <c r="U103" s="8">
        <v>10</v>
      </c>
      <c r="V103" s="24">
        <v>1.2142857142857142</v>
      </c>
      <c r="W103" s="24">
        <v>60.714285714285708</v>
      </c>
      <c r="X103" s="24">
        <v>3.4</v>
      </c>
      <c r="Y103" s="24">
        <v>2.2000000000000002</v>
      </c>
      <c r="Z103" s="24">
        <v>5</v>
      </c>
    </row>
    <row r="104" spans="1:26" ht="15.75" x14ac:dyDescent="0.25">
      <c r="A104" s="79" t="s">
        <v>83</v>
      </c>
      <c r="B104" s="80"/>
      <c r="C104" s="80"/>
      <c r="D104" s="81"/>
      <c r="E104" s="4">
        <v>28</v>
      </c>
      <c r="F104" s="20">
        <v>26</v>
      </c>
      <c r="G104" s="20">
        <v>11</v>
      </c>
      <c r="H104" s="20">
        <v>107</v>
      </c>
      <c r="I104" s="20">
        <v>191</v>
      </c>
      <c r="J104" s="11">
        <v>309</v>
      </c>
      <c r="K104" s="20">
        <v>192</v>
      </c>
      <c r="L104" s="20">
        <v>100</v>
      </c>
      <c r="M104" s="11">
        <v>4</v>
      </c>
      <c r="N104" s="20">
        <v>3</v>
      </c>
      <c r="O104" s="20">
        <v>1</v>
      </c>
      <c r="P104" s="11">
        <v>296</v>
      </c>
      <c r="Q104" s="20">
        <v>296</v>
      </c>
      <c r="R104" s="20">
        <v>3</v>
      </c>
      <c r="S104" s="20">
        <v>467</v>
      </c>
      <c r="T104" s="11">
        <v>13</v>
      </c>
      <c r="U104" s="11">
        <v>104</v>
      </c>
      <c r="V104" s="22">
        <v>16.678571428571427</v>
      </c>
      <c r="W104" s="12">
        <v>64.14835164835165</v>
      </c>
      <c r="X104" s="12">
        <v>4.490384615384615</v>
      </c>
      <c r="Y104" s="12">
        <v>2.509615384615385</v>
      </c>
      <c r="Z104" s="12">
        <v>4</v>
      </c>
    </row>
    <row r="107" spans="1:26" x14ac:dyDescent="0.25">
      <c r="A107" s="78" t="s">
        <v>1</v>
      </c>
      <c r="B107" s="78" t="s">
        <v>2</v>
      </c>
      <c r="C107" s="72" t="s">
        <v>3</v>
      </c>
      <c r="D107" s="72" t="s">
        <v>4</v>
      </c>
      <c r="E107" s="75" t="s">
        <v>5</v>
      </c>
      <c r="F107" s="72" t="s">
        <v>6</v>
      </c>
      <c r="G107" s="72" t="s">
        <v>7</v>
      </c>
      <c r="H107" s="72" t="s">
        <v>8</v>
      </c>
      <c r="I107" s="75" t="s">
        <v>9</v>
      </c>
      <c r="J107" s="72" t="s">
        <v>10</v>
      </c>
      <c r="K107" s="72" t="s">
        <v>11</v>
      </c>
      <c r="L107" s="72" t="s">
        <v>12</v>
      </c>
      <c r="M107" s="72" t="s">
        <v>13</v>
      </c>
      <c r="N107" s="72" t="s">
        <v>14</v>
      </c>
      <c r="O107" s="72" t="s">
        <v>15</v>
      </c>
      <c r="P107" s="72" t="s">
        <v>16</v>
      </c>
      <c r="Q107" s="72" t="s">
        <v>17</v>
      </c>
      <c r="R107" s="72" t="s">
        <v>18</v>
      </c>
      <c r="S107" s="72" t="s">
        <v>19</v>
      </c>
      <c r="T107" s="72" t="s">
        <v>20</v>
      </c>
      <c r="U107" s="73" t="s">
        <v>21</v>
      </c>
      <c r="V107" s="2" t="s">
        <v>22</v>
      </c>
      <c r="W107" s="2" t="s">
        <v>23</v>
      </c>
      <c r="X107" s="2" t="s">
        <v>24</v>
      </c>
      <c r="Y107" s="2" t="s">
        <v>25</v>
      </c>
      <c r="Z107" s="2" t="s">
        <v>26</v>
      </c>
    </row>
    <row r="108" spans="1:26" x14ac:dyDescent="0.25">
      <c r="A108" s="78"/>
      <c r="B108" s="78"/>
      <c r="C108" s="72"/>
      <c r="D108" s="72"/>
      <c r="E108" s="75"/>
      <c r="F108" s="72"/>
      <c r="G108" s="72"/>
      <c r="H108" s="72"/>
      <c r="I108" s="75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3"/>
      <c r="V108" s="71" t="s">
        <v>27</v>
      </c>
      <c r="W108" s="71" t="s">
        <v>28</v>
      </c>
      <c r="X108" s="71" t="s">
        <v>29</v>
      </c>
      <c r="Y108" s="71" t="s">
        <v>30</v>
      </c>
      <c r="Z108" s="71" t="s">
        <v>31</v>
      </c>
    </row>
    <row r="109" spans="1:26" x14ac:dyDescent="0.25">
      <c r="A109" s="78"/>
      <c r="B109" s="78"/>
      <c r="C109" s="72"/>
      <c r="D109" s="72"/>
      <c r="E109" s="75"/>
      <c r="F109" s="72"/>
      <c r="G109" s="72"/>
      <c r="H109" s="72"/>
      <c r="I109" s="75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3"/>
      <c r="V109" s="74"/>
      <c r="W109" s="71"/>
      <c r="X109" s="71"/>
      <c r="Y109" s="71"/>
      <c r="Z109" s="71"/>
    </row>
    <row r="110" spans="1:26" x14ac:dyDescent="0.25">
      <c r="A110" s="78"/>
      <c r="B110" s="78"/>
      <c r="C110" s="72"/>
      <c r="D110" s="72"/>
      <c r="E110" s="75"/>
      <c r="F110" s="72"/>
      <c r="G110" s="3">
        <v>1</v>
      </c>
      <c r="H110" s="3">
        <v>2</v>
      </c>
      <c r="I110" s="3">
        <v>3</v>
      </c>
      <c r="J110" s="3">
        <v>4</v>
      </c>
      <c r="K110" s="3">
        <v>5</v>
      </c>
      <c r="L110" s="3">
        <v>6</v>
      </c>
      <c r="M110" s="3">
        <v>7</v>
      </c>
      <c r="N110" s="3">
        <v>8</v>
      </c>
      <c r="O110" s="3">
        <v>9</v>
      </c>
      <c r="P110" s="3">
        <v>10</v>
      </c>
      <c r="Q110" s="3">
        <v>11</v>
      </c>
      <c r="R110" s="3">
        <v>12</v>
      </c>
      <c r="S110" s="3">
        <v>13</v>
      </c>
      <c r="T110" s="3">
        <v>14</v>
      </c>
      <c r="U110" s="73"/>
      <c r="V110" s="16">
        <v>15</v>
      </c>
      <c r="W110" s="16">
        <v>16</v>
      </c>
      <c r="X110" s="16">
        <v>17</v>
      </c>
      <c r="Y110" s="16">
        <v>18</v>
      </c>
      <c r="Z110" s="16">
        <v>19</v>
      </c>
    </row>
    <row r="111" spans="1:26" ht="15.75" x14ac:dyDescent="0.25">
      <c r="A111" s="76">
        <v>1</v>
      </c>
      <c r="B111" s="90" t="s">
        <v>79</v>
      </c>
      <c r="C111" s="4" t="s">
        <v>44</v>
      </c>
      <c r="D111" s="4" t="s">
        <v>32</v>
      </c>
      <c r="E111" s="4">
        <v>28</v>
      </c>
      <c r="F111" s="4">
        <v>12</v>
      </c>
      <c r="G111" s="4">
        <v>9</v>
      </c>
      <c r="H111" s="4">
        <v>75</v>
      </c>
      <c r="I111" s="4">
        <v>8</v>
      </c>
      <c r="J111" s="5">
        <v>92</v>
      </c>
      <c r="K111" s="4">
        <v>2</v>
      </c>
      <c r="L111" s="4">
        <v>74</v>
      </c>
      <c r="M111" s="5">
        <v>7</v>
      </c>
      <c r="N111" s="4">
        <v>4</v>
      </c>
      <c r="O111" s="4">
        <v>3</v>
      </c>
      <c r="P111" s="5">
        <v>83</v>
      </c>
      <c r="Q111" s="4">
        <v>288</v>
      </c>
      <c r="R111" s="4">
        <v>1</v>
      </c>
      <c r="S111" s="4">
        <v>273</v>
      </c>
      <c r="T111" s="5">
        <v>9</v>
      </c>
      <c r="U111" s="5">
        <v>81</v>
      </c>
      <c r="V111" s="7">
        <v>9.75</v>
      </c>
      <c r="W111" s="7">
        <v>81.25</v>
      </c>
      <c r="X111" s="7">
        <v>3.3703703703703702</v>
      </c>
      <c r="Y111" s="6">
        <v>0.77777777777777779</v>
      </c>
      <c r="Z111" s="7">
        <v>6.75</v>
      </c>
    </row>
    <row r="112" spans="1:26" ht="15.75" x14ac:dyDescent="0.25">
      <c r="A112" s="77"/>
      <c r="B112" s="91"/>
      <c r="C112" s="8" t="s">
        <v>44</v>
      </c>
      <c r="D112" s="4" t="s">
        <v>32</v>
      </c>
      <c r="E112" s="4">
        <v>28</v>
      </c>
      <c r="F112" s="8">
        <v>12</v>
      </c>
      <c r="G112" s="8">
        <v>9</v>
      </c>
      <c r="H112" s="8">
        <v>75</v>
      </c>
      <c r="I112" s="8">
        <v>8</v>
      </c>
      <c r="J112" s="8">
        <v>92</v>
      </c>
      <c r="K112" s="8">
        <v>2</v>
      </c>
      <c r="L112" s="8">
        <v>74</v>
      </c>
      <c r="M112" s="8">
        <v>7</v>
      </c>
      <c r="N112" s="8">
        <v>4</v>
      </c>
      <c r="O112" s="8">
        <v>3</v>
      </c>
      <c r="P112" s="8">
        <v>83</v>
      </c>
      <c r="Q112" s="8">
        <v>288</v>
      </c>
      <c r="R112" s="8">
        <v>1</v>
      </c>
      <c r="S112" s="8">
        <v>273</v>
      </c>
      <c r="T112" s="8">
        <v>9</v>
      </c>
      <c r="U112" s="8">
        <v>81</v>
      </c>
      <c r="V112" s="24">
        <v>9.75</v>
      </c>
      <c r="W112" s="24">
        <v>81.25</v>
      </c>
      <c r="X112" s="24">
        <v>3.3703703703703702</v>
      </c>
      <c r="Y112" s="24">
        <v>0.77777777777777779</v>
      </c>
      <c r="Z112" s="24">
        <v>6.75</v>
      </c>
    </row>
    <row r="113" spans="1:26" ht="15.75" x14ac:dyDescent="0.25">
      <c r="A113" s="76">
        <v>2</v>
      </c>
      <c r="B113" s="91"/>
      <c r="C113" s="4" t="s">
        <v>55</v>
      </c>
      <c r="D113" s="4" t="s">
        <v>32</v>
      </c>
      <c r="E113" s="4">
        <v>28</v>
      </c>
      <c r="F113" s="4">
        <v>12</v>
      </c>
      <c r="G113" s="4">
        <v>15</v>
      </c>
      <c r="H113" s="4">
        <v>110</v>
      </c>
      <c r="I113" s="4">
        <v>12</v>
      </c>
      <c r="J113" s="5">
        <v>137</v>
      </c>
      <c r="K113" s="4">
        <v>12</v>
      </c>
      <c r="L113" s="4">
        <v>105</v>
      </c>
      <c r="M113" s="5">
        <v>12</v>
      </c>
      <c r="N113" s="4">
        <v>7</v>
      </c>
      <c r="O113" s="4">
        <v>5</v>
      </c>
      <c r="P113" s="5">
        <v>129</v>
      </c>
      <c r="Q113" s="4">
        <v>397</v>
      </c>
      <c r="R113" s="4">
        <v>1</v>
      </c>
      <c r="S113" s="4">
        <v>412</v>
      </c>
      <c r="T113" s="5">
        <v>8</v>
      </c>
      <c r="U113" s="5">
        <v>117</v>
      </c>
      <c r="V113" s="7">
        <v>14.714285714285714</v>
      </c>
      <c r="W113" s="7">
        <v>122.61904761904761</v>
      </c>
      <c r="X113" s="7">
        <v>3.5213675213675213</v>
      </c>
      <c r="Y113" s="6">
        <v>-0.64957264957264937</v>
      </c>
      <c r="Z113" s="7">
        <v>9.75</v>
      </c>
    </row>
    <row r="114" spans="1:26" ht="15.75" x14ac:dyDescent="0.25">
      <c r="A114" s="77"/>
      <c r="B114" s="91"/>
      <c r="C114" s="8" t="s">
        <v>55</v>
      </c>
      <c r="D114" s="4" t="s">
        <v>32</v>
      </c>
      <c r="E114" s="4">
        <v>28</v>
      </c>
      <c r="F114" s="8">
        <v>12</v>
      </c>
      <c r="G114" s="8">
        <v>15</v>
      </c>
      <c r="H114" s="8">
        <v>110</v>
      </c>
      <c r="I114" s="8">
        <v>12</v>
      </c>
      <c r="J114" s="8">
        <v>137</v>
      </c>
      <c r="K114" s="8">
        <v>12</v>
      </c>
      <c r="L114" s="8">
        <v>105</v>
      </c>
      <c r="M114" s="8">
        <v>12</v>
      </c>
      <c r="N114" s="8">
        <v>7</v>
      </c>
      <c r="O114" s="8">
        <v>5</v>
      </c>
      <c r="P114" s="8">
        <v>129</v>
      </c>
      <c r="Q114" s="8">
        <v>397</v>
      </c>
      <c r="R114" s="8">
        <v>1</v>
      </c>
      <c r="S114" s="8">
        <v>412</v>
      </c>
      <c r="T114" s="8">
        <v>8</v>
      </c>
      <c r="U114" s="8">
        <v>117</v>
      </c>
      <c r="V114" s="24">
        <v>14.714285714285714</v>
      </c>
      <c r="W114" s="24">
        <v>122.61904761904761</v>
      </c>
      <c r="X114" s="24">
        <v>3.5213675213675213</v>
      </c>
      <c r="Y114" s="24">
        <v>-0.64957264957264937</v>
      </c>
      <c r="Z114" s="24">
        <v>9.75</v>
      </c>
    </row>
    <row r="115" spans="1:26" ht="15.75" x14ac:dyDescent="0.25">
      <c r="A115" s="76">
        <v>3</v>
      </c>
      <c r="B115" s="91"/>
      <c r="C115" s="4" t="s">
        <v>74</v>
      </c>
      <c r="D115" s="4" t="s">
        <v>32</v>
      </c>
      <c r="E115" s="4">
        <v>28</v>
      </c>
      <c r="F115" s="4">
        <v>15</v>
      </c>
      <c r="G115" s="4">
        <v>20</v>
      </c>
      <c r="H115" s="4">
        <v>114</v>
      </c>
      <c r="I115" s="4">
        <v>6</v>
      </c>
      <c r="J115" s="5">
        <v>140</v>
      </c>
      <c r="K115" s="4">
        <v>10</v>
      </c>
      <c r="L115" s="4">
        <v>99</v>
      </c>
      <c r="M115" s="5">
        <v>18</v>
      </c>
      <c r="N115" s="4">
        <v>11</v>
      </c>
      <c r="O115" s="4">
        <v>7</v>
      </c>
      <c r="P115" s="5">
        <v>127</v>
      </c>
      <c r="Q115" s="4">
        <v>478</v>
      </c>
      <c r="R115" s="4">
        <v>3</v>
      </c>
      <c r="S115" s="4">
        <v>489</v>
      </c>
      <c r="T115" s="5">
        <v>13</v>
      </c>
      <c r="U115" s="5">
        <v>117</v>
      </c>
      <c r="V115" s="7">
        <v>17.464285714285715</v>
      </c>
      <c r="W115" s="7">
        <v>116.42857142857143</v>
      </c>
      <c r="X115" s="7">
        <v>4.1794871794871797</v>
      </c>
      <c r="Y115" s="6">
        <v>-0.58974358974358998</v>
      </c>
      <c r="Z115" s="7">
        <v>7.8</v>
      </c>
    </row>
    <row r="116" spans="1:26" ht="15.75" x14ac:dyDescent="0.25">
      <c r="A116" s="77"/>
      <c r="B116" s="91"/>
      <c r="C116" s="8" t="s">
        <v>74</v>
      </c>
      <c r="D116" s="4" t="s">
        <v>32</v>
      </c>
      <c r="E116" s="4">
        <v>28</v>
      </c>
      <c r="F116" s="8">
        <v>15</v>
      </c>
      <c r="G116" s="8">
        <v>20</v>
      </c>
      <c r="H116" s="8">
        <v>114</v>
      </c>
      <c r="I116" s="8">
        <v>6</v>
      </c>
      <c r="J116" s="8">
        <v>140</v>
      </c>
      <c r="K116" s="8">
        <v>10</v>
      </c>
      <c r="L116" s="8">
        <v>99</v>
      </c>
      <c r="M116" s="8">
        <v>18</v>
      </c>
      <c r="N116" s="8">
        <v>11</v>
      </c>
      <c r="O116" s="8">
        <v>7</v>
      </c>
      <c r="P116" s="8">
        <v>127</v>
      </c>
      <c r="Q116" s="8">
        <v>478</v>
      </c>
      <c r="R116" s="8">
        <v>3</v>
      </c>
      <c r="S116" s="8">
        <v>489</v>
      </c>
      <c r="T116" s="8">
        <v>13</v>
      </c>
      <c r="U116" s="8">
        <v>117</v>
      </c>
      <c r="V116" s="24">
        <v>17.464285714285715</v>
      </c>
      <c r="W116" s="24">
        <v>116.42857142857143</v>
      </c>
      <c r="X116" s="24">
        <v>4.1794871794871797</v>
      </c>
      <c r="Y116" s="24">
        <v>-0.58974358974358998</v>
      </c>
      <c r="Z116" s="24">
        <v>7.8</v>
      </c>
    </row>
    <row r="117" spans="1:26" ht="15.75" x14ac:dyDescent="0.25">
      <c r="A117" s="76">
        <v>4</v>
      </c>
      <c r="B117" s="91"/>
      <c r="C117" s="5" t="s">
        <v>39</v>
      </c>
      <c r="D117" s="4" t="s">
        <v>32</v>
      </c>
      <c r="E117" s="4">
        <v>28</v>
      </c>
      <c r="F117" s="5">
        <v>18</v>
      </c>
      <c r="G117" s="5">
        <v>14</v>
      </c>
      <c r="H117" s="5">
        <v>139</v>
      </c>
      <c r="I117" s="5">
        <v>10</v>
      </c>
      <c r="J117" s="5">
        <v>163</v>
      </c>
      <c r="K117" s="5">
        <v>13</v>
      </c>
      <c r="L117" s="5">
        <v>127</v>
      </c>
      <c r="M117" s="5">
        <v>7</v>
      </c>
      <c r="N117" s="5">
        <v>4</v>
      </c>
      <c r="O117" s="5">
        <v>3</v>
      </c>
      <c r="P117" s="5">
        <v>147</v>
      </c>
      <c r="Q117" s="5">
        <v>440</v>
      </c>
      <c r="R117" s="5">
        <v>1</v>
      </c>
      <c r="S117" s="5">
        <v>511</v>
      </c>
      <c r="T117" s="5">
        <v>16</v>
      </c>
      <c r="U117" s="5">
        <v>134</v>
      </c>
      <c r="V117" s="7">
        <v>18.25</v>
      </c>
      <c r="W117" s="7">
        <v>101.38888888888889</v>
      </c>
      <c r="X117" s="7">
        <v>3.8134328358208953</v>
      </c>
      <c r="Y117" s="6">
        <v>-5.2238805970149252E-2</v>
      </c>
      <c r="Z117" s="7">
        <v>7.4444444444444446</v>
      </c>
    </row>
    <row r="118" spans="1:26" ht="15.75" x14ac:dyDescent="0.25">
      <c r="A118" s="77"/>
      <c r="B118" s="91"/>
      <c r="C118" s="8" t="s">
        <v>39</v>
      </c>
      <c r="D118" s="4" t="s">
        <v>32</v>
      </c>
      <c r="E118" s="4">
        <v>28</v>
      </c>
      <c r="F118" s="8">
        <v>18</v>
      </c>
      <c r="G118" s="8">
        <v>14</v>
      </c>
      <c r="H118" s="8">
        <v>139</v>
      </c>
      <c r="I118" s="8">
        <v>10</v>
      </c>
      <c r="J118" s="8">
        <v>163</v>
      </c>
      <c r="K118" s="8">
        <v>13</v>
      </c>
      <c r="L118" s="8">
        <v>127</v>
      </c>
      <c r="M118" s="8">
        <v>7</v>
      </c>
      <c r="N118" s="8">
        <v>4</v>
      </c>
      <c r="O118" s="8">
        <v>3</v>
      </c>
      <c r="P118" s="8">
        <v>147</v>
      </c>
      <c r="Q118" s="8">
        <v>440</v>
      </c>
      <c r="R118" s="8">
        <v>1</v>
      </c>
      <c r="S118" s="8">
        <v>511</v>
      </c>
      <c r="T118" s="8">
        <v>16</v>
      </c>
      <c r="U118" s="8">
        <v>134</v>
      </c>
      <c r="V118" s="24">
        <v>18.25</v>
      </c>
      <c r="W118" s="24">
        <v>101.38888888888889</v>
      </c>
      <c r="X118" s="24">
        <v>3.8134328358208953</v>
      </c>
      <c r="Y118" s="24">
        <v>-5.2238805970149252E-2</v>
      </c>
      <c r="Z118" s="24">
        <v>7.4444444444444446</v>
      </c>
    </row>
    <row r="119" spans="1:26" ht="15.75" x14ac:dyDescent="0.25">
      <c r="A119" s="76">
        <v>5</v>
      </c>
      <c r="B119" s="91"/>
      <c r="C119" s="5" t="s">
        <v>41</v>
      </c>
      <c r="D119" s="4" t="s">
        <v>32</v>
      </c>
      <c r="E119" s="4">
        <v>28</v>
      </c>
      <c r="F119" s="5">
        <v>20</v>
      </c>
      <c r="G119" s="5">
        <v>14</v>
      </c>
      <c r="H119" s="5">
        <v>150</v>
      </c>
      <c r="I119" s="5">
        <v>10</v>
      </c>
      <c r="J119" s="5">
        <v>174</v>
      </c>
      <c r="K119" s="5">
        <v>13</v>
      </c>
      <c r="L119" s="5">
        <v>143</v>
      </c>
      <c r="M119" s="5">
        <v>8</v>
      </c>
      <c r="N119" s="5">
        <v>6</v>
      </c>
      <c r="O119" s="5">
        <v>2</v>
      </c>
      <c r="P119" s="5">
        <v>164</v>
      </c>
      <c r="Q119" s="5">
        <v>467</v>
      </c>
      <c r="R119" s="5">
        <v>2</v>
      </c>
      <c r="S119" s="5">
        <v>431</v>
      </c>
      <c r="T119" s="5">
        <v>10</v>
      </c>
      <c r="U119" s="5">
        <v>151</v>
      </c>
      <c r="V119" s="7">
        <v>15.392857142857142</v>
      </c>
      <c r="W119" s="7">
        <v>76.964285714285708</v>
      </c>
      <c r="X119" s="7">
        <v>2.8543046357615895</v>
      </c>
      <c r="Y119" s="6">
        <v>0.85430463576158944</v>
      </c>
      <c r="Z119" s="7">
        <v>7.55</v>
      </c>
    </row>
    <row r="120" spans="1:26" ht="15.75" x14ac:dyDescent="0.25">
      <c r="A120" s="77"/>
      <c r="B120" s="91"/>
      <c r="C120" s="8" t="s">
        <v>41</v>
      </c>
      <c r="D120" s="4" t="s">
        <v>32</v>
      </c>
      <c r="E120" s="4">
        <v>28</v>
      </c>
      <c r="F120" s="8">
        <v>20</v>
      </c>
      <c r="G120" s="8">
        <v>14</v>
      </c>
      <c r="H120" s="8">
        <v>150</v>
      </c>
      <c r="I120" s="8">
        <v>10</v>
      </c>
      <c r="J120" s="8">
        <v>174</v>
      </c>
      <c r="K120" s="8">
        <v>13</v>
      </c>
      <c r="L120" s="8">
        <v>143</v>
      </c>
      <c r="M120" s="8">
        <v>8</v>
      </c>
      <c r="N120" s="8">
        <v>6</v>
      </c>
      <c r="O120" s="8">
        <v>2</v>
      </c>
      <c r="P120" s="8">
        <v>164</v>
      </c>
      <c r="Q120" s="8">
        <v>467</v>
      </c>
      <c r="R120" s="8">
        <v>2</v>
      </c>
      <c r="S120" s="8">
        <v>431</v>
      </c>
      <c r="T120" s="8">
        <v>10</v>
      </c>
      <c r="U120" s="8">
        <v>151</v>
      </c>
      <c r="V120" s="24">
        <v>15.392857142857142</v>
      </c>
      <c r="W120" s="24">
        <v>76.964285714285708</v>
      </c>
      <c r="X120" s="24">
        <v>2.8543046357615895</v>
      </c>
      <c r="Y120" s="24">
        <v>0.85430463576158944</v>
      </c>
      <c r="Z120" s="24">
        <v>7.55</v>
      </c>
    </row>
    <row r="121" spans="1:26" ht="15.75" x14ac:dyDescent="0.25">
      <c r="A121" s="76">
        <v>6</v>
      </c>
      <c r="B121" s="91"/>
      <c r="C121" s="5" t="s">
        <v>35</v>
      </c>
      <c r="D121" s="4" t="s">
        <v>32</v>
      </c>
      <c r="E121" s="4">
        <v>28</v>
      </c>
      <c r="F121" s="5">
        <v>12</v>
      </c>
      <c r="G121" s="5">
        <v>8</v>
      </c>
      <c r="H121" s="5">
        <v>81</v>
      </c>
      <c r="I121" s="5">
        <v>4</v>
      </c>
      <c r="J121" s="5">
        <v>93</v>
      </c>
      <c r="K121" s="5">
        <v>3</v>
      </c>
      <c r="L121" s="5">
        <v>81</v>
      </c>
      <c r="M121" s="5">
        <v>6</v>
      </c>
      <c r="N121" s="5">
        <v>5</v>
      </c>
      <c r="O121" s="5">
        <v>1</v>
      </c>
      <c r="P121" s="5">
        <v>90</v>
      </c>
      <c r="Q121" s="5">
        <v>289</v>
      </c>
      <c r="R121" s="5">
        <v>2</v>
      </c>
      <c r="S121" s="5">
        <v>247</v>
      </c>
      <c r="T121" s="5">
        <v>3</v>
      </c>
      <c r="U121" s="5">
        <v>87</v>
      </c>
      <c r="V121" s="13">
        <v>8.8214285714285712</v>
      </c>
      <c r="W121" s="13">
        <v>73.511904761904759</v>
      </c>
      <c r="X121" s="13">
        <v>2.8390804597701149</v>
      </c>
      <c r="Y121" s="14">
        <v>1.0229885057471264</v>
      </c>
      <c r="Z121" s="13">
        <v>7.25</v>
      </c>
    </row>
    <row r="122" spans="1:26" ht="15.75" x14ac:dyDescent="0.25">
      <c r="A122" s="77"/>
      <c r="B122" s="91"/>
      <c r="C122" s="8" t="s">
        <v>35</v>
      </c>
      <c r="D122" s="4" t="s">
        <v>32</v>
      </c>
      <c r="E122" s="4">
        <v>28</v>
      </c>
      <c r="F122" s="8">
        <v>12</v>
      </c>
      <c r="G122" s="8">
        <v>8</v>
      </c>
      <c r="H122" s="8">
        <v>81</v>
      </c>
      <c r="I122" s="8">
        <v>4</v>
      </c>
      <c r="J122" s="8">
        <v>93</v>
      </c>
      <c r="K122" s="8">
        <v>3</v>
      </c>
      <c r="L122" s="8">
        <v>81</v>
      </c>
      <c r="M122" s="8">
        <v>6</v>
      </c>
      <c r="N122" s="8">
        <v>5</v>
      </c>
      <c r="O122" s="8">
        <v>1</v>
      </c>
      <c r="P122" s="8">
        <v>90</v>
      </c>
      <c r="Q122" s="8">
        <v>289</v>
      </c>
      <c r="R122" s="8">
        <v>2</v>
      </c>
      <c r="S122" s="8">
        <v>247</v>
      </c>
      <c r="T122" s="8">
        <v>3</v>
      </c>
      <c r="U122" s="8">
        <v>87</v>
      </c>
      <c r="V122" s="26">
        <v>8.8214285714285712</v>
      </c>
      <c r="W122" s="26">
        <v>73.511904761904759</v>
      </c>
      <c r="X122" s="26">
        <v>2.8390804597701149</v>
      </c>
      <c r="Y122" s="26">
        <v>1.0229885057471264</v>
      </c>
      <c r="Z122" s="26">
        <v>7.25</v>
      </c>
    </row>
    <row r="123" spans="1:26" ht="15.75" x14ac:dyDescent="0.25">
      <c r="A123" s="76">
        <v>7</v>
      </c>
      <c r="B123" s="91"/>
      <c r="C123" s="5" t="s">
        <v>34</v>
      </c>
      <c r="D123" s="4" t="s">
        <v>32</v>
      </c>
      <c r="E123" s="4">
        <v>28</v>
      </c>
      <c r="F123" s="5">
        <v>16</v>
      </c>
      <c r="G123" s="5">
        <v>14</v>
      </c>
      <c r="H123" s="5">
        <v>81</v>
      </c>
      <c r="I123" s="5">
        <v>41</v>
      </c>
      <c r="J123" s="5">
        <v>136</v>
      </c>
      <c r="K123" s="5">
        <v>1</v>
      </c>
      <c r="L123" s="5">
        <v>112</v>
      </c>
      <c r="M123" s="5">
        <v>13</v>
      </c>
      <c r="N123" s="5">
        <v>7</v>
      </c>
      <c r="O123" s="5">
        <v>6</v>
      </c>
      <c r="P123" s="5">
        <v>126</v>
      </c>
      <c r="Q123" s="5">
        <v>493</v>
      </c>
      <c r="R123" s="5">
        <v>2</v>
      </c>
      <c r="S123" s="5">
        <v>411</v>
      </c>
      <c r="T123" s="5">
        <v>10</v>
      </c>
      <c r="U123" s="5">
        <v>125</v>
      </c>
      <c r="V123" s="7">
        <v>14.678571428571429</v>
      </c>
      <c r="W123" s="7">
        <v>91.741071428571431</v>
      </c>
      <c r="X123" s="7">
        <v>3.2879999999999998</v>
      </c>
      <c r="Y123" s="6">
        <v>0.29599999999999993</v>
      </c>
      <c r="Z123" s="7">
        <v>7.8125</v>
      </c>
    </row>
    <row r="124" spans="1:26" ht="15.75" x14ac:dyDescent="0.25">
      <c r="A124" s="77"/>
      <c r="B124" s="91"/>
      <c r="C124" s="8" t="s">
        <v>34</v>
      </c>
      <c r="D124" s="4" t="s">
        <v>32</v>
      </c>
      <c r="E124" s="4">
        <v>28</v>
      </c>
      <c r="F124" s="8">
        <v>16</v>
      </c>
      <c r="G124" s="8">
        <v>14</v>
      </c>
      <c r="H124" s="8">
        <v>81</v>
      </c>
      <c r="I124" s="8">
        <v>41</v>
      </c>
      <c r="J124" s="8">
        <v>136</v>
      </c>
      <c r="K124" s="8">
        <v>1</v>
      </c>
      <c r="L124" s="8">
        <v>112</v>
      </c>
      <c r="M124" s="8">
        <v>13</v>
      </c>
      <c r="N124" s="8">
        <v>7</v>
      </c>
      <c r="O124" s="8">
        <v>6</v>
      </c>
      <c r="P124" s="8">
        <v>126</v>
      </c>
      <c r="Q124" s="8">
        <v>493</v>
      </c>
      <c r="R124" s="8">
        <v>2</v>
      </c>
      <c r="S124" s="8">
        <v>411</v>
      </c>
      <c r="T124" s="8">
        <v>10</v>
      </c>
      <c r="U124" s="8">
        <v>125</v>
      </c>
      <c r="V124" s="24">
        <v>14.678571428571429</v>
      </c>
      <c r="W124" s="24">
        <v>91.741071428571431</v>
      </c>
      <c r="X124" s="24">
        <v>3.2879999999999998</v>
      </c>
      <c r="Y124" s="24">
        <v>0.29599999999999993</v>
      </c>
      <c r="Z124" s="24">
        <v>7.8125</v>
      </c>
    </row>
    <row r="125" spans="1:26" ht="15.75" x14ac:dyDescent="0.25">
      <c r="A125" s="76">
        <v>8</v>
      </c>
      <c r="B125" s="91"/>
      <c r="C125" s="5" t="s">
        <v>37</v>
      </c>
      <c r="D125" s="4" t="s">
        <v>32</v>
      </c>
      <c r="E125" s="4">
        <v>28</v>
      </c>
      <c r="F125" s="5">
        <v>17</v>
      </c>
      <c r="G125" s="5">
        <v>13</v>
      </c>
      <c r="H125" s="5">
        <v>120</v>
      </c>
      <c r="I125" s="5">
        <v>15</v>
      </c>
      <c r="J125" s="5">
        <v>148</v>
      </c>
      <c r="K125" s="5">
        <v>27</v>
      </c>
      <c r="L125" s="5">
        <v>104</v>
      </c>
      <c r="M125" s="5">
        <v>2</v>
      </c>
      <c r="N125" s="5">
        <v>2</v>
      </c>
      <c r="O125" s="5">
        <v>0</v>
      </c>
      <c r="P125" s="5">
        <v>133</v>
      </c>
      <c r="Q125" s="5">
        <v>366</v>
      </c>
      <c r="R125" s="5">
        <v>0</v>
      </c>
      <c r="S125" s="5">
        <v>415</v>
      </c>
      <c r="T125" s="5">
        <v>15</v>
      </c>
      <c r="U125" s="5">
        <v>106</v>
      </c>
      <c r="V125" s="7">
        <v>14.821428571428571</v>
      </c>
      <c r="W125" s="7">
        <v>87.184873949579838</v>
      </c>
      <c r="X125" s="7">
        <v>3.9150943396226414</v>
      </c>
      <c r="Y125" s="6">
        <v>0.57547169811320764</v>
      </c>
      <c r="Z125" s="7">
        <v>6.2352941176470589</v>
      </c>
    </row>
    <row r="126" spans="1:26" ht="15.75" x14ac:dyDescent="0.25">
      <c r="A126" s="77"/>
      <c r="B126" s="91"/>
      <c r="C126" s="8" t="s">
        <v>37</v>
      </c>
      <c r="D126" s="4" t="s">
        <v>32</v>
      </c>
      <c r="E126" s="4">
        <v>28</v>
      </c>
      <c r="F126" s="8">
        <v>17</v>
      </c>
      <c r="G126" s="8">
        <v>13</v>
      </c>
      <c r="H126" s="8">
        <v>120</v>
      </c>
      <c r="I126" s="8">
        <v>15</v>
      </c>
      <c r="J126" s="8">
        <v>148</v>
      </c>
      <c r="K126" s="8">
        <v>27</v>
      </c>
      <c r="L126" s="8">
        <v>104</v>
      </c>
      <c r="M126" s="8">
        <v>2</v>
      </c>
      <c r="N126" s="8">
        <v>2</v>
      </c>
      <c r="O126" s="8">
        <v>0</v>
      </c>
      <c r="P126" s="8">
        <v>133</v>
      </c>
      <c r="Q126" s="8">
        <v>366</v>
      </c>
      <c r="R126" s="8">
        <v>0</v>
      </c>
      <c r="S126" s="8">
        <v>415</v>
      </c>
      <c r="T126" s="8">
        <v>15</v>
      </c>
      <c r="U126" s="8">
        <v>106</v>
      </c>
      <c r="V126" s="24">
        <v>14.821428571428571</v>
      </c>
      <c r="W126" s="24">
        <v>87.184873949579838</v>
      </c>
      <c r="X126" s="24">
        <v>3.9150943396226414</v>
      </c>
      <c r="Y126" s="24">
        <v>0.57547169811320764</v>
      </c>
      <c r="Z126" s="24">
        <v>6.2352941176470589</v>
      </c>
    </row>
    <row r="127" spans="1:26" ht="15.75" x14ac:dyDescent="0.25">
      <c r="A127" s="76">
        <v>9</v>
      </c>
      <c r="B127" s="91"/>
      <c r="C127" s="5" t="s">
        <v>33</v>
      </c>
      <c r="D127" s="4" t="s">
        <v>32</v>
      </c>
      <c r="E127" s="4">
        <v>28</v>
      </c>
      <c r="F127" s="5">
        <v>20</v>
      </c>
      <c r="G127" s="5">
        <v>14</v>
      </c>
      <c r="H127" s="5">
        <v>135</v>
      </c>
      <c r="I127" s="5">
        <v>15</v>
      </c>
      <c r="J127" s="5">
        <v>164</v>
      </c>
      <c r="K127" s="5">
        <v>11</v>
      </c>
      <c r="L127" s="5">
        <v>122</v>
      </c>
      <c r="M127" s="5">
        <v>18</v>
      </c>
      <c r="N127" s="5">
        <v>10</v>
      </c>
      <c r="O127" s="5">
        <v>8</v>
      </c>
      <c r="P127" s="5">
        <v>151</v>
      </c>
      <c r="Q127" s="5">
        <v>491</v>
      </c>
      <c r="R127" s="5">
        <v>5</v>
      </c>
      <c r="S127" s="5">
        <v>466</v>
      </c>
      <c r="T127" s="5">
        <v>13</v>
      </c>
      <c r="U127" s="5">
        <v>140</v>
      </c>
      <c r="V127" s="7">
        <v>16.642857142857142</v>
      </c>
      <c r="W127" s="7">
        <v>83.214285714285708</v>
      </c>
      <c r="X127" s="7">
        <v>3.3285714285714287</v>
      </c>
      <c r="Y127" s="6">
        <v>0.67142857142857149</v>
      </c>
      <c r="Z127" s="7">
        <v>7</v>
      </c>
    </row>
    <row r="128" spans="1:26" ht="15.75" x14ac:dyDescent="0.25">
      <c r="A128" s="77"/>
      <c r="B128" s="91"/>
      <c r="C128" s="8" t="s">
        <v>33</v>
      </c>
      <c r="D128" s="4" t="s">
        <v>32</v>
      </c>
      <c r="E128" s="4">
        <v>28</v>
      </c>
      <c r="F128" s="8">
        <v>20</v>
      </c>
      <c r="G128" s="8">
        <v>14</v>
      </c>
      <c r="H128" s="8">
        <v>135</v>
      </c>
      <c r="I128" s="8">
        <v>15</v>
      </c>
      <c r="J128" s="8">
        <v>164</v>
      </c>
      <c r="K128" s="8">
        <v>11</v>
      </c>
      <c r="L128" s="8">
        <v>122</v>
      </c>
      <c r="M128" s="8">
        <v>18</v>
      </c>
      <c r="N128" s="8">
        <v>10</v>
      </c>
      <c r="O128" s="8">
        <v>8</v>
      </c>
      <c r="P128" s="8">
        <v>151</v>
      </c>
      <c r="Q128" s="8">
        <v>491</v>
      </c>
      <c r="R128" s="8">
        <v>5</v>
      </c>
      <c r="S128" s="8">
        <v>466</v>
      </c>
      <c r="T128" s="8">
        <v>13</v>
      </c>
      <c r="U128" s="8">
        <v>140</v>
      </c>
      <c r="V128" s="24">
        <v>16.642857142857142</v>
      </c>
      <c r="W128" s="24">
        <v>83.214285714285708</v>
      </c>
      <c r="X128" s="24">
        <v>3.3285714285714287</v>
      </c>
      <c r="Y128" s="24">
        <v>0.67142857142857149</v>
      </c>
      <c r="Z128" s="24">
        <v>7</v>
      </c>
    </row>
    <row r="129" spans="1:26" ht="15.75" x14ac:dyDescent="0.25">
      <c r="A129" s="76">
        <v>10</v>
      </c>
      <c r="B129" s="91"/>
      <c r="C129" s="4" t="s">
        <v>40</v>
      </c>
      <c r="D129" s="4" t="s">
        <v>32</v>
      </c>
      <c r="E129" s="4">
        <v>28</v>
      </c>
      <c r="F129" s="4">
        <v>16</v>
      </c>
      <c r="G129" s="4">
        <v>14</v>
      </c>
      <c r="H129" s="4">
        <v>116</v>
      </c>
      <c r="I129" s="4">
        <v>16</v>
      </c>
      <c r="J129" s="5">
        <v>146</v>
      </c>
      <c r="K129" s="4">
        <v>10</v>
      </c>
      <c r="L129" s="4">
        <v>116</v>
      </c>
      <c r="M129" s="5">
        <v>6</v>
      </c>
      <c r="N129" s="4">
        <v>3</v>
      </c>
      <c r="O129" s="4">
        <v>3</v>
      </c>
      <c r="P129" s="5">
        <v>132</v>
      </c>
      <c r="Q129" s="4">
        <v>420</v>
      </c>
      <c r="R129" s="4">
        <v>1</v>
      </c>
      <c r="S129" s="4">
        <v>423</v>
      </c>
      <c r="T129" s="5">
        <v>14</v>
      </c>
      <c r="U129" s="5">
        <v>122</v>
      </c>
      <c r="V129" s="7">
        <v>15.107142857142858</v>
      </c>
      <c r="W129" s="7">
        <v>94.419642857142861</v>
      </c>
      <c r="X129" s="7">
        <v>3.4672131147540983</v>
      </c>
      <c r="Y129" s="6">
        <v>0.20491803278688514</v>
      </c>
      <c r="Z129" s="7">
        <v>7.625</v>
      </c>
    </row>
    <row r="130" spans="1:26" ht="15.75" x14ac:dyDescent="0.25">
      <c r="A130" s="77"/>
      <c r="B130" s="91"/>
      <c r="C130" s="8" t="s">
        <v>40</v>
      </c>
      <c r="D130" s="4" t="s">
        <v>32</v>
      </c>
      <c r="E130" s="4">
        <v>28</v>
      </c>
      <c r="F130" s="8">
        <v>16</v>
      </c>
      <c r="G130" s="8">
        <v>14</v>
      </c>
      <c r="H130" s="8">
        <v>116</v>
      </c>
      <c r="I130" s="8">
        <v>16</v>
      </c>
      <c r="J130" s="8">
        <v>146</v>
      </c>
      <c r="K130" s="8">
        <v>10</v>
      </c>
      <c r="L130" s="8">
        <v>116</v>
      </c>
      <c r="M130" s="8">
        <v>6</v>
      </c>
      <c r="N130" s="8">
        <v>3</v>
      </c>
      <c r="O130" s="8">
        <v>3</v>
      </c>
      <c r="P130" s="8">
        <v>132</v>
      </c>
      <c r="Q130" s="8">
        <v>420</v>
      </c>
      <c r="R130" s="8">
        <v>1</v>
      </c>
      <c r="S130" s="8">
        <v>423</v>
      </c>
      <c r="T130" s="8">
        <v>14</v>
      </c>
      <c r="U130" s="8">
        <v>122</v>
      </c>
      <c r="V130" s="24">
        <v>15.107142857142858</v>
      </c>
      <c r="W130" s="24">
        <v>94.419642857142861</v>
      </c>
      <c r="X130" s="24">
        <v>3.4672131147540983</v>
      </c>
      <c r="Y130" s="24">
        <v>0.20491803278688514</v>
      </c>
      <c r="Z130" s="24">
        <v>7.625</v>
      </c>
    </row>
    <row r="131" spans="1:26" ht="15.75" x14ac:dyDescent="0.25">
      <c r="A131" s="93">
        <v>11</v>
      </c>
      <c r="B131" s="91"/>
      <c r="C131" s="4" t="s">
        <v>56</v>
      </c>
      <c r="D131" s="4" t="s">
        <v>32</v>
      </c>
      <c r="E131" s="4">
        <v>28</v>
      </c>
      <c r="F131" s="4">
        <v>21</v>
      </c>
      <c r="G131" s="4">
        <v>13</v>
      </c>
      <c r="H131" s="4">
        <v>115</v>
      </c>
      <c r="I131" s="4">
        <v>210</v>
      </c>
      <c r="J131" s="5">
        <v>338</v>
      </c>
      <c r="K131" s="4">
        <v>66</v>
      </c>
      <c r="L131" s="4">
        <v>250</v>
      </c>
      <c r="M131" s="5">
        <v>0</v>
      </c>
      <c r="N131" s="4">
        <v>0</v>
      </c>
      <c r="O131" s="4">
        <v>0</v>
      </c>
      <c r="P131" s="5">
        <v>316</v>
      </c>
      <c r="Q131" s="4">
        <v>555</v>
      </c>
      <c r="R131" s="4">
        <v>3</v>
      </c>
      <c r="S131" s="4">
        <v>398</v>
      </c>
      <c r="T131" s="5">
        <v>22</v>
      </c>
      <c r="U131" s="5">
        <v>250</v>
      </c>
      <c r="V131" s="7">
        <v>14.214285714285714</v>
      </c>
      <c r="W131" s="7">
        <v>67.687074829931973</v>
      </c>
      <c r="X131" s="7">
        <v>1.5920000000000001</v>
      </c>
      <c r="Y131" s="6">
        <v>0.76000000000000012</v>
      </c>
      <c r="Z131" s="7">
        <v>11.904761904761905</v>
      </c>
    </row>
    <row r="132" spans="1:26" ht="15.75" x14ac:dyDescent="0.25">
      <c r="A132" s="94"/>
      <c r="B132" s="91"/>
      <c r="C132" s="4" t="s">
        <v>60</v>
      </c>
      <c r="D132" s="4" t="s">
        <v>32</v>
      </c>
      <c r="E132" s="4">
        <v>28</v>
      </c>
      <c r="F132" s="4">
        <v>10</v>
      </c>
      <c r="G132" s="4">
        <v>4</v>
      </c>
      <c r="H132" s="4">
        <v>6</v>
      </c>
      <c r="I132" s="4">
        <v>107</v>
      </c>
      <c r="J132" s="5">
        <v>117</v>
      </c>
      <c r="K132" s="4">
        <v>2</v>
      </c>
      <c r="L132" s="4">
        <v>105</v>
      </c>
      <c r="M132" s="5">
        <v>0</v>
      </c>
      <c r="N132" s="4">
        <v>0</v>
      </c>
      <c r="O132" s="4">
        <v>0</v>
      </c>
      <c r="P132" s="5">
        <v>107</v>
      </c>
      <c r="Q132" s="4">
        <v>160</v>
      </c>
      <c r="R132" s="4">
        <v>1</v>
      </c>
      <c r="S132" s="4">
        <v>113</v>
      </c>
      <c r="T132" s="5">
        <v>10</v>
      </c>
      <c r="U132" s="5">
        <v>105</v>
      </c>
      <c r="V132" s="7">
        <v>4.0357142857142856</v>
      </c>
      <c r="W132" s="7">
        <v>40.357142857142861</v>
      </c>
      <c r="X132" s="7">
        <v>1.0761904761904761</v>
      </c>
      <c r="Y132" s="6">
        <v>1.5904761904761904</v>
      </c>
      <c r="Z132" s="7">
        <v>10.5</v>
      </c>
    </row>
    <row r="133" spans="1:26" ht="15.75" x14ac:dyDescent="0.25">
      <c r="A133" s="95"/>
      <c r="B133" s="92"/>
      <c r="C133" s="10"/>
      <c r="D133" s="31"/>
      <c r="E133" s="4">
        <v>28</v>
      </c>
      <c r="F133" s="8">
        <v>31</v>
      </c>
      <c r="G133" s="8">
        <v>17</v>
      </c>
      <c r="H133" s="8">
        <v>121</v>
      </c>
      <c r="I133" s="8">
        <v>317</v>
      </c>
      <c r="J133" s="8">
        <v>455</v>
      </c>
      <c r="K133" s="8">
        <v>68</v>
      </c>
      <c r="L133" s="8">
        <v>355</v>
      </c>
      <c r="M133" s="8">
        <v>0</v>
      </c>
      <c r="N133" s="8">
        <v>0</v>
      </c>
      <c r="O133" s="8">
        <v>0</v>
      </c>
      <c r="P133" s="8">
        <v>423</v>
      </c>
      <c r="Q133" s="8">
        <v>715</v>
      </c>
      <c r="R133" s="8">
        <v>4</v>
      </c>
      <c r="S133" s="8">
        <v>511</v>
      </c>
      <c r="T133" s="8">
        <v>32</v>
      </c>
      <c r="U133" s="8">
        <v>355</v>
      </c>
      <c r="V133" s="24">
        <v>18.25</v>
      </c>
      <c r="W133" s="24">
        <v>58.870967741935488</v>
      </c>
      <c r="X133" s="24">
        <v>1.4394366197183099</v>
      </c>
      <c r="Y133" s="24">
        <v>1.0056338028169014</v>
      </c>
      <c r="Z133" s="24">
        <v>11.451612903225806</v>
      </c>
    </row>
    <row r="134" spans="1:26" ht="15.75" x14ac:dyDescent="0.25">
      <c r="A134" s="86" t="s">
        <v>79</v>
      </c>
      <c r="B134" s="86"/>
      <c r="C134" s="86"/>
      <c r="D134" s="86"/>
      <c r="E134" s="4">
        <v>28</v>
      </c>
      <c r="F134" s="20">
        <v>189</v>
      </c>
      <c r="G134" s="20">
        <v>152</v>
      </c>
      <c r="H134" s="20">
        <v>1242</v>
      </c>
      <c r="I134" s="20">
        <v>454</v>
      </c>
      <c r="J134" s="11">
        <v>1848</v>
      </c>
      <c r="K134" s="20">
        <v>170</v>
      </c>
      <c r="L134" s="20">
        <v>1438</v>
      </c>
      <c r="M134" s="11">
        <v>97</v>
      </c>
      <c r="N134" s="20">
        <v>59</v>
      </c>
      <c r="O134" s="20">
        <v>38</v>
      </c>
      <c r="P134" s="11">
        <v>1705</v>
      </c>
      <c r="Q134" s="20">
        <v>4844</v>
      </c>
      <c r="R134" s="20">
        <v>22</v>
      </c>
      <c r="S134" s="20">
        <v>4589</v>
      </c>
      <c r="T134" s="11">
        <v>143</v>
      </c>
      <c r="U134" s="11">
        <v>1535</v>
      </c>
      <c r="V134" s="22">
        <v>163.89285714285714</v>
      </c>
      <c r="W134" s="12">
        <v>86.715797430083143</v>
      </c>
      <c r="X134" s="12">
        <v>2.9895765472312705</v>
      </c>
      <c r="Y134" s="12">
        <v>0.45798045602605869</v>
      </c>
      <c r="Z134" s="12">
        <v>8.1216931216931219</v>
      </c>
    </row>
    <row r="135" spans="1:26" ht="15.75" x14ac:dyDescent="0.25">
      <c r="A135" s="87" t="s">
        <v>84</v>
      </c>
      <c r="B135" s="88"/>
      <c r="C135" s="88"/>
      <c r="D135" s="89"/>
      <c r="E135" s="63">
        <v>28</v>
      </c>
      <c r="F135" s="64">
        <f>+F88+F104+F134</f>
        <v>251</v>
      </c>
      <c r="G135" s="64">
        <f>+G88+G104+G134</f>
        <v>179</v>
      </c>
      <c r="H135" s="64">
        <f>+H88+H104+H134</f>
        <v>1558</v>
      </c>
      <c r="I135" s="64">
        <f>+I88+I104+I134</f>
        <v>693</v>
      </c>
      <c r="J135" s="63">
        <f t="shared" ref="J135" si="0">+G135+H135+I135</f>
        <v>2430</v>
      </c>
      <c r="K135" s="64">
        <f>+K88+K104+K134</f>
        <v>392</v>
      </c>
      <c r="L135" s="64">
        <f>+L88+L104+L134</f>
        <v>1745</v>
      </c>
      <c r="M135" s="63">
        <f t="shared" ref="M135" si="1">+N135+O135</f>
        <v>113</v>
      </c>
      <c r="N135" s="64">
        <f>+N88+N104+N134</f>
        <v>70</v>
      </c>
      <c r="O135" s="64">
        <f>+O88+O104+O134</f>
        <v>43</v>
      </c>
      <c r="P135" s="63">
        <f t="shared" ref="P135" si="2">+K135+L135+M135</f>
        <v>2250</v>
      </c>
      <c r="Q135" s="64">
        <f>+Q88+Q104+Q134</f>
        <v>5790</v>
      </c>
      <c r="R135" s="64">
        <f>+R88+R104+R134</f>
        <v>29</v>
      </c>
      <c r="S135" s="64">
        <f>+S88+S104+S134</f>
        <v>5775</v>
      </c>
      <c r="T135" s="63">
        <f t="shared" ref="T135" si="3">J135-P135</f>
        <v>180</v>
      </c>
      <c r="U135" s="63">
        <f t="shared" ref="U135" si="4">L135+M135</f>
        <v>1858</v>
      </c>
      <c r="V135" s="65">
        <f t="shared" ref="V135" si="5">$S135/$E135</f>
        <v>206.25</v>
      </c>
      <c r="W135" s="66">
        <f t="shared" ref="W135" si="6">$V135/$F135*100</f>
        <v>82.171314741035857</v>
      </c>
      <c r="X135" s="66">
        <f t="shared" ref="X135" si="7">$S135/($L135+$M135)</f>
        <v>3.1081808396124866</v>
      </c>
      <c r="Y135" s="66">
        <f t="shared" ref="Y135" si="8">(($F135-$V135)*$E135)/($L135+$M135)</f>
        <v>0.67438105489773947</v>
      </c>
      <c r="Z135" s="66">
        <f t="shared" ref="Z135" si="9">($L135+$M135)/$F135</f>
        <v>7.4023904382470116</v>
      </c>
    </row>
    <row r="137" spans="1:26" x14ac:dyDescent="0.25">
      <c r="A137" s="78" t="s">
        <v>1</v>
      </c>
      <c r="B137" s="78" t="s">
        <v>2</v>
      </c>
      <c r="C137" s="72" t="s">
        <v>3</v>
      </c>
      <c r="D137" s="72" t="s">
        <v>4</v>
      </c>
      <c r="E137" s="75" t="s">
        <v>5</v>
      </c>
      <c r="F137" s="72" t="s">
        <v>6</v>
      </c>
      <c r="G137" s="72" t="s">
        <v>7</v>
      </c>
      <c r="H137" s="72" t="s">
        <v>8</v>
      </c>
      <c r="I137" s="75" t="s">
        <v>9</v>
      </c>
      <c r="J137" s="72" t="s">
        <v>10</v>
      </c>
      <c r="K137" s="72" t="s">
        <v>11</v>
      </c>
      <c r="L137" s="72" t="s">
        <v>12</v>
      </c>
      <c r="M137" s="72" t="s">
        <v>13</v>
      </c>
      <c r="N137" s="72" t="s">
        <v>14</v>
      </c>
      <c r="O137" s="72" t="s">
        <v>15</v>
      </c>
      <c r="P137" s="72" t="s">
        <v>16</v>
      </c>
      <c r="Q137" s="72" t="s">
        <v>17</v>
      </c>
      <c r="R137" s="72" t="s">
        <v>18</v>
      </c>
      <c r="S137" s="72" t="s">
        <v>19</v>
      </c>
      <c r="T137" s="72" t="s">
        <v>20</v>
      </c>
      <c r="U137" s="73" t="s">
        <v>21</v>
      </c>
      <c r="V137" s="2" t="s">
        <v>22</v>
      </c>
      <c r="W137" s="2" t="s">
        <v>23</v>
      </c>
      <c r="X137" s="2" t="s">
        <v>24</v>
      </c>
      <c r="Y137" s="2" t="s">
        <v>25</v>
      </c>
      <c r="Z137" s="2" t="s">
        <v>26</v>
      </c>
    </row>
    <row r="138" spans="1:26" x14ac:dyDescent="0.25">
      <c r="A138" s="78"/>
      <c r="B138" s="78"/>
      <c r="C138" s="72"/>
      <c r="D138" s="72"/>
      <c r="E138" s="75"/>
      <c r="F138" s="72"/>
      <c r="G138" s="72"/>
      <c r="H138" s="72"/>
      <c r="I138" s="75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3"/>
      <c r="V138" s="71" t="s">
        <v>27</v>
      </c>
      <c r="W138" s="71" t="s">
        <v>28</v>
      </c>
      <c r="X138" s="71" t="s">
        <v>29</v>
      </c>
      <c r="Y138" s="71" t="s">
        <v>30</v>
      </c>
      <c r="Z138" s="71" t="s">
        <v>31</v>
      </c>
    </row>
    <row r="139" spans="1:26" x14ac:dyDescent="0.25">
      <c r="A139" s="78"/>
      <c r="B139" s="78"/>
      <c r="C139" s="72"/>
      <c r="D139" s="72"/>
      <c r="E139" s="75"/>
      <c r="F139" s="72"/>
      <c r="G139" s="72"/>
      <c r="H139" s="72"/>
      <c r="I139" s="75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3"/>
      <c r="V139" s="74"/>
      <c r="W139" s="71"/>
      <c r="X139" s="71"/>
      <c r="Y139" s="71"/>
      <c r="Z139" s="71"/>
    </row>
    <row r="140" spans="1:26" x14ac:dyDescent="0.25">
      <c r="A140" s="78"/>
      <c r="B140" s="78"/>
      <c r="C140" s="72"/>
      <c r="D140" s="72"/>
      <c r="E140" s="75"/>
      <c r="F140" s="72"/>
      <c r="G140" s="3">
        <v>1</v>
      </c>
      <c r="H140" s="3">
        <v>2</v>
      </c>
      <c r="I140" s="3">
        <v>3</v>
      </c>
      <c r="J140" s="3">
        <v>4</v>
      </c>
      <c r="K140" s="3">
        <v>5</v>
      </c>
      <c r="L140" s="3">
        <v>6</v>
      </c>
      <c r="M140" s="3">
        <v>7</v>
      </c>
      <c r="N140" s="3">
        <v>8</v>
      </c>
      <c r="O140" s="3">
        <v>9</v>
      </c>
      <c r="P140" s="3">
        <v>10</v>
      </c>
      <c r="Q140" s="3">
        <v>11</v>
      </c>
      <c r="R140" s="3">
        <v>12</v>
      </c>
      <c r="S140" s="3">
        <v>13</v>
      </c>
      <c r="T140" s="3">
        <v>14</v>
      </c>
      <c r="U140" s="73"/>
      <c r="V140" s="16">
        <v>15</v>
      </c>
      <c r="W140" s="16">
        <v>16</v>
      </c>
      <c r="X140" s="16">
        <v>17</v>
      </c>
      <c r="Y140" s="16">
        <v>18</v>
      </c>
      <c r="Z140" s="16">
        <v>19</v>
      </c>
    </row>
    <row r="141" spans="1:26" ht="15.75" x14ac:dyDescent="0.25">
      <c r="A141" s="82">
        <v>1</v>
      </c>
      <c r="B141" s="82" t="s">
        <v>80</v>
      </c>
      <c r="C141" s="5" t="s">
        <v>68</v>
      </c>
      <c r="D141" s="5" t="s">
        <v>36</v>
      </c>
      <c r="E141" s="4">
        <v>28</v>
      </c>
      <c r="F141" s="5">
        <v>0</v>
      </c>
      <c r="G141" s="5">
        <v>1</v>
      </c>
      <c r="H141" s="5">
        <v>205</v>
      </c>
      <c r="I141" s="5">
        <v>4</v>
      </c>
      <c r="J141" s="5">
        <v>210</v>
      </c>
      <c r="K141" s="5">
        <v>201</v>
      </c>
      <c r="L141" s="5">
        <v>2</v>
      </c>
      <c r="M141" s="5">
        <v>2</v>
      </c>
      <c r="N141" s="5">
        <v>2</v>
      </c>
      <c r="O141" s="5">
        <v>0</v>
      </c>
      <c r="P141" s="5">
        <v>205</v>
      </c>
      <c r="Q141" s="5">
        <v>4</v>
      </c>
      <c r="R141" s="5">
        <v>3</v>
      </c>
      <c r="S141" s="5">
        <v>100</v>
      </c>
      <c r="T141" s="5">
        <v>5</v>
      </c>
      <c r="U141" s="5">
        <v>4</v>
      </c>
      <c r="V141" s="7">
        <v>3.5714285714285716</v>
      </c>
      <c r="W141" s="7" t="e">
        <v>#DIV/0!</v>
      </c>
      <c r="X141" s="7">
        <v>25</v>
      </c>
      <c r="Y141" s="6">
        <v>-25</v>
      </c>
      <c r="Z141" s="7" t="e">
        <v>#DIV/0!</v>
      </c>
    </row>
    <row r="142" spans="1:26" ht="15.75" x14ac:dyDescent="0.25">
      <c r="A142" s="82"/>
      <c r="B142" s="82"/>
      <c r="C142" s="8" t="s">
        <v>68</v>
      </c>
      <c r="D142" s="8" t="s">
        <v>36</v>
      </c>
      <c r="E142" s="4">
        <v>28</v>
      </c>
      <c r="F142" s="8">
        <v>0</v>
      </c>
      <c r="G142" s="8">
        <v>1</v>
      </c>
      <c r="H142" s="8">
        <v>205</v>
      </c>
      <c r="I142" s="8">
        <v>4</v>
      </c>
      <c r="J142" s="8">
        <v>210</v>
      </c>
      <c r="K142" s="8">
        <v>201</v>
      </c>
      <c r="L142" s="8">
        <v>2</v>
      </c>
      <c r="M142" s="8">
        <v>2</v>
      </c>
      <c r="N142" s="8">
        <v>2</v>
      </c>
      <c r="O142" s="8">
        <v>0</v>
      </c>
      <c r="P142" s="8">
        <v>205</v>
      </c>
      <c r="Q142" s="8">
        <v>4</v>
      </c>
      <c r="R142" s="8">
        <v>3</v>
      </c>
      <c r="S142" s="8">
        <v>100</v>
      </c>
      <c r="T142" s="8">
        <v>5</v>
      </c>
      <c r="U142" s="8">
        <v>4</v>
      </c>
      <c r="V142" s="24">
        <v>3.5714285714285716</v>
      </c>
      <c r="W142" s="24" t="e">
        <v>#DIV/0!</v>
      </c>
      <c r="X142" s="24">
        <v>25</v>
      </c>
      <c r="Y142" s="24">
        <v>-25</v>
      </c>
      <c r="Z142" s="24" t="e">
        <v>#DIV/0!</v>
      </c>
    </row>
    <row r="143" spans="1:26" ht="15.75" x14ac:dyDescent="0.25">
      <c r="A143" s="83" t="s">
        <v>70</v>
      </c>
      <c r="B143" s="84"/>
      <c r="C143" s="84"/>
      <c r="D143" s="85"/>
      <c r="E143" s="4">
        <v>28</v>
      </c>
      <c r="F143" s="15">
        <v>388</v>
      </c>
      <c r="G143" s="15">
        <v>252</v>
      </c>
      <c r="H143" s="15">
        <v>2294</v>
      </c>
      <c r="I143" s="15">
        <v>938</v>
      </c>
      <c r="J143" s="15">
        <v>3484</v>
      </c>
      <c r="K143" s="15">
        <v>942</v>
      </c>
      <c r="L143" s="15">
        <v>2070</v>
      </c>
      <c r="M143" s="15">
        <v>205</v>
      </c>
      <c r="N143" s="15">
        <v>121</v>
      </c>
      <c r="O143" s="15">
        <v>84</v>
      </c>
      <c r="P143" s="15">
        <v>3217</v>
      </c>
      <c r="Q143" s="15">
        <v>7538</v>
      </c>
      <c r="R143" s="15">
        <v>49</v>
      </c>
      <c r="S143" s="15">
        <v>8103</v>
      </c>
      <c r="T143" s="15">
        <v>267</v>
      </c>
      <c r="U143" s="15">
        <v>2275</v>
      </c>
      <c r="V143" s="32">
        <v>289.39285714285717</v>
      </c>
      <c r="W143" s="33">
        <v>74.585787923416788</v>
      </c>
      <c r="X143" s="33">
        <v>3.5617582417582416</v>
      </c>
      <c r="Y143" s="33">
        <v>1.2136263736263733</v>
      </c>
      <c r="Z143" s="33">
        <v>5.8634020618556697</v>
      </c>
    </row>
  </sheetData>
  <sheetProtection algorithmName="SHA-512" hashValue="d4/wNHWovbG8Igzbw6PlWcKuwFfCsjNS//GZYwNoT8/wSkbuBPJ/NwP9/KH97AjsfPVYtFILdlIgQQryDWnTgQ==" saltValue="4FKUB5V7cug+pjrshiG33Q==" spinCount="100000" sheet="1" objects="1" scenarios="1"/>
  <mergeCells count="262">
    <mergeCell ref="A135:D135"/>
    <mergeCell ref="Y138:Y139"/>
    <mergeCell ref="Z138:Z139"/>
    <mergeCell ref="A141:A142"/>
    <mergeCell ref="B141:B142"/>
    <mergeCell ref="A143:D143"/>
    <mergeCell ref="T137:T139"/>
    <mergeCell ref="U137:U140"/>
    <mergeCell ref="V138:V139"/>
    <mergeCell ref="W138:W139"/>
    <mergeCell ref="X138:X139"/>
    <mergeCell ref="O137:O139"/>
    <mergeCell ref="P137:P139"/>
    <mergeCell ref="Q137:Q139"/>
    <mergeCell ref="R137:R139"/>
    <mergeCell ref="S137:S139"/>
    <mergeCell ref="J137:J139"/>
    <mergeCell ref="K137:K139"/>
    <mergeCell ref="L137:L139"/>
    <mergeCell ref="M137:M139"/>
    <mergeCell ref="N137:N139"/>
    <mergeCell ref="E137:E140"/>
    <mergeCell ref="F137:F140"/>
    <mergeCell ref="G137:G139"/>
    <mergeCell ref="H137:H139"/>
    <mergeCell ref="I137:I139"/>
    <mergeCell ref="A134:D134"/>
    <mergeCell ref="A137:A140"/>
    <mergeCell ref="B137:B140"/>
    <mergeCell ref="C137:C140"/>
    <mergeCell ref="D137:D140"/>
    <mergeCell ref="Y108:Y109"/>
    <mergeCell ref="Z108:Z109"/>
    <mergeCell ref="A111:A112"/>
    <mergeCell ref="B111:B133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3"/>
    <mergeCell ref="T107:T109"/>
    <mergeCell ref="U107:U110"/>
    <mergeCell ref="V108:V109"/>
    <mergeCell ref="W108:W109"/>
    <mergeCell ref="X108:X109"/>
    <mergeCell ref="O107:O109"/>
    <mergeCell ref="P107:P109"/>
    <mergeCell ref="Q107:Q109"/>
    <mergeCell ref="R107:R109"/>
    <mergeCell ref="S107:S109"/>
    <mergeCell ref="J107:J109"/>
    <mergeCell ref="K107:K109"/>
    <mergeCell ref="L107:L109"/>
    <mergeCell ref="M107:M109"/>
    <mergeCell ref="N107:N109"/>
    <mergeCell ref="E107:E110"/>
    <mergeCell ref="F107:F110"/>
    <mergeCell ref="G107:G109"/>
    <mergeCell ref="H107:H109"/>
    <mergeCell ref="I107:I109"/>
    <mergeCell ref="A104:D104"/>
    <mergeCell ref="A107:A110"/>
    <mergeCell ref="B107:B110"/>
    <mergeCell ref="C107:C110"/>
    <mergeCell ref="D107:D110"/>
    <mergeCell ref="A95:A96"/>
    <mergeCell ref="B95:B103"/>
    <mergeCell ref="A97:A98"/>
    <mergeCell ref="A99:A101"/>
    <mergeCell ref="A102:A103"/>
    <mergeCell ref="T91:T93"/>
    <mergeCell ref="U91:U94"/>
    <mergeCell ref="V92:V93"/>
    <mergeCell ref="W92:W93"/>
    <mergeCell ref="O91:O93"/>
    <mergeCell ref="P91:P93"/>
    <mergeCell ref="Q91:Q93"/>
    <mergeCell ref="R91:R93"/>
    <mergeCell ref="S91:S93"/>
    <mergeCell ref="J91:J93"/>
    <mergeCell ref="K91:K93"/>
    <mergeCell ref="L91:L93"/>
    <mergeCell ref="M91:M93"/>
    <mergeCell ref="N91:N93"/>
    <mergeCell ref="E91:E94"/>
    <mergeCell ref="F91:F94"/>
    <mergeCell ref="A88:D88"/>
    <mergeCell ref="A91:A94"/>
    <mergeCell ref="B91:B94"/>
    <mergeCell ref="C91:C94"/>
    <mergeCell ref="D91:D94"/>
    <mergeCell ref="Z74:Z75"/>
    <mergeCell ref="A77:A78"/>
    <mergeCell ref="B77:B87"/>
    <mergeCell ref="A79:A80"/>
    <mergeCell ref="A81:A83"/>
    <mergeCell ref="A84:A85"/>
    <mergeCell ref="A86:A87"/>
    <mergeCell ref="U73:U76"/>
    <mergeCell ref="V74:V75"/>
    <mergeCell ref="W74:W75"/>
    <mergeCell ref="X74:X75"/>
    <mergeCell ref="Y74:Y75"/>
    <mergeCell ref="P73:P75"/>
    <mergeCell ref="Q73:Q75"/>
    <mergeCell ref="R73:R75"/>
    <mergeCell ref="S73:S75"/>
    <mergeCell ref="Y92:Y93"/>
    <mergeCell ref="Z92:Z93"/>
    <mergeCell ref="X92:X93"/>
    <mergeCell ref="M73:M75"/>
    <mergeCell ref="N73:N75"/>
    <mergeCell ref="O73:O75"/>
    <mergeCell ref="F73:F76"/>
    <mergeCell ref="G73:G75"/>
    <mergeCell ref="H73:H75"/>
    <mergeCell ref="I73:I75"/>
    <mergeCell ref="J73:J75"/>
    <mergeCell ref="G91:G93"/>
    <mergeCell ref="H91:H93"/>
    <mergeCell ref="I91:I93"/>
    <mergeCell ref="A73:A76"/>
    <mergeCell ref="B73:B76"/>
    <mergeCell ref="C73:C76"/>
    <mergeCell ref="D73:D76"/>
    <mergeCell ref="E73:E76"/>
    <mergeCell ref="Y61:Y62"/>
    <mergeCell ref="Z61:Z62"/>
    <mergeCell ref="A64:A65"/>
    <mergeCell ref="B64:B69"/>
    <mergeCell ref="A66:A67"/>
    <mergeCell ref="A68:A69"/>
    <mergeCell ref="T60:T62"/>
    <mergeCell ref="U60:U63"/>
    <mergeCell ref="V61:V62"/>
    <mergeCell ref="W61:W62"/>
    <mergeCell ref="X61:X62"/>
    <mergeCell ref="O60:O62"/>
    <mergeCell ref="P60:P62"/>
    <mergeCell ref="Q60:Q62"/>
    <mergeCell ref="R60:R62"/>
    <mergeCell ref="S60:S62"/>
    <mergeCell ref="T73:T75"/>
    <mergeCell ref="K73:K75"/>
    <mergeCell ref="L73:L75"/>
    <mergeCell ref="Y53:Y54"/>
    <mergeCell ref="Z53:Z54"/>
    <mergeCell ref="A60:A63"/>
    <mergeCell ref="B60:B63"/>
    <mergeCell ref="C60:C63"/>
    <mergeCell ref="D60:D63"/>
    <mergeCell ref="E60:E63"/>
    <mergeCell ref="F60:F63"/>
    <mergeCell ref="G60:G62"/>
    <mergeCell ref="H60:H62"/>
    <mergeCell ref="I60:I62"/>
    <mergeCell ref="J60:J62"/>
    <mergeCell ref="K60:K62"/>
    <mergeCell ref="L60:L62"/>
    <mergeCell ref="M60:M62"/>
    <mergeCell ref="N60:N62"/>
    <mergeCell ref="T52:T54"/>
    <mergeCell ref="U52:U55"/>
    <mergeCell ref="V53:V54"/>
    <mergeCell ref="W53:W54"/>
    <mergeCell ref="X53:X54"/>
    <mergeCell ref="O52:O54"/>
    <mergeCell ref="P52:P54"/>
    <mergeCell ref="Q52:Q54"/>
    <mergeCell ref="R52:R54"/>
    <mergeCell ref="S52:S54"/>
    <mergeCell ref="J52:J54"/>
    <mergeCell ref="K52:K54"/>
    <mergeCell ref="L52:L54"/>
    <mergeCell ref="M52:M54"/>
    <mergeCell ref="N52:N54"/>
    <mergeCell ref="E52:E55"/>
    <mergeCell ref="F52:F55"/>
    <mergeCell ref="G52:G54"/>
    <mergeCell ref="H52:H54"/>
    <mergeCell ref="I52:I54"/>
    <mergeCell ref="A49:D49"/>
    <mergeCell ref="A52:A55"/>
    <mergeCell ref="B52:B55"/>
    <mergeCell ref="C52:C55"/>
    <mergeCell ref="D52:D55"/>
    <mergeCell ref="Z25:Z26"/>
    <mergeCell ref="A28:A32"/>
    <mergeCell ref="B28:B48"/>
    <mergeCell ref="A33:A34"/>
    <mergeCell ref="A35:A36"/>
    <mergeCell ref="A37:A38"/>
    <mergeCell ref="A39:A40"/>
    <mergeCell ref="A41:A42"/>
    <mergeCell ref="A43:A44"/>
    <mergeCell ref="A45:A46"/>
    <mergeCell ref="A47:A48"/>
    <mergeCell ref="U24:U27"/>
    <mergeCell ref="V25:V26"/>
    <mergeCell ref="W25:W26"/>
    <mergeCell ref="X25:X26"/>
    <mergeCell ref="Y25:Y26"/>
    <mergeCell ref="P24:P26"/>
    <mergeCell ref="Q24:Q26"/>
    <mergeCell ref="R24:R26"/>
    <mergeCell ref="H3:H5"/>
    <mergeCell ref="F3:F6"/>
    <mergeCell ref="S24:S26"/>
    <mergeCell ref="T24:T26"/>
    <mergeCell ref="K24:K26"/>
    <mergeCell ref="L24:L26"/>
    <mergeCell ref="M24:M26"/>
    <mergeCell ref="N24:N26"/>
    <mergeCell ref="O24:O26"/>
    <mergeCell ref="F24:F27"/>
    <mergeCell ref="G24:G26"/>
    <mergeCell ref="H24:H26"/>
    <mergeCell ref="I24:I26"/>
    <mergeCell ref="J24:J26"/>
    <mergeCell ref="A21:D21"/>
    <mergeCell ref="A24:A27"/>
    <mergeCell ref="B24:B27"/>
    <mergeCell ref="C24:C27"/>
    <mergeCell ref="D24:D27"/>
    <mergeCell ref="E24:E27"/>
    <mergeCell ref="A7:A8"/>
    <mergeCell ref="B7:B20"/>
    <mergeCell ref="A9:A10"/>
    <mergeCell ref="A11:A12"/>
    <mergeCell ref="A13:A14"/>
    <mergeCell ref="A15:A16"/>
    <mergeCell ref="A17:A18"/>
    <mergeCell ref="A19:A20"/>
    <mergeCell ref="Z4:Z5"/>
    <mergeCell ref="S3:S5"/>
    <mergeCell ref="T3:T5"/>
    <mergeCell ref="U3:U6"/>
    <mergeCell ref="V4:V5"/>
    <mergeCell ref="W4:W5"/>
    <mergeCell ref="X4:X5"/>
    <mergeCell ref="A3:A6"/>
    <mergeCell ref="B3:B6"/>
    <mergeCell ref="C3:C6"/>
    <mergeCell ref="D3:D6"/>
    <mergeCell ref="E3:E6"/>
    <mergeCell ref="I3:I5"/>
    <mergeCell ref="R3:R5"/>
    <mergeCell ref="O3:O5"/>
    <mergeCell ref="J3:J5"/>
    <mergeCell ref="K3:K5"/>
    <mergeCell ref="L3:L5"/>
    <mergeCell ref="Y4:Y5"/>
    <mergeCell ref="M3:M5"/>
    <mergeCell ref="N3:N5"/>
    <mergeCell ref="P3:P5"/>
    <mergeCell ref="Q3:Q5"/>
    <mergeCell ref="G3:G5"/>
  </mergeCells>
  <printOptions horizontalCentered="1"/>
  <pageMargins left="0.78740157480314965" right="0.70866141732283472" top="0.74803149606299213" bottom="0.74803149606299213" header="0.31496062992125984" footer="0.31496062992125984"/>
  <pageSetup paperSize="5" scale="5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3"/>
  <sheetViews>
    <sheetView topLeftCell="A118" zoomScale="60" zoomScaleNormal="60" workbookViewId="0">
      <selection activeCell="W135" sqref="W135"/>
    </sheetView>
  </sheetViews>
  <sheetFormatPr defaultRowHeight="15" x14ac:dyDescent="0.25"/>
  <cols>
    <col min="1" max="1" width="4.85546875" customWidth="1"/>
    <col min="2" max="2" width="11.5703125" customWidth="1"/>
    <col min="3" max="3" width="14.28515625" customWidth="1"/>
    <col min="4" max="4" width="17.5703125" bestFit="1" customWidth="1"/>
    <col min="5" max="5" width="6.28515625" customWidth="1"/>
    <col min="6" max="6" width="9.85546875" customWidth="1"/>
    <col min="13" max="13" width="8.5703125" customWidth="1"/>
  </cols>
  <sheetData>
    <row r="1" spans="1:26" ht="15.75" x14ac:dyDescent="0.25">
      <c r="A1" s="1" t="s">
        <v>0</v>
      </c>
    </row>
    <row r="2" spans="1:26" ht="15.75" x14ac:dyDescent="0.25">
      <c r="A2" s="1" t="s">
        <v>87</v>
      </c>
    </row>
    <row r="3" spans="1:26" x14ac:dyDescent="0.25">
      <c r="A3" s="78" t="s">
        <v>1</v>
      </c>
      <c r="B3" s="78" t="s">
        <v>2</v>
      </c>
      <c r="C3" s="72" t="s">
        <v>3</v>
      </c>
      <c r="D3" s="72" t="s">
        <v>4</v>
      </c>
      <c r="E3" s="75" t="s">
        <v>5</v>
      </c>
      <c r="F3" s="72" t="s">
        <v>6</v>
      </c>
      <c r="G3" s="72" t="s">
        <v>7</v>
      </c>
      <c r="H3" s="72" t="s">
        <v>8</v>
      </c>
      <c r="I3" s="75" t="s">
        <v>9</v>
      </c>
      <c r="J3" s="72" t="s">
        <v>10</v>
      </c>
      <c r="K3" s="72" t="s">
        <v>11</v>
      </c>
      <c r="L3" s="72" t="s">
        <v>12</v>
      </c>
      <c r="M3" s="72" t="s">
        <v>13</v>
      </c>
      <c r="N3" s="72" t="s">
        <v>14</v>
      </c>
      <c r="O3" s="72" t="s">
        <v>15</v>
      </c>
      <c r="P3" s="72" t="s">
        <v>16</v>
      </c>
      <c r="Q3" s="72" t="s">
        <v>17</v>
      </c>
      <c r="R3" s="72" t="s">
        <v>18</v>
      </c>
      <c r="S3" s="72" t="s">
        <v>19</v>
      </c>
      <c r="T3" s="72" t="s">
        <v>20</v>
      </c>
      <c r="U3" s="73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</row>
    <row r="4" spans="1:26" x14ac:dyDescent="0.25">
      <c r="A4" s="78"/>
      <c r="B4" s="78"/>
      <c r="C4" s="72"/>
      <c r="D4" s="72"/>
      <c r="E4" s="75"/>
      <c r="F4" s="72"/>
      <c r="G4" s="72"/>
      <c r="H4" s="72"/>
      <c r="I4" s="75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3"/>
      <c r="V4" s="71" t="s">
        <v>27</v>
      </c>
      <c r="W4" s="71" t="s">
        <v>28</v>
      </c>
      <c r="X4" s="71" t="s">
        <v>29</v>
      </c>
      <c r="Y4" s="71" t="s">
        <v>30</v>
      </c>
      <c r="Z4" s="71" t="s">
        <v>31</v>
      </c>
    </row>
    <row r="5" spans="1:26" x14ac:dyDescent="0.25">
      <c r="A5" s="78"/>
      <c r="B5" s="78"/>
      <c r="C5" s="72"/>
      <c r="D5" s="72"/>
      <c r="E5" s="75"/>
      <c r="F5" s="72"/>
      <c r="G5" s="72"/>
      <c r="H5" s="72"/>
      <c r="I5" s="75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3"/>
      <c r="V5" s="74"/>
      <c r="W5" s="71"/>
      <c r="X5" s="71"/>
      <c r="Y5" s="71"/>
      <c r="Z5" s="71"/>
    </row>
    <row r="6" spans="1:26" x14ac:dyDescent="0.25">
      <c r="A6" s="78"/>
      <c r="B6" s="78"/>
      <c r="C6" s="72"/>
      <c r="D6" s="72"/>
      <c r="E6" s="75"/>
      <c r="F6" s="72"/>
      <c r="G6" s="3">
        <v>1</v>
      </c>
      <c r="H6" s="3">
        <v>2</v>
      </c>
      <c r="I6" s="3">
        <v>3</v>
      </c>
      <c r="J6" s="3">
        <v>4</v>
      </c>
      <c r="K6" s="3">
        <v>5</v>
      </c>
      <c r="L6" s="3">
        <v>6</v>
      </c>
      <c r="M6" s="3">
        <v>7</v>
      </c>
      <c r="N6" s="3">
        <v>8</v>
      </c>
      <c r="O6" s="3">
        <v>9</v>
      </c>
      <c r="P6" s="3">
        <v>10</v>
      </c>
      <c r="Q6" s="3">
        <v>11</v>
      </c>
      <c r="R6" s="3">
        <v>12</v>
      </c>
      <c r="S6" s="3">
        <v>13</v>
      </c>
      <c r="T6" s="3">
        <v>14</v>
      </c>
      <c r="U6" s="73"/>
      <c r="V6" s="16">
        <v>15</v>
      </c>
      <c r="W6" s="16">
        <v>16</v>
      </c>
      <c r="X6" s="16">
        <v>17</v>
      </c>
      <c r="Y6" s="16">
        <v>18</v>
      </c>
      <c r="Z6" s="16">
        <v>19</v>
      </c>
    </row>
    <row r="7" spans="1:26" ht="15.75" x14ac:dyDescent="0.25">
      <c r="A7" s="76">
        <v>1</v>
      </c>
      <c r="B7" s="96" t="s">
        <v>62</v>
      </c>
      <c r="C7" s="4" t="s">
        <v>63</v>
      </c>
      <c r="D7" s="4" t="s">
        <v>43</v>
      </c>
      <c r="E7" s="4">
        <v>31</v>
      </c>
      <c r="F7" s="4">
        <v>14</v>
      </c>
      <c r="G7" s="4">
        <v>9</v>
      </c>
      <c r="H7" s="4">
        <v>15</v>
      </c>
      <c r="I7" s="4">
        <v>90</v>
      </c>
      <c r="J7" s="5">
        <v>114</v>
      </c>
      <c r="K7" s="4">
        <v>90</v>
      </c>
      <c r="L7" s="4">
        <v>0</v>
      </c>
      <c r="M7" s="5">
        <v>14</v>
      </c>
      <c r="N7" s="4">
        <v>1</v>
      </c>
      <c r="O7" s="4">
        <v>13</v>
      </c>
      <c r="P7" s="5">
        <v>104</v>
      </c>
      <c r="Q7" s="4">
        <v>138</v>
      </c>
      <c r="R7" s="4">
        <v>0</v>
      </c>
      <c r="S7" s="4">
        <v>329</v>
      </c>
      <c r="T7" s="5">
        <v>10</v>
      </c>
      <c r="U7" s="5">
        <v>14</v>
      </c>
      <c r="V7" s="7">
        <v>10.612903225806452</v>
      </c>
      <c r="W7" s="7">
        <v>75.806451612903231</v>
      </c>
      <c r="X7" s="7">
        <v>23.5</v>
      </c>
      <c r="Y7" s="6">
        <v>7.4999999999999991</v>
      </c>
      <c r="Z7" s="7">
        <v>1</v>
      </c>
    </row>
    <row r="8" spans="1:26" ht="15.75" x14ac:dyDescent="0.25">
      <c r="A8" s="77"/>
      <c r="B8" s="97"/>
      <c r="C8" s="8" t="s">
        <v>63</v>
      </c>
      <c r="D8" s="8" t="s">
        <v>43</v>
      </c>
      <c r="E8" s="4">
        <v>31</v>
      </c>
      <c r="F8" s="8">
        <v>14</v>
      </c>
      <c r="G8" s="8">
        <v>9</v>
      </c>
      <c r="H8" s="8">
        <v>15</v>
      </c>
      <c r="I8" s="8">
        <v>90</v>
      </c>
      <c r="J8" s="8">
        <v>114</v>
      </c>
      <c r="K8" s="8">
        <v>90</v>
      </c>
      <c r="L8" s="8">
        <v>0</v>
      </c>
      <c r="M8" s="8">
        <v>14</v>
      </c>
      <c r="N8" s="8">
        <v>1</v>
      </c>
      <c r="O8" s="8">
        <v>13</v>
      </c>
      <c r="P8" s="8">
        <v>104</v>
      </c>
      <c r="Q8" s="8">
        <v>138</v>
      </c>
      <c r="R8" s="8">
        <v>0</v>
      </c>
      <c r="S8" s="8">
        <v>329</v>
      </c>
      <c r="T8" s="8">
        <v>10</v>
      </c>
      <c r="U8" s="8">
        <v>14</v>
      </c>
      <c r="V8" s="24">
        <v>10.612903225806452</v>
      </c>
      <c r="W8" s="24">
        <v>75.806451612903231</v>
      </c>
      <c r="X8" s="24">
        <v>23.5</v>
      </c>
      <c r="Y8" s="24">
        <v>7.4999999999999991</v>
      </c>
      <c r="Z8" s="24">
        <v>1</v>
      </c>
    </row>
    <row r="9" spans="1:26" ht="15.75" x14ac:dyDescent="0.25">
      <c r="A9" s="76">
        <v>2</v>
      </c>
      <c r="B9" s="97"/>
      <c r="C9" s="4" t="s">
        <v>64</v>
      </c>
      <c r="D9" s="4" t="s">
        <v>43</v>
      </c>
      <c r="E9" s="4">
        <v>31</v>
      </c>
      <c r="F9" s="4">
        <v>5</v>
      </c>
      <c r="G9" s="4">
        <v>3</v>
      </c>
      <c r="H9" s="4">
        <v>81</v>
      </c>
      <c r="I9" s="4">
        <v>11</v>
      </c>
      <c r="J9" s="5">
        <v>95</v>
      </c>
      <c r="K9" s="4">
        <v>80</v>
      </c>
      <c r="L9" s="4">
        <v>2</v>
      </c>
      <c r="M9" s="5">
        <v>8</v>
      </c>
      <c r="N9" s="4">
        <v>6</v>
      </c>
      <c r="O9" s="4">
        <v>2</v>
      </c>
      <c r="P9" s="5">
        <v>90</v>
      </c>
      <c r="Q9" s="4">
        <v>14</v>
      </c>
      <c r="R9" s="4">
        <v>0</v>
      </c>
      <c r="S9" s="4">
        <v>98</v>
      </c>
      <c r="T9" s="5">
        <v>5</v>
      </c>
      <c r="U9" s="5">
        <v>10</v>
      </c>
      <c r="V9" s="7">
        <v>3.161290322580645</v>
      </c>
      <c r="W9" s="7">
        <v>63.225806451612897</v>
      </c>
      <c r="X9" s="7">
        <v>9.8000000000000007</v>
      </c>
      <c r="Y9" s="6">
        <v>5.7000000000000011</v>
      </c>
      <c r="Z9" s="7">
        <v>2</v>
      </c>
    </row>
    <row r="10" spans="1:26" ht="15.75" x14ac:dyDescent="0.25">
      <c r="A10" s="77"/>
      <c r="B10" s="97"/>
      <c r="C10" s="8" t="s">
        <v>64</v>
      </c>
      <c r="D10" s="8" t="s">
        <v>43</v>
      </c>
      <c r="E10" s="4">
        <v>31</v>
      </c>
      <c r="F10" s="8">
        <v>5</v>
      </c>
      <c r="G10" s="8">
        <v>3</v>
      </c>
      <c r="H10" s="8">
        <v>81</v>
      </c>
      <c r="I10" s="8">
        <v>11</v>
      </c>
      <c r="J10" s="8">
        <v>95</v>
      </c>
      <c r="K10" s="8">
        <v>80</v>
      </c>
      <c r="L10" s="8">
        <v>2</v>
      </c>
      <c r="M10" s="8">
        <v>8</v>
      </c>
      <c r="N10" s="8">
        <v>6</v>
      </c>
      <c r="O10" s="8">
        <v>2</v>
      </c>
      <c r="P10" s="8">
        <v>90</v>
      </c>
      <c r="Q10" s="8">
        <v>14</v>
      </c>
      <c r="R10" s="8">
        <v>0</v>
      </c>
      <c r="S10" s="8">
        <v>98</v>
      </c>
      <c r="T10" s="8">
        <v>5</v>
      </c>
      <c r="U10" s="8">
        <v>10</v>
      </c>
      <c r="V10" s="24">
        <v>3.161290322580645</v>
      </c>
      <c r="W10" s="24">
        <v>63.225806451612897</v>
      </c>
      <c r="X10" s="24">
        <v>9.8000000000000007</v>
      </c>
      <c r="Y10" s="24">
        <v>5.7000000000000011</v>
      </c>
      <c r="Z10" s="24">
        <v>2</v>
      </c>
    </row>
    <row r="11" spans="1:26" ht="15.75" x14ac:dyDescent="0.25">
      <c r="A11" s="76">
        <v>3</v>
      </c>
      <c r="B11" s="97"/>
      <c r="C11" s="4" t="s">
        <v>65</v>
      </c>
      <c r="D11" s="4" t="s">
        <v>43</v>
      </c>
      <c r="E11" s="4">
        <v>31</v>
      </c>
      <c r="F11" s="4">
        <v>3</v>
      </c>
      <c r="G11" s="4">
        <v>1</v>
      </c>
      <c r="H11" s="4">
        <v>13</v>
      </c>
      <c r="I11" s="4">
        <v>11</v>
      </c>
      <c r="J11" s="5">
        <v>25</v>
      </c>
      <c r="K11" s="4">
        <v>19</v>
      </c>
      <c r="L11" s="4">
        <v>0</v>
      </c>
      <c r="M11" s="5">
        <v>3</v>
      </c>
      <c r="N11" s="4">
        <v>3</v>
      </c>
      <c r="O11" s="4">
        <v>0</v>
      </c>
      <c r="P11" s="5">
        <v>22</v>
      </c>
      <c r="Q11" s="4">
        <v>6</v>
      </c>
      <c r="R11" s="4">
        <v>0</v>
      </c>
      <c r="S11" s="4">
        <v>71</v>
      </c>
      <c r="T11" s="5">
        <v>3</v>
      </c>
      <c r="U11" s="5">
        <v>3</v>
      </c>
      <c r="V11" s="7">
        <v>2.2903225806451615</v>
      </c>
      <c r="W11" s="7">
        <v>76.34408602150539</v>
      </c>
      <c r="X11" s="7">
        <v>23.666666666666668</v>
      </c>
      <c r="Y11" s="6">
        <v>7.3333333333333313</v>
      </c>
      <c r="Z11" s="7">
        <v>1</v>
      </c>
    </row>
    <row r="12" spans="1:26" ht="15.75" x14ac:dyDescent="0.25">
      <c r="A12" s="77"/>
      <c r="B12" s="97"/>
      <c r="C12" s="8" t="s">
        <v>65</v>
      </c>
      <c r="D12" s="8" t="s">
        <v>43</v>
      </c>
      <c r="E12" s="4">
        <v>31</v>
      </c>
      <c r="F12" s="8">
        <v>3</v>
      </c>
      <c r="G12" s="8">
        <v>1</v>
      </c>
      <c r="H12" s="8">
        <v>13</v>
      </c>
      <c r="I12" s="8">
        <v>11</v>
      </c>
      <c r="J12" s="8">
        <v>25</v>
      </c>
      <c r="K12" s="8">
        <v>19</v>
      </c>
      <c r="L12" s="8">
        <v>0</v>
      </c>
      <c r="M12" s="8">
        <v>3</v>
      </c>
      <c r="N12" s="8">
        <v>3</v>
      </c>
      <c r="O12" s="8">
        <v>0</v>
      </c>
      <c r="P12" s="8">
        <v>22</v>
      </c>
      <c r="Q12" s="8">
        <v>6</v>
      </c>
      <c r="R12" s="8">
        <v>0</v>
      </c>
      <c r="S12" s="8">
        <v>71</v>
      </c>
      <c r="T12" s="8">
        <v>3</v>
      </c>
      <c r="U12" s="8">
        <v>3</v>
      </c>
      <c r="V12" s="24">
        <v>2.2903225806451615</v>
      </c>
      <c r="W12" s="24">
        <v>76.34408602150539</v>
      </c>
      <c r="X12" s="24">
        <v>23.666666666666668</v>
      </c>
      <c r="Y12" s="24">
        <v>7.3333333333333313</v>
      </c>
      <c r="Z12" s="24">
        <v>1</v>
      </c>
    </row>
    <row r="13" spans="1:26" ht="15.75" x14ac:dyDescent="0.25">
      <c r="A13" s="76">
        <v>4</v>
      </c>
      <c r="B13" s="97"/>
      <c r="C13" s="5" t="s">
        <v>66</v>
      </c>
      <c r="D13" s="5" t="s">
        <v>43</v>
      </c>
      <c r="E13" s="4">
        <v>31</v>
      </c>
      <c r="F13" s="5">
        <v>5</v>
      </c>
      <c r="G13" s="5">
        <v>4</v>
      </c>
      <c r="H13" s="5">
        <v>8</v>
      </c>
      <c r="I13" s="5">
        <v>15</v>
      </c>
      <c r="J13" s="5">
        <v>27</v>
      </c>
      <c r="K13" s="5">
        <v>19</v>
      </c>
      <c r="L13" s="5">
        <v>0</v>
      </c>
      <c r="M13" s="5">
        <v>3</v>
      </c>
      <c r="N13" s="5">
        <v>2</v>
      </c>
      <c r="O13" s="5">
        <v>1</v>
      </c>
      <c r="P13" s="5">
        <v>22</v>
      </c>
      <c r="Q13" s="5">
        <v>26</v>
      </c>
      <c r="R13" s="5">
        <v>1</v>
      </c>
      <c r="S13" s="5">
        <v>128</v>
      </c>
      <c r="T13" s="5">
        <v>5</v>
      </c>
      <c r="U13" s="5">
        <v>3</v>
      </c>
      <c r="V13" s="7">
        <v>4.129032258064516</v>
      </c>
      <c r="W13" s="7">
        <v>82.58064516129032</v>
      </c>
      <c r="X13" s="7">
        <v>42.666666666666664</v>
      </c>
      <c r="Y13" s="6">
        <v>9.0000000000000018</v>
      </c>
      <c r="Z13" s="7">
        <v>0.6</v>
      </c>
    </row>
    <row r="14" spans="1:26" ht="15.75" x14ac:dyDescent="0.25">
      <c r="A14" s="77"/>
      <c r="B14" s="97"/>
      <c r="C14" s="8" t="s">
        <v>66</v>
      </c>
      <c r="D14" s="8" t="s">
        <v>43</v>
      </c>
      <c r="E14" s="4">
        <v>31</v>
      </c>
      <c r="F14" s="8">
        <v>5</v>
      </c>
      <c r="G14" s="8">
        <v>4</v>
      </c>
      <c r="H14" s="8">
        <v>8</v>
      </c>
      <c r="I14" s="8">
        <v>15</v>
      </c>
      <c r="J14" s="8">
        <v>27</v>
      </c>
      <c r="K14" s="8">
        <v>19</v>
      </c>
      <c r="L14" s="8">
        <v>0</v>
      </c>
      <c r="M14" s="8">
        <v>3</v>
      </c>
      <c r="N14" s="8">
        <v>2</v>
      </c>
      <c r="O14" s="8">
        <v>1</v>
      </c>
      <c r="P14" s="8">
        <v>22</v>
      </c>
      <c r="Q14" s="8">
        <v>26</v>
      </c>
      <c r="R14" s="8">
        <v>1</v>
      </c>
      <c r="S14" s="8">
        <v>128</v>
      </c>
      <c r="T14" s="8">
        <v>5</v>
      </c>
      <c r="U14" s="8">
        <v>3</v>
      </c>
      <c r="V14" s="24">
        <v>4.129032258064516</v>
      </c>
      <c r="W14" s="24">
        <v>82.58064516129032</v>
      </c>
      <c r="X14" s="24">
        <v>42.666666666666664</v>
      </c>
      <c r="Y14" s="24">
        <v>9.0000000000000018</v>
      </c>
      <c r="Z14" s="24">
        <v>0.6</v>
      </c>
    </row>
    <row r="15" spans="1:26" ht="15.75" x14ac:dyDescent="0.25">
      <c r="A15" s="76">
        <v>5</v>
      </c>
      <c r="B15" s="97"/>
      <c r="C15" s="5" t="s">
        <v>67</v>
      </c>
      <c r="D15" s="5" t="s">
        <v>43</v>
      </c>
      <c r="E15" s="4">
        <v>31</v>
      </c>
      <c r="F15" s="5">
        <v>4</v>
      </c>
      <c r="G15" s="5">
        <v>4</v>
      </c>
      <c r="H15" s="5">
        <v>17</v>
      </c>
      <c r="I15" s="5">
        <v>9</v>
      </c>
      <c r="J15" s="5">
        <v>30</v>
      </c>
      <c r="K15" s="5">
        <v>19</v>
      </c>
      <c r="L15" s="5">
        <v>0</v>
      </c>
      <c r="M15" s="5">
        <v>10</v>
      </c>
      <c r="N15" s="5">
        <v>7</v>
      </c>
      <c r="O15" s="5">
        <v>3</v>
      </c>
      <c r="P15" s="5">
        <v>29</v>
      </c>
      <c r="Q15" s="5">
        <v>30</v>
      </c>
      <c r="R15" s="5">
        <v>1</v>
      </c>
      <c r="S15" s="5">
        <v>79</v>
      </c>
      <c r="T15" s="5">
        <v>1</v>
      </c>
      <c r="U15" s="5">
        <v>10</v>
      </c>
      <c r="V15" s="7">
        <v>2.5483870967741935</v>
      </c>
      <c r="W15" s="7">
        <v>63.70967741935484</v>
      </c>
      <c r="X15" s="7">
        <v>7.9</v>
      </c>
      <c r="Y15" s="6">
        <v>4.5</v>
      </c>
      <c r="Z15" s="7">
        <v>2.5</v>
      </c>
    </row>
    <row r="16" spans="1:26" ht="15.75" x14ac:dyDescent="0.25">
      <c r="A16" s="77"/>
      <c r="B16" s="97"/>
      <c r="C16" s="8" t="s">
        <v>67</v>
      </c>
      <c r="D16" s="8" t="s">
        <v>43</v>
      </c>
      <c r="E16" s="4">
        <v>31</v>
      </c>
      <c r="F16" s="8">
        <v>4</v>
      </c>
      <c r="G16" s="8">
        <v>4</v>
      </c>
      <c r="H16" s="8">
        <v>17</v>
      </c>
      <c r="I16" s="8">
        <v>9</v>
      </c>
      <c r="J16" s="8">
        <v>30</v>
      </c>
      <c r="K16" s="8">
        <v>19</v>
      </c>
      <c r="L16" s="8">
        <v>0</v>
      </c>
      <c r="M16" s="8">
        <v>10</v>
      </c>
      <c r="N16" s="8">
        <v>7</v>
      </c>
      <c r="O16" s="8">
        <v>3</v>
      </c>
      <c r="P16" s="8">
        <v>29</v>
      </c>
      <c r="Q16" s="8">
        <v>30</v>
      </c>
      <c r="R16" s="8">
        <v>1</v>
      </c>
      <c r="S16" s="8">
        <v>79</v>
      </c>
      <c r="T16" s="8">
        <v>1</v>
      </c>
      <c r="U16" s="8">
        <v>10</v>
      </c>
      <c r="V16" s="24">
        <v>2.5483870967741935</v>
      </c>
      <c r="W16" s="24">
        <v>63.70967741935484</v>
      </c>
      <c r="X16" s="24">
        <v>7.9</v>
      </c>
      <c r="Y16" s="24">
        <v>4.5</v>
      </c>
      <c r="Z16" s="24">
        <v>2.5</v>
      </c>
    </row>
    <row r="17" spans="1:26" ht="15.75" x14ac:dyDescent="0.25">
      <c r="A17" s="76">
        <v>6</v>
      </c>
      <c r="B17" s="97"/>
      <c r="C17" s="5" t="s">
        <v>58</v>
      </c>
      <c r="D17" s="5" t="s">
        <v>43</v>
      </c>
      <c r="E17" s="4">
        <v>31</v>
      </c>
      <c r="F17" s="5">
        <v>2</v>
      </c>
      <c r="G17" s="5">
        <v>2</v>
      </c>
      <c r="H17" s="5">
        <v>11</v>
      </c>
      <c r="I17" s="5">
        <v>4</v>
      </c>
      <c r="J17" s="5">
        <v>17</v>
      </c>
      <c r="K17" s="5">
        <v>9</v>
      </c>
      <c r="L17" s="5">
        <v>1</v>
      </c>
      <c r="M17" s="5">
        <v>6</v>
      </c>
      <c r="N17" s="5">
        <v>3</v>
      </c>
      <c r="O17" s="5">
        <v>3</v>
      </c>
      <c r="P17" s="5">
        <v>16</v>
      </c>
      <c r="Q17" s="5">
        <v>20</v>
      </c>
      <c r="R17" s="5">
        <v>0</v>
      </c>
      <c r="S17" s="5">
        <v>48</v>
      </c>
      <c r="T17" s="5">
        <v>1</v>
      </c>
      <c r="U17" s="5">
        <v>7</v>
      </c>
      <c r="V17" s="13">
        <v>1.5483870967741935</v>
      </c>
      <c r="W17" s="13">
        <v>77.41935483870968</v>
      </c>
      <c r="X17" s="13">
        <v>6.8571428571428568</v>
      </c>
      <c r="Y17" s="14">
        <v>2.0000000000000004</v>
      </c>
      <c r="Z17" s="13">
        <v>3.5</v>
      </c>
    </row>
    <row r="18" spans="1:26" ht="15.75" x14ac:dyDescent="0.25">
      <c r="A18" s="77"/>
      <c r="B18" s="97"/>
      <c r="C18" s="8" t="s">
        <v>58</v>
      </c>
      <c r="D18" s="8"/>
      <c r="E18" s="4">
        <v>31</v>
      </c>
      <c r="F18" s="8">
        <v>2</v>
      </c>
      <c r="G18" s="8">
        <v>2</v>
      </c>
      <c r="H18" s="8">
        <v>11</v>
      </c>
      <c r="I18" s="8">
        <v>4</v>
      </c>
      <c r="J18" s="8">
        <v>17</v>
      </c>
      <c r="K18" s="8">
        <v>9</v>
      </c>
      <c r="L18" s="8">
        <v>1</v>
      </c>
      <c r="M18" s="8">
        <v>6</v>
      </c>
      <c r="N18" s="8">
        <v>3</v>
      </c>
      <c r="O18" s="8">
        <v>3</v>
      </c>
      <c r="P18" s="8">
        <v>16</v>
      </c>
      <c r="Q18" s="8">
        <v>20</v>
      </c>
      <c r="R18" s="8">
        <v>0</v>
      </c>
      <c r="S18" s="8">
        <v>48</v>
      </c>
      <c r="T18" s="8">
        <v>1</v>
      </c>
      <c r="U18" s="8">
        <v>7</v>
      </c>
      <c r="V18" s="26">
        <v>1.5483870967741935</v>
      </c>
      <c r="W18" s="26">
        <v>77.41935483870968</v>
      </c>
      <c r="X18" s="26">
        <v>6.8571428571428568</v>
      </c>
      <c r="Y18" s="26">
        <v>2.0000000000000004</v>
      </c>
      <c r="Z18" s="26">
        <v>3.5</v>
      </c>
    </row>
    <row r="19" spans="1:26" ht="15.75" x14ac:dyDescent="0.25">
      <c r="A19" s="76">
        <v>7</v>
      </c>
      <c r="B19" s="97"/>
      <c r="C19" s="5" t="s">
        <v>73</v>
      </c>
      <c r="D19" s="5" t="s">
        <v>36</v>
      </c>
      <c r="E19" s="4">
        <v>31</v>
      </c>
      <c r="F19" s="5">
        <v>15</v>
      </c>
      <c r="G19" s="5">
        <v>8</v>
      </c>
      <c r="H19" s="5">
        <v>81</v>
      </c>
      <c r="I19" s="5">
        <v>27</v>
      </c>
      <c r="J19" s="5">
        <v>116</v>
      </c>
      <c r="K19" s="5">
        <v>18</v>
      </c>
      <c r="L19" s="5">
        <v>69</v>
      </c>
      <c r="M19" s="5">
        <v>15</v>
      </c>
      <c r="N19" s="5">
        <v>7</v>
      </c>
      <c r="O19" s="5">
        <v>8</v>
      </c>
      <c r="P19" s="5">
        <v>102</v>
      </c>
      <c r="Q19" s="5">
        <v>437</v>
      </c>
      <c r="R19" s="5">
        <v>2</v>
      </c>
      <c r="S19" s="5">
        <v>375</v>
      </c>
      <c r="T19" s="5">
        <v>14</v>
      </c>
      <c r="U19" s="5">
        <v>84</v>
      </c>
      <c r="V19" s="7">
        <v>12.096774193548388</v>
      </c>
      <c r="W19" s="7">
        <v>80.645161290322591</v>
      </c>
      <c r="X19" s="7">
        <v>4.4642857142857144</v>
      </c>
      <c r="Y19" s="6">
        <v>1.0714285714285712</v>
      </c>
      <c r="Z19" s="7">
        <v>5.6</v>
      </c>
    </row>
    <row r="20" spans="1:26" ht="15.75" x14ac:dyDescent="0.25">
      <c r="A20" s="77"/>
      <c r="B20" s="99"/>
      <c r="C20" s="8" t="s">
        <v>73</v>
      </c>
      <c r="D20" s="8" t="s">
        <v>36</v>
      </c>
      <c r="E20" s="4">
        <v>31</v>
      </c>
      <c r="F20" s="8">
        <v>15</v>
      </c>
      <c r="G20" s="8">
        <v>8</v>
      </c>
      <c r="H20" s="8">
        <v>81</v>
      </c>
      <c r="I20" s="8">
        <v>27</v>
      </c>
      <c r="J20" s="8">
        <v>116</v>
      </c>
      <c r="K20" s="8">
        <v>18</v>
      </c>
      <c r="L20" s="8">
        <v>69</v>
      </c>
      <c r="M20" s="8">
        <v>15</v>
      </c>
      <c r="N20" s="8">
        <v>7</v>
      </c>
      <c r="O20" s="8">
        <v>8</v>
      </c>
      <c r="P20" s="8">
        <v>102</v>
      </c>
      <c r="Q20" s="8">
        <v>437</v>
      </c>
      <c r="R20" s="8">
        <v>2</v>
      </c>
      <c r="S20" s="8">
        <v>375</v>
      </c>
      <c r="T20" s="8">
        <v>14</v>
      </c>
      <c r="U20" s="8">
        <v>84</v>
      </c>
      <c r="V20" s="24">
        <v>12.096774193548388</v>
      </c>
      <c r="W20" s="24">
        <v>80.645161290322591</v>
      </c>
      <c r="X20" s="24">
        <v>4.4642857142857144</v>
      </c>
      <c r="Y20" s="24">
        <v>1.0714285714285712</v>
      </c>
      <c r="Z20" s="24">
        <v>5.6</v>
      </c>
    </row>
    <row r="21" spans="1:26" ht="15.75" x14ac:dyDescent="0.25">
      <c r="A21" s="79" t="s">
        <v>69</v>
      </c>
      <c r="B21" s="80"/>
      <c r="C21" s="80"/>
      <c r="D21" s="81"/>
      <c r="E21" s="4">
        <v>31</v>
      </c>
      <c r="F21" s="20">
        <v>48</v>
      </c>
      <c r="G21" s="20">
        <v>31</v>
      </c>
      <c r="H21" s="20">
        <v>226</v>
      </c>
      <c r="I21" s="20">
        <v>167</v>
      </c>
      <c r="J21" s="11">
        <v>424</v>
      </c>
      <c r="K21" s="20">
        <v>254</v>
      </c>
      <c r="L21" s="20">
        <v>72</v>
      </c>
      <c r="M21" s="11">
        <v>59</v>
      </c>
      <c r="N21" s="20">
        <v>29</v>
      </c>
      <c r="O21" s="20">
        <v>30</v>
      </c>
      <c r="P21" s="11">
        <v>385</v>
      </c>
      <c r="Q21" s="20">
        <v>671</v>
      </c>
      <c r="R21" s="20">
        <v>4</v>
      </c>
      <c r="S21" s="20">
        <v>1128</v>
      </c>
      <c r="T21" s="11">
        <v>39</v>
      </c>
      <c r="U21" s="11">
        <v>131</v>
      </c>
      <c r="V21" s="22">
        <v>36.387096774193552</v>
      </c>
      <c r="W21" s="12">
        <v>75.806451612903231</v>
      </c>
      <c r="X21" s="12">
        <v>8.6106870229007626</v>
      </c>
      <c r="Y21" s="12">
        <v>2.7480916030534344</v>
      </c>
      <c r="Z21" s="12">
        <v>2.7291666666666665</v>
      </c>
    </row>
    <row r="24" spans="1:26" x14ac:dyDescent="0.25">
      <c r="A24" s="78" t="s">
        <v>1</v>
      </c>
      <c r="B24" s="78" t="s">
        <v>2</v>
      </c>
      <c r="C24" s="72" t="s">
        <v>3</v>
      </c>
      <c r="D24" s="72" t="s">
        <v>4</v>
      </c>
      <c r="E24" s="75" t="s">
        <v>5</v>
      </c>
      <c r="F24" s="72" t="s">
        <v>6</v>
      </c>
      <c r="G24" s="72" t="s">
        <v>7</v>
      </c>
      <c r="H24" s="72" t="s">
        <v>8</v>
      </c>
      <c r="I24" s="75" t="s">
        <v>9</v>
      </c>
      <c r="J24" s="72" t="s">
        <v>10</v>
      </c>
      <c r="K24" s="72" t="s">
        <v>11</v>
      </c>
      <c r="L24" s="72" t="s">
        <v>12</v>
      </c>
      <c r="M24" s="72" t="s">
        <v>13</v>
      </c>
      <c r="N24" s="72" t="s">
        <v>14</v>
      </c>
      <c r="O24" s="72" t="s">
        <v>15</v>
      </c>
      <c r="P24" s="72" t="s">
        <v>16</v>
      </c>
      <c r="Q24" s="72" t="s">
        <v>17</v>
      </c>
      <c r="R24" s="72" t="s">
        <v>18</v>
      </c>
      <c r="S24" s="72" t="s">
        <v>19</v>
      </c>
      <c r="T24" s="72" t="s">
        <v>20</v>
      </c>
      <c r="U24" s="73" t="s">
        <v>21</v>
      </c>
      <c r="V24" s="2" t="s">
        <v>22</v>
      </c>
      <c r="W24" s="2" t="s">
        <v>23</v>
      </c>
      <c r="X24" s="2" t="s">
        <v>24</v>
      </c>
      <c r="Y24" s="2" t="s">
        <v>25</v>
      </c>
      <c r="Z24" s="2" t="s">
        <v>26</v>
      </c>
    </row>
    <row r="25" spans="1:26" x14ac:dyDescent="0.25">
      <c r="A25" s="78"/>
      <c r="B25" s="78"/>
      <c r="C25" s="72"/>
      <c r="D25" s="72"/>
      <c r="E25" s="75"/>
      <c r="F25" s="72"/>
      <c r="G25" s="72"/>
      <c r="H25" s="72"/>
      <c r="I25" s="75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3"/>
      <c r="V25" s="71" t="s">
        <v>27</v>
      </c>
      <c r="W25" s="71" t="s">
        <v>28</v>
      </c>
      <c r="X25" s="71" t="s">
        <v>29</v>
      </c>
      <c r="Y25" s="71" t="s">
        <v>30</v>
      </c>
      <c r="Z25" s="71" t="s">
        <v>31</v>
      </c>
    </row>
    <row r="26" spans="1:26" x14ac:dyDescent="0.25">
      <c r="A26" s="78"/>
      <c r="B26" s="78"/>
      <c r="C26" s="72"/>
      <c r="D26" s="72"/>
      <c r="E26" s="75"/>
      <c r="F26" s="72"/>
      <c r="G26" s="72"/>
      <c r="H26" s="72"/>
      <c r="I26" s="75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3"/>
      <c r="V26" s="74"/>
      <c r="W26" s="71"/>
      <c r="X26" s="71"/>
      <c r="Y26" s="71"/>
      <c r="Z26" s="71"/>
    </row>
    <row r="27" spans="1:26" x14ac:dyDescent="0.25">
      <c r="A27" s="78"/>
      <c r="B27" s="78"/>
      <c r="C27" s="72"/>
      <c r="D27" s="72"/>
      <c r="E27" s="75"/>
      <c r="F27" s="72"/>
      <c r="G27" s="3">
        <v>1</v>
      </c>
      <c r="H27" s="3">
        <v>2</v>
      </c>
      <c r="I27" s="3">
        <v>3</v>
      </c>
      <c r="J27" s="3">
        <v>4</v>
      </c>
      <c r="K27" s="3">
        <v>5</v>
      </c>
      <c r="L27" s="3">
        <v>6</v>
      </c>
      <c r="M27" s="3">
        <v>7</v>
      </c>
      <c r="N27" s="3">
        <v>8</v>
      </c>
      <c r="O27" s="3">
        <v>9</v>
      </c>
      <c r="P27" s="3">
        <v>10</v>
      </c>
      <c r="Q27" s="3">
        <v>11</v>
      </c>
      <c r="R27" s="3">
        <v>12</v>
      </c>
      <c r="S27" s="3">
        <v>13</v>
      </c>
      <c r="T27" s="3">
        <v>14</v>
      </c>
      <c r="U27" s="73"/>
      <c r="V27" s="16">
        <v>15</v>
      </c>
      <c r="W27" s="16">
        <v>16</v>
      </c>
      <c r="X27" s="16">
        <v>17</v>
      </c>
      <c r="Y27" s="16">
        <v>18</v>
      </c>
      <c r="Z27" s="16">
        <v>19</v>
      </c>
    </row>
    <row r="28" spans="1:26" ht="15.75" x14ac:dyDescent="0.25">
      <c r="A28" s="76">
        <v>1</v>
      </c>
      <c r="B28" s="96" t="s">
        <v>38</v>
      </c>
      <c r="C28" s="27" t="s">
        <v>53</v>
      </c>
      <c r="D28" s="9" t="s">
        <v>49</v>
      </c>
      <c r="E28" s="4">
        <v>31</v>
      </c>
      <c r="F28" s="4">
        <v>2</v>
      </c>
      <c r="G28" s="4">
        <v>0</v>
      </c>
      <c r="H28" s="4">
        <v>3</v>
      </c>
      <c r="I28" s="4">
        <v>1</v>
      </c>
      <c r="J28" s="5">
        <v>4</v>
      </c>
      <c r="K28" s="4">
        <v>1</v>
      </c>
      <c r="L28" s="4">
        <v>2</v>
      </c>
      <c r="M28" s="5">
        <v>0</v>
      </c>
      <c r="N28" s="4">
        <v>0</v>
      </c>
      <c r="O28" s="4">
        <v>0</v>
      </c>
      <c r="P28" s="5">
        <v>3</v>
      </c>
      <c r="Q28" s="4">
        <v>9</v>
      </c>
      <c r="R28" s="4">
        <v>0</v>
      </c>
      <c r="S28" s="4">
        <v>18</v>
      </c>
      <c r="T28" s="5">
        <v>1</v>
      </c>
      <c r="U28" s="5">
        <v>2</v>
      </c>
      <c r="V28" s="7">
        <v>0.58064516129032262</v>
      </c>
      <c r="W28" s="7">
        <v>29.032258064516132</v>
      </c>
      <c r="X28" s="7">
        <v>9</v>
      </c>
      <c r="Y28" s="6">
        <v>22</v>
      </c>
      <c r="Z28" s="7">
        <v>1</v>
      </c>
    </row>
    <row r="29" spans="1:26" ht="15.75" x14ac:dyDescent="0.25">
      <c r="A29" s="98"/>
      <c r="B29" s="97"/>
      <c r="C29" s="27" t="s">
        <v>53</v>
      </c>
      <c r="D29" s="18" t="s">
        <v>50</v>
      </c>
      <c r="E29" s="4">
        <v>31</v>
      </c>
      <c r="F29" s="4">
        <v>3</v>
      </c>
      <c r="G29" s="4">
        <v>0</v>
      </c>
      <c r="H29" s="4">
        <v>4</v>
      </c>
      <c r="I29" s="4">
        <v>1</v>
      </c>
      <c r="J29" s="8">
        <v>5</v>
      </c>
      <c r="K29" s="4">
        <v>2</v>
      </c>
      <c r="L29" s="4">
        <v>1</v>
      </c>
      <c r="M29" s="8">
        <v>2</v>
      </c>
      <c r="N29" s="4">
        <v>0</v>
      </c>
      <c r="O29" s="4">
        <v>2</v>
      </c>
      <c r="P29" s="8">
        <v>5</v>
      </c>
      <c r="Q29" s="4">
        <v>16</v>
      </c>
      <c r="R29" s="4">
        <v>0</v>
      </c>
      <c r="S29" s="4">
        <v>17</v>
      </c>
      <c r="T29" s="8">
        <v>0</v>
      </c>
      <c r="U29" s="8">
        <v>3</v>
      </c>
      <c r="V29" s="24">
        <v>0.54838709677419351</v>
      </c>
      <c r="W29" s="24">
        <v>18.279569892473116</v>
      </c>
      <c r="X29" s="24">
        <v>5.666666666666667</v>
      </c>
      <c r="Y29" s="24">
        <v>25.333333333333332</v>
      </c>
      <c r="Z29" s="24">
        <v>1</v>
      </c>
    </row>
    <row r="30" spans="1:26" ht="15.75" x14ac:dyDescent="0.25">
      <c r="A30" s="98"/>
      <c r="B30" s="97"/>
      <c r="C30" s="23" t="s">
        <v>53</v>
      </c>
      <c r="D30" s="18" t="s">
        <v>51</v>
      </c>
      <c r="E30" s="4">
        <v>31</v>
      </c>
      <c r="F30" s="4">
        <v>2</v>
      </c>
      <c r="G30" s="4">
        <v>2</v>
      </c>
      <c r="H30" s="4">
        <v>2</v>
      </c>
      <c r="I30" s="4">
        <v>0</v>
      </c>
      <c r="J30" s="5">
        <v>4</v>
      </c>
      <c r="K30" s="4">
        <v>2</v>
      </c>
      <c r="L30" s="4">
        <v>1</v>
      </c>
      <c r="M30" s="5">
        <v>1</v>
      </c>
      <c r="N30" s="4">
        <v>0</v>
      </c>
      <c r="O30" s="4">
        <v>1</v>
      </c>
      <c r="P30" s="5">
        <v>4</v>
      </c>
      <c r="Q30" s="4">
        <v>9</v>
      </c>
      <c r="R30" s="4">
        <v>0</v>
      </c>
      <c r="S30" s="4">
        <v>5</v>
      </c>
      <c r="T30" s="5">
        <v>0</v>
      </c>
      <c r="U30" s="5">
        <v>2</v>
      </c>
      <c r="V30" s="7">
        <v>0.16129032258064516</v>
      </c>
      <c r="W30" s="7">
        <v>8.064516129032258</v>
      </c>
      <c r="X30" s="7">
        <v>2.5</v>
      </c>
      <c r="Y30" s="6">
        <v>28.5</v>
      </c>
      <c r="Z30" s="7">
        <v>1</v>
      </c>
    </row>
    <row r="31" spans="1:26" ht="15.75" x14ac:dyDescent="0.25">
      <c r="A31" s="98"/>
      <c r="B31" s="97"/>
      <c r="C31" s="27" t="s">
        <v>53</v>
      </c>
      <c r="D31" s="18" t="s">
        <v>52</v>
      </c>
      <c r="E31" s="4">
        <v>31</v>
      </c>
      <c r="F31" s="4">
        <v>10</v>
      </c>
      <c r="G31" s="4">
        <v>8</v>
      </c>
      <c r="H31" s="4">
        <v>48</v>
      </c>
      <c r="I31" s="4">
        <v>5</v>
      </c>
      <c r="J31" s="8">
        <v>61</v>
      </c>
      <c r="K31" s="4">
        <v>1</v>
      </c>
      <c r="L31" s="4">
        <v>31</v>
      </c>
      <c r="M31" s="8">
        <v>24</v>
      </c>
      <c r="N31" s="4">
        <v>12</v>
      </c>
      <c r="O31" s="4">
        <v>12</v>
      </c>
      <c r="P31" s="8">
        <v>56</v>
      </c>
      <c r="Q31" s="4">
        <v>207</v>
      </c>
      <c r="R31" s="4">
        <v>1</v>
      </c>
      <c r="S31" s="4">
        <v>166</v>
      </c>
      <c r="T31" s="8">
        <v>5</v>
      </c>
      <c r="U31" s="8">
        <v>55</v>
      </c>
      <c r="V31" s="24">
        <v>5.354838709677419</v>
      </c>
      <c r="W31" s="24">
        <v>53.548387096774185</v>
      </c>
      <c r="X31" s="24">
        <v>3.0181818181818181</v>
      </c>
      <c r="Y31" s="24">
        <v>2.6181818181818182</v>
      </c>
      <c r="Z31" s="24">
        <v>5.5</v>
      </c>
    </row>
    <row r="32" spans="1:26" ht="15.75" x14ac:dyDescent="0.25">
      <c r="A32" s="77"/>
      <c r="B32" s="97"/>
      <c r="C32" s="8" t="s">
        <v>53</v>
      </c>
      <c r="D32" s="8"/>
      <c r="E32" s="4">
        <v>31</v>
      </c>
      <c r="F32" s="8">
        <v>17</v>
      </c>
      <c r="G32" s="8">
        <v>10</v>
      </c>
      <c r="H32" s="8">
        <v>57</v>
      </c>
      <c r="I32" s="8">
        <v>7</v>
      </c>
      <c r="J32" s="8">
        <v>74</v>
      </c>
      <c r="K32" s="8">
        <v>6</v>
      </c>
      <c r="L32" s="8">
        <v>35</v>
      </c>
      <c r="M32" s="8">
        <v>27</v>
      </c>
      <c r="N32" s="8">
        <v>12</v>
      </c>
      <c r="O32" s="8">
        <v>15</v>
      </c>
      <c r="P32" s="8">
        <v>68</v>
      </c>
      <c r="Q32" s="8">
        <v>241</v>
      </c>
      <c r="R32" s="8">
        <v>1</v>
      </c>
      <c r="S32" s="8">
        <v>206</v>
      </c>
      <c r="T32" s="8">
        <v>6</v>
      </c>
      <c r="U32" s="8">
        <v>62</v>
      </c>
      <c r="V32" s="24">
        <v>6.645161290322581</v>
      </c>
      <c r="W32" s="24">
        <v>39.089184060721067</v>
      </c>
      <c r="X32" s="24">
        <v>3.3225806451612905</v>
      </c>
      <c r="Y32" s="24">
        <v>5.17741935483871</v>
      </c>
      <c r="Z32" s="24">
        <v>3.6470588235294117</v>
      </c>
    </row>
    <row r="33" spans="1:26" ht="15.75" x14ac:dyDescent="0.25">
      <c r="A33" s="76">
        <v>2</v>
      </c>
      <c r="B33" s="97"/>
      <c r="C33" s="5" t="s">
        <v>71</v>
      </c>
      <c r="D33" s="5" t="s">
        <v>38</v>
      </c>
      <c r="E33" s="4">
        <v>31</v>
      </c>
      <c r="F33" s="5">
        <v>6</v>
      </c>
      <c r="G33" s="5">
        <v>7</v>
      </c>
      <c r="H33" s="5">
        <v>21</v>
      </c>
      <c r="I33" s="5">
        <v>4</v>
      </c>
      <c r="J33" s="5">
        <v>32</v>
      </c>
      <c r="K33" s="5">
        <v>13</v>
      </c>
      <c r="L33" s="5">
        <v>19</v>
      </c>
      <c r="M33" s="5">
        <v>0</v>
      </c>
      <c r="N33" s="5">
        <v>0</v>
      </c>
      <c r="O33" s="5">
        <v>0</v>
      </c>
      <c r="P33" s="5">
        <v>32</v>
      </c>
      <c r="Q33" s="5">
        <v>60</v>
      </c>
      <c r="R33" s="5">
        <v>0</v>
      </c>
      <c r="S33" s="5">
        <v>102</v>
      </c>
      <c r="T33" s="5">
        <v>0</v>
      </c>
      <c r="U33" s="5">
        <v>19</v>
      </c>
      <c r="V33" s="7">
        <v>3.2903225806451615</v>
      </c>
      <c r="W33" s="7">
        <v>54.838709677419359</v>
      </c>
      <c r="X33" s="7">
        <v>5.3684210526315788</v>
      </c>
      <c r="Y33" s="6">
        <v>4.4210526315789478</v>
      </c>
      <c r="Z33" s="7">
        <v>3.1666666666666665</v>
      </c>
    </row>
    <row r="34" spans="1:26" ht="15.75" x14ac:dyDescent="0.25">
      <c r="A34" s="77"/>
      <c r="B34" s="97"/>
      <c r="C34" s="8" t="s">
        <v>71</v>
      </c>
      <c r="D34" s="8"/>
      <c r="E34" s="4">
        <v>31</v>
      </c>
      <c r="F34" s="8">
        <v>6</v>
      </c>
      <c r="G34" s="8">
        <v>7</v>
      </c>
      <c r="H34" s="8">
        <v>21</v>
      </c>
      <c r="I34" s="8">
        <v>4</v>
      </c>
      <c r="J34" s="8">
        <v>32</v>
      </c>
      <c r="K34" s="8">
        <v>13</v>
      </c>
      <c r="L34" s="8">
        <v>19</v>
      </c>
      <c r="M34" s="8">
        <v>0</v>
      </c>
      <c r="N34" s="8">
        <v>0</v>
      </c>
      <c r="O34" s="8">
        <v>0</v>
      </c>
      <c r="P34" s="8">
        <v>32</v>
      </c>
      <c r="Q34" s="8">
        <v>60</v>
      </c>
      <c r="R34" s="8">
        <v>0</v>
      </c>
      <c r="S34" s="8">
        <v>102</v>
      </c>
      <c r="T34" s="8">
        <v>0</v>
      </c>
      <c r="U34" s="8">
        <v>19</v>
      </c>
      <c r="V34" s="24">
        <v>3.2903225806451615</v>
      </c>
      <c r="W34" s="24">
        <v>54.838709677419359</v>
      </c>
      <c r="X34" s="24">
        <v>5.3684210526315788</v>
      </c>
      <c r="Y34" s="24">
        <v>4.4210526315789478</v>
      </c>
      <c r="Z34" s="24">
        <v>3.1666666666666665</v>
      </c>
    </row>
    <row r="35" spans="1:26" ht="15.75" x14ac:dyDescent="0.25">
      <c r="A35" s="76">
        <v>3</v>
      </c>
      <c r="B35" s="97"/>
      <c r="C35" s="5" t="s">
        <v>55</v>
      </c>
      <c r="D35" s="5" t="s">
        <v>32</v>
      </c>
      <c r="E35" s="4">
        <v>31</v>
      </c>
      <c r="F35" s="5">
        <v>4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7">
        <v>0</v>
      </c>
      <c r="W35" s="7">
        <v>0</v>
      </c>
      <c r="X35" s="7" t="e">
        <v>#DIV/0!</v>
      </c>
      <c r="Y35" s="6" t="e">
        <v>#DIV/0!</v>
      </c>
      <c r="Z35" s="7">
        <v>0</v>
      </c>
    </row>
    <row r="36" spans="1:26" ht="15.75" x14ac:dyDescent="0.25">
      <c r="A36" s="77"/>
      <c r="B36" s="97"/>
      <c r="C36" s="8" t="s">
        <v>55</v>
      </c>
      <c r="D36" s="8"/>
      <c r="E36" s="4">
        <v>31</v>
      </c>
      <c r="F36" s="8">
        <v>4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24">
        <v>0</v>
      </c>
      <c r="W36" s="24">
        <v>0</v>
      </c>
      <c r="X36" s="24" t="e">
        <v>#DIV/0!</v>
      </c>
      <c r="Y36" s="24" t="e">
        <v>#DIV/0!</v>
      </c>
      <c r="Z36" s="24">
        <v>0</v>
      </c>
    </row>
    <row r="37" spans="1:26" ht="15.75" x14ac:dyDescent="0.25">
      <c r="A37" s="76">
        <v>4</v>
      </c>
      <c r="B37" s="97"/>
      <c r="C37" s="5" t="s">
        <v>47</v>
      </c>
      <c r="D37" s="5" t="s">
        <v>43</v>
      </c>
      <c r="E37" s="4">
        <v>31</v>
      </c>
      <c r="F37" s="5">
        <v>2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13">
        <v>0</v>
      </c>
      <c r="W37" s="13">
        <v>0</v>
      </c>
      <c r="X37" s="13" t="e">
        <v>#DIV/0!</v>
      </c>
      <c r="Y37" s="14" t="e">
        <v>#DIV/0!</v>
      </c>
      <c r="Z37" s="13">
        <v>0</v>
      </c>
    </row>
    <row r="38" spans="1:26" ht="15.75" x14ac:dyDescent="0.25">
      <c r="A38" s="77"/>
      <c r="B38" s="97"/>
      <c r="C38" s="8" t="s">
        <v>47</v>
      </c>
      <c r="D38" s="8"/>
      <c r="E38" s="4">
        <v>31</v>
      </c>
      <c r="F38" s="8">
        <v>2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26">
        <v>0</v>
      </c>
      <c r="W38" s="26">
        <v>0</v>
      </c>
      <c r="X38" s="26" t="e">
        <v>#DIV/0!</v>
      </c>
      <c r="Y38" s="26" t="e">
        <v>#DIV/0!</v>
      </c>
      <c r="Z38" s="26">
        <v>0</v>
      </c>
    </row>
    <row r="39" spans="1:26" ht="15.75" x14ac:dyDescent="0.25">
      <c r="A39" s="76">
        <v>5</v>
      </c>
      <c r="B39" s="97"/>
      <c r="C39" s="5" t="s">
        <v>40</v>
      </c>
      <c r="D39" s="5" t="s">
        <v>32</v>
      </c>
      <c r="E39" s="4">
        <v>31</v>
      </c>
      <c r="F39" s="5">
        <v>4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7">
        <v>0</v>
      </c>
      <c r="W39" s="7">
        <v>0</v>
      </c>
      <c r="X39" s="7" t="e">
        <v>#DIV/0!</v>
      </c>
      <c r="Y39" s="6" t="e">
        <v>#DIV/0!</v>
      </c>
      <c r="Z39" s="7">
        <v>0</v>
      </c>
    </row>
    <row r="40" spans="1:26" ht="15.75" x14ac:dyDescent="0.25">
      <c r="A40" s="77"/>
      <c r="B40" s="97"/>
      <c r="C40" s="8" t="s">
        <v>40</v>
      </c>
      <c r="D40" s="8"/>
      <c r="E40" s="4">
        <v>31</v>
      </c>
      <c r="F40" s="8">
        <v>4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24">
        <v>0</v>
      </c>
      <c r="W40" s="24">
        <v>0</v>
      </c>
      <c r="X40" s="24" t="e">
        <v>#DIV/0!</v>
      </c>
      <c r="Y40" s="24" t="e">
        <v>#DIV/0!</v>
      </c>
      <c r="Z40" s="24">
        <v>0</v>
      </c>
    </row>
    <row r="41" spans="1:26" ht="15.75" x14ac:dyDescent="0.25">
      <c r="A41" s="76">
        <v>6</v>
      </c>
      <c r="B41" s="97"/>
      <c r="C41" s="5" t="s">
        <v>42</v>
      </c>
      <c r="D41" s="5" t="s">
        <v>43</v>
      </c>
      <c r="E41" s="4">
        <v>31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7">
        <v>0</v>
      </c>
      <c r="W41" s="7">
        <v>0</v>
      </c>
      <c r="X41" s="7" t="e">
        <v>#DIV/0!</v>
      </c>
      <c r="Y41" s="6" t="e">
        <v>#DIV/0!</v>
      </c>
      <c r="Z41" s="7">
        <v>0</v>
      </c>
    </row>
    <row r="42" spans="1:26" ht="15.75" x14ac:dyDescent="0.25">
      <c r="A42" s="77"/>
      <c r="B42" s="97"/>
      <c r="C42" s="8" t="s">
        <v>42</v>
      </c>
      <c r="D42" s="8"/>
      <c r="E42" s="4">
        <v>31</v>
      </c>
      <c r="F42" s="8">
        <v>1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24">
        <v>0</v>
      </c>
      <c r="W42" s="24">
        <v>0</v>
      </c>
      <c r="X42" s="24" t="e">
        <v>#DIV/0!</v>
      </c>
      <c r="Y42" s="24" t="e">
        <v>#DIV/0!</v>
      </c>
      <c r="Z42" s="24">
        <v>0</v>
      </c>
    </row>
    <row r="43" spans="1:26" ht="15.75" x14ac:dyDescent="0.25">
      <c r="A43" s="76">
        <v>7</v>
      </c>
      <c r="B43" s="97"/>
      <c r="C43" s="5" t="s">
        <v>74</v>
      </c>
      <c r="D43" s="5" t="s">
        <v>32</v>
      </c>
      <c r="E43" s="4">
        <v>31</v>
      </c>
      <c r="F43" s="5">
        <v>4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7">
        <v>0</v>
      </c>
      <c r="W43" s="28">
        <v>0</v>
      </c>
      <c r="X43" s="28" t="e">
        <v>#DIV/0!</v>
      </c>
      <c r="Y43" s="29" t="e">
        <v>#DIV/0!</v>
      </c>
      <c r="Z43" s="28">
        <v>0</v>
      </c>
    </row>
    <row r="44" spans="1:26" ht="15.75" x14ac:dyDescent="0.25">
      <c r="A44" s="77"/>
      <c r="B44" s="97"/>
      <c r="C44" s="8" t="s">
        <v>74</v>
      </c>
      <c r="D44" s="8"/>
      <c r="E44" s="4">
        <v>31</v>
      </c>
      <c r="F44" s="8">
        <v>4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24">
        <v>0</v>
      </c>
      <c r="W44" s="24">
        <v>0</v>
      </c>
      <c r="X44" s="24" t="e">
        <v>#DIV/0!</v>
      </c>
      <c r="Y44" s="24" t="e">
        <v>#DIV/0!</v>
      </c>
      <c r="Z44" s="24">
        <v>0</v>
      </c>
    </row>
    <row r="45" spans="1:26" ht="15.75" x14ac:dyDescent="0.25">
      <c r="A45" s="76">
        <v>8</v>
      </c>
      <c r="B45" s="97"/>
      <c r="C45" s="4" t="s">
        <v>44</v>
      </c>
      <c r="D45" s="4" t="s">
        <v>32</v>
      </c>
      <c r="E45" s="4">
        <v>31</v>
      </c>
      <c r="F45" s="4">
        <v>1</v>
      </c>
      <c r="G45" s="4">
        <v>0</v>
      </c>
      <c r="H45" s="4">
        <v>9</v>
      </c>
      <c r="I45" s="4">
        <v>1</v>
      </c>
      <c r="J45" s="5">
        <v>10</v>
      </c>
      <c r="K45" s="4">
        <v>2</v>
      </c>
      <c r="L45" s="4">
        <v>7</v>
      </c>
      <c r="M45" s="5">
        <v>0</v>
      </c>
      <c r="N45" s="4">
        <v>0</v>
      </c>
      <c r="O45" s="4">
        <v>0</v>
      </c>
      <c r="P45" s="5">
        <v>9</v>
      </c>
      <c r="Q45" s="4">
        <v>21</v>
      </c>
      <c r="R45" s="4">
        <v>0</v>
      </c>
      <c r="S45" s="4">
        <v>21</v>
      </c>
      <c r="T45" s="5">
        <v>1</v>
      </c>
      <c r="U45" s="5">
        <v>7</v>
      </c>
      <c r="V45" s="7">
        <v>0.67741935483870963</v>
      </c>
      <c r="W45" s="28">
        <v>67.741935483870961</v>
      </c>
      <c r="X45" s="28">
        <v>3</v>
      </c>
      <c r="Y45" s="29">
        <v>1.4285714285714288</v>
      </c>
      <c r="Z45" s="28">
        <v>7</v>
      </c>
    </row>
    <row r="46" spans="1:26" ht="15.75" x14ac:dyDescent="0.25">
      <c r="A46" s="77"/>
      <c r="B46" s="97"/>
      <c r="C46" s="8" t="s">
        <v>44</v>
      </c>
      <c r="D46" s="8"/>
      <c r="E46" s="4">
        <v>31</v>
      </c>
      <c r="F46" s="8">
        <v>1</v>
      </c>
      <c r="G46" s="8">
        <v>0</v>
      </c>
      <c r="H46" s="8">
        <v>9</v>
      </c>
      <c r="I46" s="8">
        <v>1</v>
      </c>
      <c r="J46" s="8">
        <v>10</v>
      </c>
      <c r="K46" s="8">
        <v>2</v>
      </c>
      <c r="L46" s="8">
        <v>7</v>
      </c>
      <c r="M46" s="8">
        <v>0</v>
      </c>
      <c r="N46" s="8">
        <v>0</v>
      </c>
      <c r="O46" s="8">
        <v>0</v>
      </c>
      <c r="P46" s="8">
        <v>9</v>
      </c>
      <c r="Q46" s="8">
        <v>21</v>
      </c>
      <c r="R46" s="8">
        <v>0</v>
      </c>
      <c r="S46" s="8">
        <v>21</v>
      </c>
      <c r="T46" s="8">
        <v>1</v>
      </c>
      <c r="U46" s="8">
        <v>7</v>
      </c>
      <c r="V46" s="24">
        <v>0.67741935483870963</v>
      </c>
      <c r="W46" s="24">
        <v>67.741935483870961</v>
      </c>
      <c r="X46" s="24">
        <v>3</v>
      </c>
      <c r="Y46" s="24">
        <v>1.4285714285714288</v>
      </c>
      <c r="Z46" s="24">
        <v>7</v>
      </c>
    </row>
    <row r="47" spans="1:26" ht="15.75" x14ac:dyDescent="0.25">
      <c r="A47" s="76">
        <v>9</v>
      </c>
      <c r="B47" s="97"/>
      <c r="C47" s="4" t="s">
        <v>37</v>
      </c>
      <c r="D47" s="4" t="s">
        <v>32</v>
      </c>
      <c r="E47" s="4">
        <v>31</v>
      </c>
      <c r="F47" s="4">
        <v>5</v>
      </c>
      <c r="G47" s="4">
        <v>5</v>
      </c>
      <c r="H47" s="4">
        <v>14</v>
      </c>
      <c r="I47" s="4">
        <v>20</v>
      </c>
      <c r="J47" s="5">
        <v>39</v>
      </c>
      <c r="K47" s="4">
        <v>2</v>
      </c>
      <c r="L47" s="4">
        <v>31</v>
      </c>
      <c r="M47" s="5">
        <v>1</v>
      </c>
      <c r="N47" s="4">
        <v>0</v>
      </c>
      <c r="O47" s="4">
        <v>1</v>
      </c>
      <c r="P47" s="5">
        <v>34</v>
      </c>
      <c r="Q47" s="4">
        <v>133</v>
      </c>
      <c r="R47" s="4">
        <v>1</v>
      </c>
      <c r="S47" s="4">
        <v>105</v>
      </c>
      <c r="T47" s="5">
        <v>5</v>
      </c>
      <c r="U47" s="5">
        <v>32</v>
      </c>
      <c r="V47" s="7">
        <v>3.3870967741935485</v>
      </c>
      <c r="W47" s="28">
        <v>67.741935483870975</v>
      </c>
      <c r="X47" s="28">
        <v>3.28125</v>
      </c>
      <c r="Y47" s="29">
        <v>1.5625</v>
      </c>
      <c r="Z47" s="28">
        <v>6.4</v>
      </c>
    </row>
    <row r="48" spans="1:26" ht="15.75" x14ac:dyDescent="0.25">
      <c r="A48" s="77"/>
      <c r="B48" s="99"/>
      <c r="C48" s="8" t="s">
        <v>37</v>
      </c>
      <c r="D48" s="8"/>
      <c r="E48" s="4">
        <v>31</v>
      </c>
      <c r="F48" s="8">
        <v>5</v>
      </c>
      <c r="G48" s="8">
        <v>5</v>
      </c>
      <c r="H48" s="8">
        <v>14</v>
      </c>
      <c r="I48" s="8">
        <v>20</v>
      </c>
      <c r="J48" s="8">
        <v>39</v>
      </c>
      <c r="K48" s="8">
        <v>2</v>
      </c>
      <c r="L48" s="8">
        <v>31</v>
      </c>
      <c r="M48" s="8">
        <v>1</v>
      </c>
      <c r="N48" s="8">
        <v>0</v>
      </c>
      <c r="O48" s="8">
        <v>1</v>
      </c>
      <c r="P48" s="8">
        <v>34</v>
      </c>
      <c r="Q48" s="8">
        <v>133</v>
      </c>
      <c r="R48" s="8">
        <v>1</v>
      </c>
      <c r="S48" s="8">
        <v>105</v>
      </c>
      <c r="T48" s="8">
        <v>5</v>
      </c>
      <c r="U48" s="8">
        <v>32</v>
      </c>
      <c r="V48" s="24">
        <v>3.3870967741935485</v>
      </c>
      <c r="W48" s="24">
        <v>67.741935483870975</v>
      </c>
      <c r="X48" s="24">
        <v>3.28125</v>
      </c>
      <c r="Y48" s="24">
        <v>1.5625</v>
      </c>
      <c r="Z48" s="24">
        <v>6.4</v>
      </c>
    </row>
    <row r="49" spans="1:26" ht="15.75" x14ac:dyDescent="0.25">
      <c r="A49" s="79" t="s">
        <v>85</v>
      </c>
      <c r="B49" s="80"/>
      <c r="C49" s="80"/>
      <c r="D49" s="81"/>
      <c r="E49" s="4">
        <v>31</v>
      </c>
      <c r="F49" s="20">
        <v>44</v>
      </c>
      <c r="G49" s="20">
        <v>22</v>
      </c>
      <c r="H49" s="20">
        <v>101</v>
      </c>
      <c r="I49" s="20">
        <v>32</v>
      </c>
      <c r="J49" s="11">
        <v>155</v>
      </c>
      <c r="K49" s="20">
        <v>23</v>
      </c>
      <c r="L49" s="20">
        <v>92</v>
      </c>
      <c r="M49" s="11">
        <v>28</v>
      </c>
      <c r="N49" s="20">
        <v>12</v>
      </c>
      <c r="O49" s="20">
        <v>16</v>
      </c>
      <c r="P49" s="11">
        <v>143</v>
      </c>
      <c r="Q49" s="20">
        <v>455</v>
      </c>
      <c r="R49" s="20">
        <v>2</v>
      </c>
      <c r="S49" s="20">
        <v>434</v>
      </c>
      <c r="T49" s="11">
        <v>12</v>
      </c>
      <c r="U49" s="11">
        <v>120</v>
      </c>
      <c r="V49" s="22">
        <v>14</v>
      </c>
      <c r="W49" s="12">
        <v>31.818181818181817</v>
      </c>
      <c r="X49" s="12">
        <v>3.6166666666666667</v>
      </c>
      <c r="Y49" s="12">
        <v>7.75</v>
      </c>
      <c r="Z49" s="12">
        <v>2.7272727272727271</v>
      </c>
    </row>
    <row r="52" spans="1:26" x14ac:dyDescent="0.25">
      <c r="A52" s="78" t="s">
        <v>1</v>
      </c>
      <c r="B52" s="78" t="s">
        <v>2</v>
      </c>
      <c r="C52" s="72" t="s">
        <v>3</v>
      </c>
      <c r="D52" s="72" t="s">
        <v>4</v>
      </c>
      <c r="E52" s="75" t="s">
        <v>5</v>
      </c>
      <c r="F52" s="72" t="s">
        <v>6</v>
      </c>
      <c r="G52" s="72" t="s">
        <v>7</v>
      </c>
      <c r="H52" s="72" t="s">
        <v>8</v>
      </c>
      <c r="I52" s="75" t="s">
        <v>9</v>
      </c>
      <c r="J52" s="72" t="s">
        <v>10</v>
      </c>
      <c r="K52" s="72" t="s">
        <v>11</v>
      </c>
      <c r="L52" s="72" t="s">
        <v>12</v>
      </c>
      <c r="M52" s="72" t="s">
        <v>13</v>
      </c>
      <c r="N52" s="72" t="s">
        <v>14</v>
      </c>
      <c r="O52" s="72" t="s">
        <v>15</v>
      </c>
      <c r="P52" s="72" t="s">
        <v>16</v>
      </c>
      <c r="Q52" s="72" t="s">
        <v>17</v>
      </c>
      <c r="R52" s="72" t="s">
        <v>18</v>
      </c>
      <c r="S52" s="72" t="s">
        <v>19</v>
      </c>
      <c r="T52" s="72" t="s">
        <v>20</v>
      </c>
      <c r="U52" s="73" t="s">
        <v>21</v>
      </c>
      <c r="V52" s="2" t="s">
        <v>22</v>
      </c>
      <c r="W52" s="2" t="s">
        <v>23</v>
      </c>
      <c r="X52" s="2" t="s">
        <v>24</v>
      </c>
      <c r="Y52" s="2" t="s">
        <v>25</v>
      </c>
      <c r="Z52" s="2" t="s">
        <v>26</v>
      </c>
    </row>
    <row r="53" spans="1:26" x14ac:dyDescent="0.25">
      <c r="A53" s="78"/>
      <c r="B53" s="78"/>
      <c r="C53" s="72"/>
      <c r="D53" s="72"/>
      <c r="E53" s="75"/>
      <c r="F53" s="72"/>
      <c r="G53" s="72"/>
      <c r="H53" s="72"/>
      <c r="I53" s="75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3"/>
      <c r="V53" s="71" t="s">
        <v>27</v>
      </c>
      <c r="W53" s="71" t="s">
        <v>28</v>
      </c>
      <c r="X53" s="71" t="s">
        <v>29</v>
      </c>
      <c r="Y53" s="71" t="s">
        <v>30</v>
      </c>
      <c r="Z53" s="71" t="s">
        <v>31</v>
      </c>
    </row>
    <row r="54" spans="1:26" x14ac:dyDescent="0.25">
      <c r="A54" s="78"/>
      <c r="B54" s="78"/>
      <c r="C54" s="72"/>
      <c r="D54" s="72"/>
      <c r="E54" s="75"/>
      <c r="F54" s="72"/>
      <c r="G54" s="72"/>
      <c r="H54" s="72"/>
      <c r="I54" s="75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3"/>
      <c r="V54" s="74"/>
      <c r="W54" s="71"/>
      <c r="X54" s="71"/>
      <c r="Y54" s="71"/>
      <c r="Z54" s="71"/>
    </row>
    <row r="55" spans="1:26" x14ac:dyDescent="0.25">
      <c r="A55" s="78"/>
      <c r="B55" s="78"/>
      <c r="C55" s="72"/>
      <c r="D55" s="72"/>
      <c r="E55" s="75"/>
      <c r="F55" s="72"/>
      <c r="G55" s="3">
        <v>1</v>
      </c>
      <c r="H55" s="3">
        <v>2</v>
      </c>
      <c r="I55" s="3">
        <v>3</v>
      </c>
      <c r="J55" s="3">
        <v>4</v>
      </c>
      <c r="K55" s="3">
        <v>5</v>
      </c>
      <c r="L55" s="3">
        <v>6</v>
      </c>
      <c r="M55" s="3">
        <v>7</v>
      </c>
      <c r="N55" s="3">
        <v>8</v>
      </c>
      <c r="O55" s="3">
        <v>9</v>
      </c>
      <c r="P55" s="3">
        <v>10</v>
      </c>
      <c r="Q55" s="3">
        <v>11</v>
      </c>
      <c r="R55" s="3">
        <v>12</v>
      </c>
      <c r="S55" s="3">
        <v>13</v>
      </c>
      <c r="T55" s="3">
        <v>14</v>
      </c>
      <c r="U55" s="73"/>
      <c r="V55" s="16">
        <v>15</v>
      </c>
      <c r="W55" s="16">
        <v>16</v>
      </c>
      <c r="X55" s="16">
        <v>17</v>
      </c>
      <c r="Y55" s="16">
        <v>18</v>
      </c>
      <c r="Z55" s="16">
        <v>19</v>
      </c>
    </row>
    <row r="56" spans="1:26" ht="15.75" x14ac:dyDescent="0.25">
      <c r="A56" s="19">
        <v>1</v>
      </c>
      <c r="B56" s="19" t="s">
        <v>59</v>
      </c>
      <c r="C56" s="4" t="s">
        <v>57</v>
      </c>
      <c r="D56" s="4" t="s">
        <v>36</v>
      </c>
      <c r="E56" s="4">
        <v>31</v>
      </c>
      <c r="F56" s="4">
        <v>30</v>
      </c>
      <c r="G56" s="4">
        <v>23</v>
      </c>
      <c r="H56" s="4">
        <v>197</v>
      </c>
      <c r="I56" s="4">
        <v>23</v>
      </c>
      <c r="J56" s="5">
        <v>243</v>
      </c>
      <c r="K56" s="4">
        <v>107</v>
      </c>
      <c r="L56" s="4">
        <v>106</v>
      </c>
      <c r="M56" s="5">
        <v>2</v>
      </c>
      <c r="N56" s="4">
        <v>2</v>
      </c>
      <c r="O56" s="4">
        <v>0</v>
      </c>
      <c r="P56" s="5">
        <v>215</v>
      </c>
      <c r="Q56" s="4">
        <v>708</v>
      </c>
      <c r="R56" s="4">
        <v>0</v>
      </c>
      <c r="S56" s="4">
        <v>747</v>
      </c>
      <c r="T56" s="5">
        <v>28</v>
      </c>
      <c r="U56" s="5">
        <v>108</v>
      </c>
      <c r="V56" s="7">
        <v>24.096774193548388</v>
      </c>
      <c r="W56" s="7">
        <v>80.322580645161295</v>
      </c>
      <c r="X56" s="7">
        <v>6.916666666666667</v>
      </c>
      <c r="Y56" s="6">
        <v>1.6944444444444442</v>
      </c>
      <c r="Z56" s="7">
        <v>3.6</v>
      </c>
    </row>
    <row r="57" spans="1:26" ht="15.75" x14ac:dyDescent="0.25">
      <c r="A57" s="103" t="s">
        <v>57</v>
      </c>
      <c r="B57" s="104"/>
      <c r="C57" s="104"/>
      <c r="D57" s="105"/>
      <c r="E57" s="4">
        <v>31</v>
      </c>
      <c r="F57" s="20">
        <v>30</v>
      </c>
      <c r="G57" s="20">
        <v>23</v>
      </c>
      <c r="H57" s="20">
        <v>197</v>
      </c>
      <c r="I57" s="20">
        <v>23</v>
      </c>
      <c r="J57" s="11">
        <v>243</v>
      </c>
      <c r="K57" s="20">
        <v>107</v>
      </c>
      <c r="L57" s="20">
        <v>106</v>
      </c>
      <c r="M57" s="11">
        <v>2</v>
      </c>
      <c r="N57" s="20">
        <v>2</v>
      </c>
      <c r="O57" s="20">
        <v>0</v>
      </c>
      <c r="P57" s="11">
        <v>215</v>
      </c>
      <c r="Q57" s="20">
        <v>708</v>
      </c>
      <c r="R57" s="20">
        <v>0</v>
      </c>
      <c r="S57" s="20">
        <v>747</v>
      </c>
      <c r="T57" s="11">
        <v>28</v>
      </c>
      <c r="U57" s="11">
        <v>108</v>
      </c>
      <c r="V57" s="20">
        <v>24.096774193548388</v>
      </c>
      <c r="W57" s="12">
        <v>80.322580645161295</v>
      </c>
      <c r="X57" s="12">
        <v>6.916666666666667</v>
      </c>
      <c r="Y57" s="12">
        <v>1.6944444444444442</v>
      </c>
      <c r="Z57" s="12">
        <v>3.6</v>
      </c>
    </row>
    <row r="60" spans="1:26" x14ac:dyDescent="0.25">
      <c r="A60" s="78" t="s">
        <v>1</v>
      </c>
      <c r="B60" s="78" t="s">
        <v>2</v>
      </c>
      <c r="C60" s="72" t="s">
        <v>3</v>
      </c>
      <c r="D60" s="72" t="s">
        <v>4</v>
      </c>
      <c r="E60" s="75" t="s">
        <v>5</v>
      </c>
      <c r="F60" s="72" t="s">
        <v>6</v>
      </c>
      <c r="G60" s="72" t="s">
        <v>7</v>
      </c>
      <c r="H60" s="72" t="s">
        <v>8</v>
      </c>
      <c r="I60" s="75" t="s">
        <v>9</v>
      </c>
      <c r="J60" s="72" t="s">
        <v>10</v>
      </c>
      <c r="K60" s="72" t="s">
        <v>11</v>
      </c>
      <c r="L60" s="72" t="s">
        <v>12</v>
      </c>
      <c r="M60" s="72" t="s">
        <v>13</v>
      </c>
      <c r="N60" s="72" t="s">
        <v>14</v>
      </c>
      <c r="O60" s="72" t="s">
        <v>15</v>
      </c>
      <c r="P60" s="72" t="s">
        <v>16</v>
      </c>
      <c r="Q60" s="72" t="s">
        <v>17</v>
      </c>
      <c r="R60" s="72" t="s">
        <v>18</v>
      </c>
      <c r="S60" s="72" t="s">
        <v>19</v>
      </c>
      <c r="T60" s="72" t="s">
        <v>20</v>
      </c>
      <c r="U60" s="73" t="s">
        <v>21</v>
      </c>
      <c r="V60" s="2" t="s">
        <v>22</v>
      </c>
      <c r="W60" s="2" t="s">
        <v>23</v>
      </c>
      <c r="X60" s="2" t="s">
        <v>24</v>
      </c>
      <c r="Y60" s="2" t="s">
        <v>25</v>
      </c>
      <c r="Z60" s="2" t="s">
        <v>26</v>
      </c>
    </row>
    <row r="61" spans="1:26" x14ac:dyDescent="0.25">
      <c r="A61" s="78"/>
      <c r="B61" s="78"/>
      <c r="C61" s="72"/>
      <c r="D61" s="72"/>
      <c r="E61" s="75"/>
      <c r="F61" s="72"/>
      <c r="G61" s="72"/>
      <c r="H61" s="72"/>
      <c r="I61" s="75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3"/>
      <c r="V61" s="71" t="s">
        <v>27</v>
      </c>
      <c r="W61" s="71" t="s">
        <v>28</v>
      </c>
      <c r="X61" s="71" t="s">
        <v>29</v>
      </c>
      <c r="Y61" s="71" t="s">
        <v>30</v>
      </c>
      <c r="Z61" s="71" t="s">
        <v>31</v>
      </c>
    </row>
    <row r="62" spans="1:26" x14ac:dyDescent="0.25">
      <c r="A62" s="78"/>
      <c r="B62" s="78"/>
      <c r="C62" s="72"/>
      <c r="D62" s="72"/>
      <c r="E62" s="75"/>
      <c r="F62" s="72"/>
      <c r="G62" s="72"/>
      <c r="H62" s="72"/>
      <c r="I62" s="75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1"/>
      <c r="X62" s="71"/>
      <c r="Y62" s="71"/>
      <c r="Z62" s="71"/>
    </row>
    <row r="63" spans="1:26" x14ac:dyDescent="0.25">
      <c r="A63" s="78"/>
      <c r="B63" s="78"/>
      <c r="C63" s="72"/>
      <c r="D63" s="72"/>
      <c r="E63" s="75"/>
      <c r="F63" s="72"/>
      <c r="G63" s="3">
        <v>1</v>
      </c>
      <c r="H63" s="3">
        <v>2</v>
      </c>
      <c r="I63" s="3">
        <v>3</v>
      </c>
      <c r="J63" s="3">
        <v>4</v>
      </c>
      <c r="K63" s="3">
        <v>5</v>
      </c>
      <c r="L63" s="3">
        <v>6</v>
      </c>
      <c r="M63" s="3">
        <v>7</v>
      </c>
      <c r="N63" s="3">
        <v>8</v>
      </c>
      <c r="O63" s="3">
        <v>9</v>
      </c>
      <c r="P63" s="3">
        <v>10</v>
      </c>
      <c r="Q63" s="3">
        <v>11</v>
      </c>
      <c r="R63" s="3">
        <v>12</v>
      </c>
      <c r="S63" s="3">
        <v>13</v>
      </c>
      <c r="T63" s="3">
        <v>14</v>
      </c>
      <c r="U63" s="73"/>
      <c r="V63" s="16">
        <v>15</v>
      </c>
      <c r="W63" s="16">
        <v>16</v>
      </c>
      <c r="X63" s="16">
        <v>17</v>
      </c>
      <c r="Y63" s="16">
        <v>18</v>
      </c>
      <c r="Z63" s="16">
        <v>19</v>
      </c>
    </row>
    <row r="64" spans="1:26" ht="15.75" x14ac:dyDescent="0.25">
      <c r="A64" s="76">
        <v>1</v>
      </c>
      <c r="B64" s="96" t="s">
        <v>75</v>
      </c>
      <c r="C64" s="4" t="s">
        <v>54</v>
      </c>
      <c r="D64" s="4" t="s">
        <v>48</v>
      </c>
      <c r="E64" s="4">
        <v>31</v>
      </c>
      <c r="F64" s="4">
        <v>8</v>
      </c>
      <c r="G64" s="4">
        <v>4</v>
      </c>
      <c r="H64" s="4">
        <v>32</v>
      </c>
      <c r="I64" s="4">
        <v>2</v>
      </c>
      <c r="J64" s="5">
        <v>38</v>
      </c>
      <c r="K64" s="4">
        <v>3</v>
      </c>
      <c r="L64" s="4">
        <v>26</v>
      </c>
      <c r="M64" s="5">
        <v>3</v>
      </c>
      <c r="N64" s="4">
        <v>1</v>
      </c>
      <c r="O64" s="4">
        <v>2</v>
      </c>
      <c r="P64" s="5">
        <v>32</v>
      </c>
      <c r="Q64" s="4">
        <v>100</v>
      </c>
      <c r="R64" s="4">
        <v>0</v>
      </c>
      <c r="S64" s="4">
        <v>102</v>
      </c>
      <c r="T64" s="5">
        <v>6</v>
      </c>
      <c r="U64" s="5">
        <v>29</v>
      </c>
      <c r="V64" s="7">
        <v>3.2903225806451615</v>
      </c>
      <c r="W64" s="7">
        <v>41.12903225806452</v>
      </c>
      <c r="X64" s="7">
        <v>3.5172413793103448</v>
      </c>
      <c r="Y64" s="6">
        <v>5.0344827586206886</v>
      </c>
      <c r="Z64" s="7">
        <v>3.625</v>
      </c>
    </row>
    <row r="65" spans="1:26" ht="15.75" x14ac:dyDescent="0.25">
      <c r="A65" s="77"/>
      <c r="B65" s="97"/>
      <c r="C65" s="8" t="s">
        <v>54</v>
      </c>
      <c r="D65" s="8" t="s">
        <v>48</v>
      </c>
      <c r="E65" s="4">
        <v>31</v>
      </c>
      <c r="F65" s="8">
        <v>8</v>
      </c>
      <c r="G65" s="8">
        <v>4</v>
      </c>
      <c r="H65" s="8">
        <v>32</v>
      </c>
      <c r="I65" s="8">
        <v>2</v>
      </c>
      <c r="J65" s="8">
        <v>38</v>
      </c>
      <c r="K65" s="8">
        <v>3</v>
      </c>
      <c r="L65" s="8">
        <v>26</v>
      </c>
      <c r="M65" s="8">
        <v>3</v>
      </c>
      <c r="N65" s="8">
        <v>1</v>
      </c>
      <c r="O65" s="8">
        <v>2</v>
      </c>
      <c r="P65" s="8">
        <v>32</v>
      </c>
      <c r="Q65" s="8">
        <v>100</v>
      </c>
      <c r="R65" s="8">
        <v>0</v>
      </c>
      <c r="S65" s="8">
        <v>102</v>
      </c>
      <c r="T65" s="8">
        <v>6</v>
      </c>
      <c r="U65" s="8">
        <v>29</v>
      </c>
      <c r="V65" s="24">
        <v>3.2903225806451615</v>
      </c>
      <c r="W65" s="24">
        <v>41.12903225806452</v>
      </c>
      <c r="X65" s="24">
        <v>3.5172413793103448</v>
      </c>
      <c r="Y65" s="24">
        <v>5.0344827586206886</v>
      </c>
      <c r="Z65" s="24">
        <v>3.625</v>
      </c>
    </row>
    <row r="66" spans="1:26" ht="15.75" x14ac:dyDescent="0.25">
      <c r="A66" s="76">
        <v>2</v>
      </c>
      <c r="B66" s="97"/>
      <c r="C66" s="4" t="s">
        <v>47</v>
      </c>
      <c r="D66" s="4" t="s">
        <v>48</v>
      </c>
      <c r="E66" s="4">
        <v>31</v>
      </c>
      <c r="F66" s="4">
        <v>2</v>
      </c>
      <c r="G66" s="4">
        <v>0</v>
      </c>
      <c r="H66" s="4">
        <v>3</v>
      </c>
      <c r="I66" s="4">
        <v>0</v>
      </c>
      <c r="J66" s="5">
        <v>3</v>
      </c>
      <c r="K66" s="4">
        <v>2</v>
      </c>
      <c r="L66" s="4">
        <v>1</v>
      </c>
      <c r="M66" s="5">
        <v>0</v>
      </c>
      <c r="N66" s="4">
        <v>0</v>
      </c>
      <c r="O66" s="4">
        <v>0</v>
      </c>
      <c r="P66" s="5">
        <v>3</v>
      </c>
      <c r="Q66" s="4">
        <v>5</v>
      </c>
      <c r="R66" s="4">
        <v>0</v>
      </c>
      <c r="S66" s="4">
        <v>6</v>
      </c>
      <c r="T66" s="5">
        <v>0</v>
      </c>
      <c r="U66" s="5">
        <v>1</v>
      </c>
      <c r="V66" s="7">
        <v>0.19354838709677419</v>
      </c>
      <c r="W66" s="7">
        <v>9.67741935483871</v>
      </c>
      <c r="X66" s="7">
        <v>6</v>
      </c>
      <c r="Y66" s="6">
        <v>56</v>
      </c>
      <c r="Z66" s="7">
        <v>0.5</v>
      </c>
    </row>
    <row r="67" spans="1:26" ht="15.75" x14ac:dyDescent="0.25">
      <c r="A67" s="77"/>
      <c r="B67" s="97"/>
      <c r="C67" s="8" t="s">
        <v>47</v>
      </c>
      <c r="D67" s="8" t="s">
        <v>48</v>
      </c>
      <c r="E67" s="4">
        <v>31</v>
      </c>
      <c r="F67" s="8">
        <v>2</v>
      </c>
      <c r="G67" s="8">
        <v>0</v>
      </c>
      <c r="H67" s="8">
        <v>3</v>
      </c>
      <c r="I67" s="8">
        <v>0</v>
      </c>
      <c r="J67" s="8">
        <v>3</v>
      </c>
      <c r="K67" s="8">
        <v>2</v>
      </c>
      <c r="L67" s="8">
        <v>1</v>
      </c>
      <c r="M67" s="8">
        <v>0</v>
      </c>
      <c r="N67" s="8">
        <v>0</v>
      </c>
      <c r="O67" s="8">
        <v>0</v>
      </c>
      <c r="P67" s="8">
        <v>3</v>
      </c>
      <c r="Q67" s="8">
        <v>5</v>
      </c>
      <c r="R67" s="8">
        <v>0</v>
      </c>
      <c r="S67" s="8">
        <v>6</v>
      </c>
      <c r="T67" s="8">
        <v>0</v>
      </c>
      <c r="U67" s="8">
        <v>1</v>
      </c>
      <c r="V67" s="24">
        <v>0.19354838709677419</v>
      </c>
      <c r="W67" s="24">
        <v>9.67741935483871</v>
      </c>
      <c r="X67" s="24">
        <v>6</v>
      </c>
      <c r="Y67" s="24">
        <v>56</v>
      </c>
      <c r="Z67" s="24">
        <v>0.5</v>
      </c>
    </row>
    <row r="68" spans="1:26" ht="15.75" x14ac:dyDescent="0.25">
      <c r="A68" s="76">
        <v>3</v>
      </c>
      <c r="B68" s="97"/>
      <c r="C68" s="4" t="s">
        <v>42</v>
      </c>
      <c r="D68" s="4" t="s">
        <v>48</v>
      </c>
      <c r="E68" s="4">
        <v>31</v>
      </c>
      <c r="F68" s="4">
        <v>8</v>
      </c>
      <c r="G68" s="4">
        <v>2</v>
      </c>
      <c r="H68" s="4">
        <v>38</v>
      </c>
      <c r="I68" s="4">
        <v>3</v>
      </c>
      <c r="J68" s="5">
        <v>43</v>
      </c>
      <c r="K68" s="4">
        <v>14</v>
      </c>
      <c r="L68" s="4">
        <v>23</v>
      </c>
      <c r="M68" s="5">
        <v>2</v>
      </c>
      <c r="N68" s="4">
        <v>1</v>
      </c>
      <c r="O68" s="4">
        <v>1</v>
      </c>
      <c r="P68" s="5">
        <v>39</v>
      </c>
      <c r="Q68" s="4">
        <v>84</v>
      </c>
      <c r="R68" s="4">
        <v>0</v>
      </c>
      <c r="S68" s="4">
        <v>83</v>
      </c>
      <c r="T68" s="5">
        <v>4</v>
      </c>
      <c r="U68" s="5">
        <v>25</v>
      </c>
      <c r="V68" s="7">
        <v>2.6774193548387095</v>
      </c>
      <c r="W68" s="7">
        <v>33.467741935483872</v>
      </c>
      <c r="X68" s="7">
        <v>3.32</v>
      </c>
      <c r="Y68" s="6">
        <v>6.6</v>
      </c>
      <c r="Z68" s="7">
        <v>3.125</v>
      </c>
    </row>
    <row r="69" spans="1:26" ht="15.75" x14ac:dyDescent="0.25">
      <c r="A69" s="77"/>
      <c r="B69" s="97"/>
      <c r="C69" s="8" t="s">
        <v>42</v>
      </c>
      <c r="D69" s="8" t="s">
        <v>48</v>
      </c>
      <c r="E69" s="4">
        <v>31</v>
      </c>
      <c r="F69" s="8">
        <v>8</v>
      </c>
      <c r="G69" s="8">
        <v>2</v>
      </c>
      <c r="H69" s="8">
        <v>38</v>
      </c>
      <c r="I69" s="8">
        <v>3</v>
      </c>
      <c r="J69" s="8">
        <v>43</v>
      </c>
      <c r="K69" s="8">
        <v>14</v>
      </c>
      <c r="L69" s="8">
        <v>23</v>
      </c>
      <c r="M69" s="8">
        <v>2</v>
      </c>
      <c r="N69" s="8">
        <v>1</v>
      </c>
      <c r="O69" s="8">
        <v>1</v>
      </c>
      <c r="P69" s="8">
        <v>39</v>
      </c>
      <c r="Q69" s="8">
        <v>84</v>
      </c>
      <c r="R69" s="8">
        <v>0</v>
      </c>
      <c r="S69" s="8">
        <v>83</v>
      </c>
      <c r="T69" s="8">
        <v>4</v>
      </c>
      <c r="U69" s="8">
        <v>25</v>
      </c>
      <c r="V69" s="24">
        <v>2.6774193548387095</v>
      </c>
      <c r="W69" s="24">
        <v>33.467741935483872</v>
      </c>
      <c r="X69" s="24">
        <v>3.32</v>
      </c>
      <c r="Y69" s="24">
        <v>6.6</v>
      </c>
      <c r="Z69" s="24">
        <v>3.125</v>
      </c>
    </row>
    <row r="70" spans="1:26" ht="15.75" x14ac:dyDescent="0.25">
      <c r="A70" s="103" t="s">
        <v>75</v>
      </c>
      <c r="B70" s="104"/>
      <c r="C70" s="105"/>
      <c r="D70" s="25" t="s">
        <v>48</v>
      </c>
      <c r="E70" s="4">
        <v>31</v>
      </c>
      <c r="F70" s="20">
        <v>18</v>
      </c>
      <c r="G70" s="20">
        <v>6</v>
      </c>
      <c r="H70" s="20">
        <v>73</v>
      </c>
      <c r="I70" s="20">
        <v>5</v>
      </c>
      <c r="J70" s="11">
        <v>84</v>
      </c>
      <c r="K70" s="20">
        <v>19</v>
      </c>
      <c r="L70" s="20">
        <v>50</v>
      </c>
      <c r="M70" s="11">
        <v>5</v>
      </c>
      <c r="N70" s="20">
        <v>2</v>
      </c>
      <c r="O70" s="20">
        <v>3</v>
      </c>
      <c r="P70" s="11">
        <v>74</v>
      </c>
      <c r="Q70" s="20">
        <v>189</v>
      </c>
      <c r="R70" s="20">
        <v>0</v>
      </c>
      <c r="S70" s="20">
        <v>191</v>
      </c>
      <c r="T70" s="11">
        <v>10</v>
      </c>
      <c r="U70" s="11">
        <v>55</v>
      </c>
      <c r="V70" s="20">
        <v>6.161290322580645</v>
      </c>
      <c r="W70" s="12">
        <v>34.229390681003586</v>
      </c>
      <c r="X70" s="12">
        <v>3.4727272727272727</v>
      </c>
      <c r="Y70" s="12">
        <v>6.6727272727272737</v>
      </c>
      <c r="Z70" s="12">
        <v>3.0555555555555554</v>
      </c>
    </row>
    <row r="73" spans="1:26" x14ac:dyDescent="0.25">
      <c r="A73" s="78" t="s">
        <v>1</v>
      </c>
      <c r="B73" s="78" t="s">
        <v>2</v>
      </c>
      <c r="C73" s="72" t="s">
        <v>3</v>
      </c>
      <c r="D73" s="72" t="s">
        <v>4</v>
      </c>
      <c r="E73" s="75" t="s">
        <v>5</v>
      </c>
      <c r="F73" s="72" t="s">
        <v>6</v>
      </c>
      <c r="G73" s="72" t="s">
        <v>7</v>
      </c>
      <c r="H73" s="72" t="s">
        <v>8</v>
      </c>
      <c r="I73" s="75" t="s">
        <v>9</v>
      </c>
      <c r="J73" s="72" t="s">
        <v>10</v>
      </c>
      <c r="K73" s="72" t="s">
        <v>11</v>
      </c>
      <c r="L73" s="72" t="s">
        <v>12</v>
      </c>
      <c r="M73" s="72" t="s">
        <v>13</v>
      </c>
      <c r="N73" s="72" t="s">
        <v>14</v>
      </c>
      <c r="O73" s="72" t="s">
        <v>15</v>
      </c>
      <c r="P73" s="72" t="s">
        <v>16</v>
      </c>
      <c r="Q73" s="72" t="s">
        <v>17</v>
      </c>
      <c r="R73" s="72" t="s">
        <v>18</v>
      </c>
      <c r="S73" s="72" t="s">
        <v>19</v>
      </c>
      <c r="T73" s="72" t="s">
        <v>20</v>
      </c>
      <c r="U73" s="73" t="s">
        <v>21</v>
      </c>
      <c r="V73" s="2" t="s">
        <v>22</v>
      </c>
      <c r="W73" s="2" t="s">
        <v>23</v>
      </c>
      <c r="X73" s="2" t="s">
        <v>24</v>
      </c>
      <c r="Y73" s="2" t="s">
        <v>25</v>
      </c>
      <c r="Z73" s="2" t="s">
        <v>26</v>
      </c>
    </row>
    <row r="74" spans="1:26" x14ac:dyDescent="0.25">
      <c r="A74" s="78"/>
      <c r="B74" s="78"/>
      <c r="C74" s="72"/>
      <c r="D74" s="72"/>
      <c r="E74" s="75"/>
      <c r="F74" s="72"/>
      <c r="G74" s="72"/>
      <c r="H74" s="72"/>
      <c r="I74" s="75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3"/>
      <c r="V74" s="71" t="s">
        <v>27</v>
      </c>
      <c r="W74" s="71" t="s">
        <v>28</v>
      </c>
      <c r="X74" s="71" t="s">
        <v>29</v>
      </c>
      <c r="Y74" s="71" t="s">
        <v>30</v>
      </c>
      <c r="Z74" s="71" t="s">
        <v>31</v>
      </c>
    </row>
    <row r="75" spans="1:26" x14ac:dyDescent="0.25">
      <c r="A75" s="78"/>
      <c r="B75" s="78"/>
      <c r="C75" s="72"/>
      <c r="D75" s="72"/>
      <c r="E75" s="75"/>
      <c r="F75" s="72"/>
      <c r="G75" s="72"/>
      <c r="H75" s="72"/>
      <c r="I75" s="75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3"/>
      <c r="V75" s="74"/>
      <c r="W75" s="71"/>
      <c r="X75" s="71"/>
      <c r="Y75" s="71"/>
      <c r="Z75" s="71"/>
    </row>
    <row r="76" spans="1:26" x14ac:dyDescent="0.25">
      <c r="A76" s="78"/>
      <c r="B76" s="78"/>
      <c r="C76" s="72"/>
      <c r="D76" s="72"/>
      <c r="E76" s="75"/>
      <c r="F76" s="72"/>
      <c r="G76" s="3">
        <v>1</v>
      </c>
      <c r="H76" s="3">
        <v>2</v>
      </c>
      <c r="I76" s="3">
        <v>3</v>
      </c>
      <c r="J76" s="3">
        <v>4</v>
      </c>
      <c r="K76" s="3">
        <v>5</v>
      </c>
      <c r="L76" s="3">
        <v>6</v>
      </c>
      <c r="M76" s="3">
        <v>7</v>
      </c>
      <c r="N76" s="3">
        <v>8</v>
      </c>
      <c r="O76" s="3">
        <v>9</v>
      </c>
      <c r="P76" s="3">
        <v>10</v>
      </c>
      <c r="Q76" s="3">
        <v>11</v>
      </c>
      <c r="R76" s="3">
        <v>12</v>
      </c>
      <c r="S76" s="3">
        <v>13</v>
      </c>
      <c r="T76" s="3">
        <v>14</v>
      </c>
      <c r="U76" s="73"/>
      <c r="V76" s="16">
        <v>15</v>
      </c>
      <c r="W76" s="16">
        <v>16</v>
      </c>
      <c r="X76" s="16">
        <v>17</v>
      </c>
      <c r="Y76" s="16">
        <v>18</v>
      </c>
      <c r="Z76" s="16">
        <v>19</v>
      </c>
    </row>
    <row r="77" spans="1:26" ht="15.75" x14ac:dyDescent="0.25">
      <c r="A77" s="76">
        <v>1</v>
      </c>
      <c r="B77" s="96" t="s">
        <v>76</v>
      </c>
      <c r="C77" s="4" t="s">
        <v>44</v>
      </c>
      <c r="D77" s="4" t="s">
        <v>43</v>
      </c>
      <c r="E77" s="4">
        <v>31</v>
      </c>
      <c r="F77" s="4">
        <v>2</v>
      </c>
      <c r="G77" s="4">
        <v>2</v>
      </c>
      <c r="H77" s="4">
        <v>10</v>
      </c>
      <c r="I77" s="4">
        <v>3</v>
      </c>
      <c r="J77" s="5">
        <v>15</v>
      </c>
      <c r="K77" s="4">
        <v>0</v>
      </c>
      <c r="L77" s="4">
        <v>13</v>
      </c>
      <c r="M77" s="5">
        <v>0</v>
      </c>
      <c r="N77" s="4">
        <v>0</v>
      </c>
      <c r="O77" s="4">
        <v>0</v>
      </c>
      <c r="P77" s="5">
        <v>13</v>
      </c>
      <c r="Q77" s="4">
        <v>67</v>
      </c>
      <c r="R77" s="4">
        <v>0</v>
      </c>
      <c r="S77" s="4">
        <v>50</v>
      </c>
      <c r="T77" s="5">
        <v>2</v>
      </c>
      <c r="U77" s="5">
        <v>13</v>
      </c>
      <c r="V77" s="7">
        <v>1.6129032258064515</v>
      </c>
      <c r="W77" s="7">
        <v>80.645161290322577</v>
      </c>
      <c r="X77" s="7">
        <v>3.8461538461538463</v>
      </c>
      <c r="Y77" s="6">
        <v>0.92307692307692335</v>
      </c>
      <c r="Z77" s="7">
        <v>6.5</v>
      </c>
    </row>
    <row r="78" spans="1:26" ht="15.75" x14ac:dyDescent="0.25">
      <c r="A78" s="77"/>
      <c r="B78" s="97"/>
      <c r="C78" s="8" t="s">
        <v>44</v>
      </c>
      <c r="D78" s="8" t="s">
        <v>43</v>
      </c>
      <c r="E78" s="4">
        <v>31</v>
      </c>
      <c r="F78" s="8">
        <v>2</v>
      </c>
      <c r="G78" s="8">
        <v>2</v>
      </c>
      <c r="H78" s="8">
        <v>10</v>
      </c>
      <c r="I78" s="8">
        <v>3</v>
      </c>
      <c r="J78" s="8">
        <v>15</v>
      </c>
      <c r="K78" s="8">
        <v>0</v>
      </c>
      <c r="L78" s="8">
        <v>13</v>
      </c>
      <c r="M78" s="8">
        <v>0</v>
      </c>
      <c r="N78" s="8">
        <v>0</v>
      </c>
      <c r="O78" s="8">
        <v>0</v>
      </c>
      <c r="P78" s="8">
        <v>13</v>
      </c>
      <c r="Q78" s="8">
        <v>67</v>
      </c>
      <c r="R78" s="8">
        <v>0</v>
      </c>
      <c r="S78" s="8">
        <v>50</v>
      </c>
      <c r="T78" s="8">
        <v>2</v>
      </c>
      <c r="U78" s="8">
        <v>13</v>
      </c>
      <c r="V78" s="24">
        <v>1.6129032258064515</v>
      </c>
      <c r="W78" s="24">
        <v>80.645161290322577</v>
      </c>
      <c r="X78" s="24">
        <v>3.8461538461538463</v>
      </c>
      <c r="Y78" s="24">
        <v>0.92307692307692335</v>
      </c>
      <c r="Z78" s="24">
        <v>6.5</v>
      </c>
    </row>
    <row r="79" spans="1:26" ht="15.75" x14ac:dyDescent="0.25">
      <c r="A79" s="76">
        <v>2</v>
      </c>
      <c r="B79" s="97"/>
      <c r="C79" s="4" t="s">
        <v>47</v>
      </c>
      <c r="D79" s="4" t="s">
        <v>43</v>
      </c>
      <c r="E79" s="4">
        <v>31</v>
      </c>
      <c r="F79" s="4">
        <v>13</v>
      </c>
      <c r="G79" s="4">
        <v>11</v>
      </c>
      <c r="H79" s="4">
        <v>97</v>
      </c>
      <c r="I79" s="4">
        <v>16</v>
      </c>
      <c r="J79" s="5">
        <v>124</v>
      </c>
      <c r="K79" s="4">
        <v>4</v>
      </c>
      <c r="L79" s="4">
        <v>96</v>
      </c>
      <c r="M79" s="5">
        <v>10</v>
      </c>
      <c r="N79" s="4">
        <v>4</v>
      </c>
      <c r="O79" s="4">
        <v>6</v>
      </c>
      <c r="P79" s="5">
        <v>110</v>
      </c>
      <c r="Q79" s="4">
        <v>378</v>
      </c>
      <c r="R79" s="4">
        <v>0</v>
      </c>
      <c r="S79" s="4">
        <v>341</v>
      </c>
      <c r="T79" s="5">
        <v>14</v>
      </c>
      <c r="U79" s="5">
        <v>106</v>
      </c>
      <c r="V79" s="7">
        <v>11</v>
      </c>
      <c r="W79" s="7">
        <v>84.615384615384613</v>
      </c>
      <c r="X79" s="7">
        <v>3.2169811320754715</v>
      </c>
      <c r="Y79" s="6">
        <v>0.58490566037735847</v>
      </c>
      <c r="Z79" s="7">
        <v>8.1538461538461533</v>
      </c>
    </row>
    <row r="80" spans="1:26" ht="15.75" x14ac:dyDescent="0.25">
      <c r="A80" s="77"/>
      <c r="B80" s="97"/>
      <c r="C80" s="8" t="s">
        <v>47</v>
      </c>
      <c r="D80" s="8" t="s">
        <v>43</v>
      </c>
      <c r="E80" s="4">
        <v>31</v>
      </c>
      <c r="F80" s="8">
        <v>13</v>
      </c>
      <c r="G80" s="8">
        <v>11</v>
      </c>
      <c r="H80" s="8">
        <v>97</v>
      </c>
      <c r="I80" s="8">
        <v>16</v>
      </c>
      <c r="J80" s="8">
        <v>124</v>
      </c>
      <c r="K80" s="8">
        <v>4</v>
      </c>
      <c r="L80" s="8">
        <v>96</v>
      </c>
      <c r="M80" s="8">
        <v>10</v>
      </c>
      <c r="N80" s="8">
        <v>4</v>
      </c>
      <c r="O80" s="8">
        <v>6</v>
      </c>
      <c r="P80" s="8">
        <v>110</v>
      </c>
      <c r="Q80" s="8">
        <v>378</v>
      </c>
      <c r="R80" s="8">
        <v>0</v>
      </c>
      <c r="S80" s="8">
        <v>341</v>
      </c>
      <c r="T80" s="8">
        <v>14</v>
      </c>
      <c r="U80" s="8">
        <v>106</v>
      </c>
      <c r="V80" s="24">
        <v>11</v>
      </c>
      <c r="W80" s="24">
        <v>84.615384615384613</v>
      </c>
      <c r="X80" s="24">
        <v>3.2169811320754715</v>
      </c>
      <c r="Y80" s="24">
        <v>0.58490566037735847</v>
      </c>
      <c r="Z80" s="24">
        <v>8.1538461538461533</v>
      </c>
    </row>
    <row r="81" spans="1:26" ht="15.75" x14ac:dyDescent="0.25">
      <c r="A81" s="76">
        <v>3</v>
      </c>
      <c r="B81" s="97"/>
      <c r="C81" s="4" t="s">
        <v>56</v>
      </c>
      <c r="D81" s="4" t="s">
        <v>43</v>
      </c>
      <c r="E81" s="4">
        <v>31</v>
      </c>
      <c r="F81" s="4">
        <v>3</v>
      </c>
      <c r="G81" s="4">
        <v>0</v>
      </c>
      <c r="H81" s="4">
        <v>23</v>
      </c>
      <c r="I81" s="4">
        <v>26</v>
      </c>
      <c r="J81" s="5">
        <v>49</v>
      </c>
      <c r="K81" s="4">
        <v>34</v>
      </c>
      <c r="L81" s="4">
        <v>11</v>
      </c>
      <c r="M81" s="5">
        <v>0</v>
      </c>
      <c r="N81" s="4">
        <v>0</v>
      </c>
      <c r="O81" s="4">
        <v>0</v>
      </c>
      <c r="P81" s="5">
        <v>45</v>
      </c>
      <c r="Q81" s="4">
        <v>21</v>
      </c>
      <c r="R81" s="4">
        <v>0</v>
      </c>
      <c r="S81" s="4">
        <v>43</v>
      </c>
      <c r="T81" s="5">
        <v>4</v>
      </c>
      <c r="U81" s="5">
        <v>11</v>
      </c>
      <c r="V81" s="7">
        <v>1.3870967741935485</v>
      </c>
      <c r="W81" s="7">
        <v>46.236559139784951</v>
      </c>
      <c r="X81" s="7">
        <v>3.9090909090909092</v>
      </c>
      <c r="Y81" s="6">
        <v>4.5454545454545459</v>
      </c>
      <c r="Z81" s="7">
        <v>3.6666666666666665</v>
      </c>
    </row>
    <row r="82" spans="1:26" ht="15.75" x14ac:dyDescent="0.25">
      <c r="A82" s="98"/>
      <c r="B82" s="97"/>
      <c r="C82" s="4" t="s">
        <v>60</v>
      </c>
      <c r="D82" s="4" t="s">
        <v>43</v>
      </c>
      <c r="E82" s="4">
        <v>31</v>
      </c>
      <c r="F82" s="4">
        <v>0</v>
      </c>
      <c r="G82" s="4">
        <v>0</v>
      </c>
      <c r="H82" s="4">
        <v>0</v>
      </c>
      <c r="I82" s="4">
        <v>0</v>
      </c>
      <c r="J82" s="5">
        <v>0</v>
      </c>
      <c r="K82" s="4">
        <v>0</v>
      </c>
      <c r="L82" s="4">
        <v>0</v>
      </c>
      <c r="M82" s="5">
        <v>0</v>
      </c>
      <c r="N82" s="4">
        <v>0</v>
      </c>
      <c r="O82" s="4">
        <v>0</v>
      </c>
      <c r="P82" s="5">
        <v>0</v>
      </c>
      <c r="Q82" s="4">
        <v>0</v>
      </c>
      <c r="R82" s="4">
        <v>0</v>
      </c>
      <c r="S82" s="4">
        <v>0</v>
      </c>
      <c r="T82" s="5">
        <v>0</v>
      </c>
      <c r="U82" s="5">
        <v>0</v>
      </c>
      <c r="V82" s="7">
        <v>0</v>
      </c>
      <c r="W82" s="7" t="e">
        <v>#DIV/0!</v>
      </c>
      <c r="X82" s="7" t="e">
        <v>#DIV/0!</v>
      </c>
      <c r="Y82" s="6" t="e">
        <v>#DIV/0!</v>
      </c>
      <c r="Z82" s="7" t="e">
        <v>#DIV/0!</v>
      </c>
    </row>
    <row r="83" spans="1:26" ht="15.75" x14ac:dyDescent="0.25">
      <c r="A83" s="77"/>
      <c r="B83" s="97"/>
      <c r="C83" s="8" t="s">
        <v>77</v>
      </c>
      <c r="D83" s="8" t="s">
        <v>43</v>
      </c>
      <c r="E83" s="4">
        <v>31</v>
      </c>
      <c r="F83" s="8">
        <v>3</v>
      </c>
      <c r="G83" s="8">
        <v>0</v>
      </c>
      <c r="H83" s="8">
        <v>23</v>
      </c>
      <c r="I83" s="8">
        <v>26</v>
      </c>
      <c r="J83" s="8">
        <v>49</v>
      </c>
      <c r="K83" s="8">
        <v>34</v>
      </c>
      <c r="L83" s="8">
        <v>11</v>
      </c>
      <c r="M83" s="8">
        <v>0</v>
      </c>
      <c r="N83" s="8">
        <v>0</v>
      </c>
      <c r="O83" s="8">
        <v>0</v>
      </c>
      <c r="P83" s="8">
        <v>45</v>
      </c>
      <c r="Q83" s="8">
        <v>21</v>
      </c>
      <c r="R83" s="8">
        <v>0</v>
      </c>
      <c r="S83" s="8">
        <v>43</v>
      </c>
      <c r="T83" s="8">
        <v>4</v>
      </c>
      <c r="U83" s="8">
        <v>11</v>
      </c>
      <c r="V83" s="24">
        <v>1.3870967741935485</v>
      </c>
      <c r="W83" s="24">
        <v>46.236559139784951</v>
      </c>
      <c r="X83" s="24">
        <v>3.9090909090909092</v>
      </c>
      <c r="Y83" s="24">
        <v>4.5454545454545459</v>
      </c>
      <c r="Z83" s="24">
        <v>3.6666666666666665</v>
      </c>
    </row>
    <row r="84" spans="1:26" ht="15.75" x14ac:dyDescent="0.25">
      <c r="A84" s="76">
        <v>4</v>
      </c>
      <c r="B84" s="97"/>
      <c r="C84" s="5" t="s">
        <v>42</v>
      </c>
      <c r="D84" s="5" t="s">
        <v>43</v>
      </c>
      <c r="E84" s="4">
        <v>31</v>
      </c>
      <c r="F84" s="5">
        <v>3</v>
      </c>
      <c r="G84" s="5">
        <v>3</v>
      </c>
      <c r="H84" s="5">
        <v>18</v>
      </c>
      <c r="I84" s="5">
        <v>14</v>
      </c>
      <c r="J84" s="5">
        <v>35</v>
      </c>
      <c r="K84" s="5">
        <v>4</v>
      </c>
      <c r="L84" s="5">
        <v>29</v>
      </c>
      <c r="M84" s="5">
        <v>0</v>
      </c>
      <c r="N84" s="5">
        <v>0</v>
      </c>
      <c r="O84" s="5">
        <v>0</v>
      </c>
      <c r="P84" s="5">
        <v>33</v>
      </c>
      <c r="Q84" s="5">
        <v>115</v>
      </c>
      <c r="R84" s="5">
        <v>0</v>
      </c>
      <c r="S84" s="5">
        <v>107</v>
      </c>
      <c r="T84" s="5">
        <v>2</v>
      </c>
      <c r="U84" s="5">
        <v>29</v>
      </c>
      <c r="V84" s="7">
        <v>3.4516129032258065</v>
      </c>
      <c r="W84" s="7">
        <v>115.05376344086022</v>
      </c>
      <c r="X84" s="7">
        <v>3.6896551724137931</v>
      </c>
      <c r="Y84" s="6">
        <v>-0.48275862068965525</v>
      </c>
      <c r="Z84" s="7">
        <v>9.6666666666666661</v>
      </c>
    </row>
    <row r="85" spans="1:26" ht="15.75" x14ac:dyDescent="0.25">
      <c r="A85" s="77"/>
      <c r="B85" s="97"/>
      <c r="C85" s="8" t="s">
        <v>42</v>
      </c>
      <c r="D85" s="8" t="s">
        <v>43</v>
      </c>
      <c r="E85" s="4">
        <v>31</v>
      </c>
      <c r="F85" s="8">
        <v>3</v>
      </c>
      <c r="G85" s="8">
        <v>3</v>
      </c>
      <c r="H85" s="8">
        <v>18</v>
      </c>
      <c r="I85" s="8">
        <v>14</v>
      </c>
      <c r="J85" s="8">
        <v>35</v>
      </c>
      <c r="K85" s="8">
        <v>4</v>
      </c>
      <c r="L85" s="8">
        <v>29</v>
      </c>
      <c r="M85" s="8">
        <v>0</v>
      </c>
      <c r="N85" s="8">
        <v>0</v>
      </c>
      <c r="O85" s="8">
        <v>0</v>
      </c>
      <c r="P85" s="8">
        <v>33</v>
      </c>
      <c r="Q85" s="8">
        <v>115</v>
      </c>
      <c r="R85" s="8">
        <v>0</v>
      </c>
      <c r="S85" s="8">
        <v>107</v>
      </c>
      <c r="T85" s="8">
        <v>2</v>
      </c>
      <c r="U85" s="8">
        <v>29</v>
      </c>
      <c r="V85" s="24">
        <v>3.4516129032258065</v>
      </c>
      <c r="W85" s="24">
        <v>115.05376344086022</v>
      </c>
      <c r="X85" s="24">
        <v>3.6896551724137931</v>
      </c>
      <c r="Y85" s="24">
        <v>-0.48275862068965525</v>
      </c>
      <c r="Z85" s="24">
        <v>9.6666666666666661</v>
      </c>
    </row>
    <row r="86" spans="1:26" ht="15.75" x14ac:dyDescent="0.25">
      <c r="A86" s="76">
        <v>5</v>
      </c>
      <c r="B86" s="97"/>
      <c r="C86" s="5" t="s">
        <v>46</v>
      </c>
      <c r="D86" s="5" t="s">
        <v>43</v>
      </c>
      <c r="E86" s="4">
        <v>31</v>
      </c>
      <c r="F86" s="5">
        <v>14</v>
      </c>
      <c r="G86" s="5">
        <v>8</v>
      </c>
      <c r="H86" s="5">
        <v>68</v>
      </c>
      <c r="I86" s="5">
        <v>7</v>
      </c>
      <c r="J86" s="5">
        <v>83</v>
      </c>
      <c r="K86" s="5">
        <v>7</v>
      </c>
      <c r="L86" s="5">
        <v>55</v>
      </c>
      <c r="M86" s="5">
        <v>7</v>
      </c>
      <c r="N86" s="5">
        <v>3</v>
      </c>
      <c r="O86" s="5">
        <v>4</v>
      </c>
      <c r="P86" s="5">
        <v>69</v>
      </c>
      <c r="Q86" s="5">
        <v>219</v>
      </c>
      <c r="R86" s="5">
        <v>0</v>
      </c>
      <c r="S86" s="5">
        <v>208</v>
      </c>
      <c r="T86" s="5">
        <v>14</v>
      </c>
      <c r="U86" s="5">
        <v>62</v>
      </c>
      <c r="V86" s="7">
        <v>6.709677419354839</v>
      </c>
      <c r="W86" s="7">
        <v>47.926267281105993</v>
      </c>
      <c r="X86" s="7">
        <v>3.3548387096774195</v>
      </c>
      <c r="Y86" s="6">
        <v>3.6451612903225805</v>
      </c>
      <c r="Z86" s="7">
        <v>4.4285714285714288</v>
      </c>
    </row>
    <row r="87" spans="1:26" ht="15.75" x14ac:dyDescent="0.25">
      <c r="A87" s="77"/>
      <c r="B87" s="97"/>
      <c r="C87" s="8" t="s">
        <v>46</v>
      </c>
      <c r="D87" s="8" t="s">
        <v>43</v>
      </c>
      <c r="E87" s="4">
        <v>31</v>
      </c>
      <c r="F87" s="8">
        <v>14</v>
      </c>
      <c r="G87" s="8">
        <v>8</v>
      </c>
      <c r="H87" s="8">
        <v>68</v>
      </c>
      <c r="I87" s="8">
        <v>7</v>
      </c>
      <c r="J87" s="8">
        <v>83</v>
      </c>
      <c r="K87" s="8">
        <v>7</v>
      </c>
      <c r="L87" s="8">
        <v>55</v>
      </c>
      <c r="M87" s="8">
        <v>7</v>
      </c>
      <c r="N87" s="8">
        <v>3</v>
      </c>
      <c r="O87" s="8">
        <v>4</v>
      </c>
      <c r="P87" s="8">
        <v>69</v>
      </c>
      <c r="Q87" s="8">
        <v>219</v>
      </c>
      <c r="R87" s="8">
        <v>0</v>
      </c>
      <c r="S87" s="8">
        <v>208</v>
      </c>
      <c r="T87" s="8">
        <v>14</v>
      </c>
      <c r="U87" s="8">
        <v>62</v>
      </c>
      <c r="V87" s="24">
        <v>6.709677419354839</v>
      </c>
      <c r="W87" s="24">
        <v>47.926267281105993</v>
      </c>
      <c r="X87" s="24">
        <v>3.3548387096774195</v>
      </c>
      <c r="Y87" s="24">
        <v>3.6451612903225805</v>
      </c>
      <c r="Z87" s="24">
        <v>4.4285714285714288</v>
      </c>
    </row>
    <row r="88" spans="1:26" ht="15.75" x14ac:dyDescent="0.25">
      <c r="A88" s="79" t="s">
        <v>86</v>
      </c>
      <c r="B88" s="80"/>
      <c r="C88" s="80"/>
      <c r="D88" s="81"/>
      <c r="E88" s="4">
        <v>31</v>
      </c>
      <c r="F88" s="20">
        <v>35</v>
      </c>
      <c r="G88" s="20">
        <v>24</v>
      </c>
      <c r="H88" s="20">
        <v>216</v>
      </c>
      <c r="I88" s="20">
        <v>66</v>
      </c>
      <c r="J88" s="11">
        <v>306</v>
      </c>
      <c r="K88" s="20">
        <v>49</v>
      </c>
      <c r="L88" s="20">
        <v>204</v>
      </c>
      <c r="M88" s="11">
        <v>17</v>
      </c>
      <c r="N88" s="20">
        <v>7</v>
      </c>
      <c r="O88" s="20">
        <v>10</v>
      </c>
      <c r="P88" s="11">
        <v>270</v>
      </c>
      <c r="Q88" s="20">
        <v>800</v>
      </c>
      <c r="R88" s="20">
        <v>0</v>
      </c>
      <c r="S88" s="20">
        <v>749</v>
      </c>
      <c r="T88" s="11">
        <v>36</v>
      </c>
      <c r="U88" s="11">
        <v>221</v>
      </c>
      <c r="V88" s="22">
        <v>24.161290322580644</v>
      </c>
      <c r="W88" s="12">
        <v>69.032258064516128</v>
      </c>
      <c r="X88" s="12">
        <v>3.3891402714932126</v>
      </c>
      <c r="Y88" s="12">
        <v>1.5203619909502264</v>
      </c>
      <c r="Z88" s="12">
        <v>6.3142857142857141</v>
      </c>
    </row>
    <row r="91" spans="1:26" x14ac:dyDescent="0.25">
      <c r="A91" s="78" t="s">
        <v>1</v>
      </c>
      <c r="B91" s="78" t="s">
        <v>2</v>
      </c>
      <c r="C91" s="72" t="s">
        <v>3</v>
      </c>
      <c r="D91" s="72" t="s">
        <v>4</v>
      </c>
      <c r="E91" s="75" t="s">
        <v>5</v>
      </c>
      <c r="F91" s="72" t="s">
        <v>6</v>
      </c>
      <c r="G91" s="72" t="s">
        <v>7</v>
      </c>
      <c r="H91" s="72" t="s">
        <v>8</v>
      </c>
      <c r="I91" s="75" t="s">
        <v>9</v>
      </c>
      <c r="J91" s="72" t="s">
        <v>10</v>
      </c>
      <c r="K91" s="72" t="s">
        <v>11</v>
      </c>
      <c r="L91" s="72" t="s">
        <v>12</v>
      </c>
      <c r="M91" s="72" t="s">
        <v>13</v>
      </c>
      <c r="N91" s="72" t="s">
        <v>14</v>
      </c>
      <c r="O91" s="72" t="s">
        <v>15</v>
      </c>
      <c r="P91" s="72" t="s">
        <v>16</v>
      </c>
      <c r="Q91" s="72" t="s">
        <v>17</v>
      </c>
      <c r="R91" s="72" t="s">
        <v>18</v>
      </c>
      <c r="S91" s="72" t="s">
        <v>19</v>
      </c>
      <c r="T91" s="72" t="s">
        <v>20</v>
      </c>
      <c r="U91" s="73" t="s">
        <v>21</v>
      </c>
      <c r="V91" s="2" t="s">
        <v>22</v>
      </c>
      <c r="W91" s="2" t="s">
        <v>23</v>
      </c>
      <c r="X91" s="2" t="s">
        <v>24</v>
      </c>
      <c r="Y91" s="2" t="s">
        <v>25</v>
      </c>
      <c r="Z91" s="2" t="s">
        <v>26</v>
      </c>
    </row>
    <row r="92" spans="1:26" x14ac:dyDescent="0.25">
      <c r="A92" s="78"/>
      <c r="B92" s="78"/>
      <c r="C92" s="72"/>
      <c r="D92" s="72"/>
      <c r="E92" s="75"/>
      <c r="F92" s="72"/>
      <c r="G92" s="72"/>
      <c r="H92" s="72"/>
      <c r="I92" s="75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3"/>
      <c r="V92" s="71" t="s">
        <v>27</v>
      </c>
      <c r="W92" s="71" t="s">
        <v>28</v>
      </c>
      <c r="X92" s="71" t="s">
        <v>29</v>
      </c>
      <c r="Y92" s="71" t="s">
        <v>30</v>
      </c>
      <c r="Z92" s="71" t="s">
        <v>31</v>
      </c>
    </row>
    <row r="93" spans="1:26" x14ac:dyDescent="0.25">
      <c r="A93" s="78"/>
      <c r="B93" s="78"/>
      <c r="C93" s="72"/>
      <c r="D93" s="72"/>
      <c r="E93" s="75"/>
      <c r="F93" s="72"/>
      <c r="G93" s="72"/>
      <c r="H93" s="72"/>
      <c r="I93" s="75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3"/>
      <c r="V93" s="74"/>
      <c r="W93" s="71"/>
      <c r="X93" s="71"/>
      <c r="Y93" s="71"/>
      <c r="Z93" s="71"/>
    </row>
    <row r="94" spans="1:26" x14ac:dyDescent="0.25">
      <c r="A94" s="78"/>
      <c r="B94" s="78"/>
      <c r="C94" s="72"/>
      <c r="D94" s="72"/>
      <c r="E94" s="75"/>
      <c r="F94" s="72"/>
      <c r="G94" s="3">
        <v>1</v>
      </c>
      <c r="H94" s="3">
        <v>2</v>
      </c>
      <c r="I94" s="3">
        <v>3</v>
      </c>
      <c r="J94" s="3">
        <v>4</v>
      </c>
      <c r="K94" s="3">
        <v>5</v>
      </c>
      <c r="L94" s="3">
        <v>6</v>
      </c>
      <c r="M94" s="3">
        <v>7</v>
      </c>
      <c r="N94" s="3">
        <v>8</v>
      </c>
      <c r="O94" s="3">
        <v>9</v>
      </c>
      <c r="P94" s="3">
        <v>10</v>
      </c>
      <c r="Q94" s="3">
        <v>11</v>
      </c>
      <c r="R94" s="3">
        <v>12</v>
      </c>
      <c r="S94" s="3">
        <v>13</v>
      </c>
      <c r="T94" s="3">
        <v>14</v>
      </c>
      <c r="U94" s="73"/>
      <c r="V94" s="16">
        <v>15</v>
      </c>
      <c r="W94" s="16">
        <v>16</v>
      </c>
      <c r="X94" s="16">
        <v>17</v>
      </c>
      <c r="Y94" s="16">
        <v>18</v>
      </c>
      <c r="Z94" s="16">
        <v>19</v>
      </c>
    </row>
    <row r="95" spans="1:26" ht="15.75" x14ac:dyDescent="0.25">
      <c r="A95" s="76">
        <v>1</v>
      </c>
      <c r="B95" s="96" t="s">
        <v>78</v>
      </c>
      <c r="C95" s="4" t="s">
        <v>44</v>
      </c>
      <c r="D95" s="4" t="s">
        <v>36</v>
      </c>
      <c r="E95" s="4">
        <v>31</v>
      </c>
      <c r="F95" s="4">
        <v>4</v>
      </c>
      <c r="G95" s="4">
        <v>4</v>
      </c>
      <c r="H95" s="4">
        <v>18</v>
      </c>
      <c r="I95" s="4">
        <v>2</v>
      </c>
      <c r="J95" s="5">
        <v>24</v>
      </c>
      <c r="K95" s="4">
        <v>1</v>
      </c>
      <c r="L95" s="4">
        <v>18</v>
      </c>
      <c r="M95" s="5">
        <v>1</v>
      </c>
      <c r="N95" s="4">
        <v>0</v>
      </c>
      <c r="O95" s="4">
        <v>1</v>
      </c>
      <c r="P95" s="5">
        <v>20</v>
      </c>
      <c r="Q95" s="4">
        <v>95</v>
      </c>
      <c r="R95" s="4">
        <v>0</v>
      </c>
      <c r="S95" s="4">
        <v>97</v>
      </c>
      <c r="T95" s="5">
        <v>4</v>
      </c>
      <c r="U95" s="5">
        <v>19</v>
      </c>
      <c r="V95" s="7">
        <v>3.129032258064516</v>
      </c>
      <c r="W95" s="7">
        <v>78.225806451612897</v>
      </c>
      <c r="X95" s="7">
        <v>5.1052631578947372</v>
      </c>
      <c r="Y95" s="6">
        <v>1.4210526315789476</v>
      </c>
      <c r="Z95" s="7">
        <v>4.75</v>
      </c>
    </row>
    <row r="96" spans="1:26" ht="15.75" x14ac:dyDescent="0.25">
      <c r="A96" s="77"/>
      <c r="B96" s="97"/>
      <c r="C96" s="8" t="s">
        <v>44</v>
      </c>
      <c r="D96" s="8" t="s">
        <v>36</v>
      </c>
      <c r="E96" s="4">
        <v>31</v>
      </c>
      <c r="F96" s="8">
        <v>4</v>
      </c>
      <c r="G96" s="8">
        <v>4</v>
      </c>
      <c r="H96" s="8">
        <v>18</v>
      </c>
      <c r="I96" s="8">
        <v>2</v>
      </c>
      <c r="J96" s="8">
        <v>24</v>
      </c>
      <c r="K96" s="8">
        <v>1</v>
      </c>
      <c r="L96" s="8">
        <v>18</v>
      </c>
      <c r="M96" s="8">
        <v>1</v>
      </c>
      <c r="N96" s="8">
        <v>0</v>
      </c>
      <c r="O96" s="8">
        <v>1</v>
      </c>
      <c r="P96" s="8">
        <v>20</v>
      </c>
      <c r="Q96" s="8">
        <v>95</v>
      </c>
      <c r="R96" s="8">
        <v>0</v>
      </c>
      <c r="S96" s="8">
        <v>97</v>
      </c>
      <c r="T96" s="8">
        <v>4</v>
      </c>
      <c r="U96" s="8">
        <v>19</v>
      </c>
      <c r="V96" s="24">
        <v>3.129032258064516</v>
      </c>
      <c r="W96" s="24">
        <v>78.225806451612897</v>
      </c>
      <c r="X96" s="24">
        <v>5.1052631578947372</v>
      </c>
      <c r="Y96" s="24">
        <v>1.4210526315789476</v>
      </c>
      <c r="Z96" s="24">
        <v>4.75</v>
      </c>
    </row>
    <row r="97" spans="1:26" ht="15.75" x14ac:dyDescent="0.25">
      <c r="A97" s="76">
        <v>2</v>
      </c>
      <c r="B97" s="97"/>
      <c r="C97" s="4" t="s">
        <v>45</v>
      </c>
      <c r="D97" s="4" t="s">
        <v>36</v>
      </c>
      <c r="E97" s="4">
        <v>31</v>
      </c>
      <c r="F97" s="4">
        <v>8</v>
      </c>
      <c r="G97" s="4">
        <v>3</v>
      </c>
      <c r="H97" s="4">
        <v>61</v>
      </c>
      <c r="I97" s="4">
        <v>24</v>
      </c>
      <c r="J97" s="5">
        <v>88</v>
      </c>
      <c r="K97" s="4">
        <v>5</v>
      </c>
      <c r="L97" s="4">
        <v>62</v>
      </c>
      <c r="M97" s="5">
        <v>8</v>
      </c>
      <c r="N97" s="4">
        <v>2</v>
      </c>
      <c r="O97" s="4">
        <v>6</v>
      </c>
      <c r="P97" s="5">
        <v>75</v>
      </c>
      <c r="Q97" s="4">
        <v>215</v>
      </c>
      <c r="R97" s="4">
        <v>0</v>
      </c>
      <c r="S97" s="4">
        <v>185</v>
      </c>
      <c r="T97" s="5">
        <v>13</v>
      </c>
      <c r="U97" s="5">
        <v>70</v>
      </c>
      <c r="V97" s="7">
        <v>5.967741935483871</v>
      </c>
      <c r="W97" s="7">
        <v>74.596774193548384</v>
      </c>
      <c r="X97" s="7">
        <v>2.6428571428571428</v>
      </c>
      <c r="Y97" s="6">
        <v>0.9</v>
      </c>
      <c r="Z97" s="7">
        <v>8.75</v>
      </c>
    </row>
    <row r="98" spans="1:26" ht="15.75" x14ac:dyDescent="0.25">
      <c r="A98" s="77"/>
      <c r="B98" s="97"/>
      <c r="C98" s="8" t="s">
        <v>45</v>
      </c>
      <c r="D98" s="8" t="s">
        <v>36</v>
      </c>
      <c r="E98" s="4">
        <v>31</v>
      </c>
      <c r="F98" s="8">
        <v>8</v>
      </c>
      <c r="G98" s="8">
        <v>3</v>
      </c>
      <c r="H98" s="8">
        <v>61</v>
      </c>
      <c r="I98" s="8">
        <v>24</v>
      </c>
      <c r="J98" s="8">
        <v>88</v>
      </c>
      <c r="K98" s="8">
        <v>5</v>
      </c>
      <c r="L98" s="8">
        <v>62</v>
      </c>
      <c r="M98" s="8">
        <v>8</v>
      </c>
      <c r="N98" s="8">
        <v>2</v>
      </c>
      <c r="O98" s="8">
        <v>6</v>
      </c>
      <c r="P98" s="8">
        <v>75</v>
      </c>
      <c r="Q98" s="8">
        <v>215</v>
      </c>
      <c r="R98" s="8">
        <v>0</v>
      </c>
      <c r="S98" s="8">
        <v>185</v>
      </c>
      <c r="T98" s="8">
        <v>13</v>
      </c>
      <c r="U98" s="8">
        <v>70</v>
      </c>
      <c r="V98" s="24">
        <v>5.967741935483871</v>
      </c>
      <c r="W98" s="24">
        <v>74.596774193548384</v>
      </c>
      <c r="X98" s="24">
        <v>2.6428571428571428</v>
      </c>
      <c r="Y98" s="24">
        <v>0.9</v>
      </c>
      <c r="Z98" s="24">
        <v>8.75</v>
      </c>
    </row>
    <row r="99" spans="1:26" ht="15.75" x14ac:dyDescent="0.25">
      <c r="A99" s="76">
        <v>3</v>
      </c>
      <c r="B99" s="97"/>
      <c r="C99" s="4" t="s">
        <v>56</v>
      </c>
      <c r="D99" s="4" t="s">
        <v>36</v>
      </c>
      <c r="E99" s="4">
        <v>31</v>
      </c>
      <c r="F99" s="4">
        <v>8</v>
      </c>
      <c r="G99" s="4">
        <v>5</v>
      </c>
      <c r="H99" s="4">
        <v>64</v>
      </c>
      <c r="I99" s="4">
        <v>106</v>
      </c>
      <c r="J99" s="5">
        <v>175</v>
      </c>
      <c r="K99" s="4">
        <v>134</v>
      </c>
      <c r="L99" s="4">
        <v>32</v>
      </c>
      <c r="M99" s="5">
        <v>0</v>
      </c>
      <c r="N99" s="4">
        <v>0</v>
      </c>
      <c r="O99" s="4">
        <v>0</v>
      </c>
      <c r="P99" s="5">
        <v>166</v>
      </c>
      <c r="Q99" s="4">
        <v>85</v>
      </c>
      <c r="R99" s="4">
        <v>0</v>
      </c>
      <c r="S99" s="4">
        <v>149</v>
      </c>
      <c r="T99" s="5">
        <v>9</v>
      </c>
      <c r="U99" s="5">
        <v>32</v>
      </c>
      <c r="V99" s="7">
        <v>4.806451612903226</v>
      </c>
      <c r="W99" s="7">
        <v>60.080645161290327</v>
      </c>
      <c r="X99" s="7">
        <v>4.65625</v>
      </c>
      <c r="Y99" s="6">
        <v>3.09375</v>
      </c>
      <c r="Z99" s="7">
        <v>4</v>
      </c>
    </row>
    <row r="100" spans="1:26" ht="15.75" x14ac:dyDescent="0.25">
      <c r="A100" s="98"/>
      <c r="B100" s="97"/>
      <c r="C100" s="4" t="s">
        <v>60</v>
      </c>
      <c r="D100" s="4" t="s">
        <v>36</v>
      </c>
      <c r="E100" s="4">
        <v>31</v>
      </c>
      <c r="F100" s="4">
        <v>0</v>
      </c>
      <c r="G100" s="4">
        <v>0</v>
      </c>
      <c r="H100" s="4">
        <v>0</v>
      </c>
      <c r="I100" s="4">
        <v>0</v>
      </c>
      <c r="J100" s="5">
        <v>0</v>
      </c>
      <c r="K100" s="4">
        <v>0</v>
      </c>
      <c r="L100" s="4">
        <v>0</v>
      </c>
      <c r="M100" s="5">
        <v>0</v>
      </c>
      <c r="N100" s="4">
        <v>0</v>
      </c>
      <c r="O100" s="4">
        <v>0</v>
      </c>
      <c r="P100" s="5">
        <v>0</v>
      </c>
      <c r="Q100" s="4">
        <v>0</v>
      </c>
      <c r="R100" s="4">
        <v>0</v>
      </c>
      <c r="S100" s="4">
        <v>0</v>
      </c>
      <c r="T100" s="5">
        <v>0</v>
      </c>
      <c r="U100" s="5">
        <v>0</v>
      </c>
      <c r="V100" s="7">
        <v>0</v>
      </c>
      <c r="W100" s="7" t="e">
        <v>#DIV/0!</v>
      </c>
      <c r="X100" s="7" t="e">
        <v>#DIV/0!</v>
      </c>
      <c r="Y100" s="6" t="e">
        <v>#DIV/0!</v>
      </c>
      <c r="Z100" s="7" t="e">
        <v>#DIV/0!</v>
      </c>
    </row>
    <row r="101" spans="1:26" ht="15.75" x14ac:dyDescent="0.25">
      <c r="A101" s="77"/>
      <c r="B101" s="97"/>
      <c r="C101" s="8" t="s">
        <v>77</v>
      </c>
      <c r="D101" s="8" t="s">
        <v>36</v>
      </c>
      <c r="E101" s="4">
        <v>31</v>
      </c>
      <c r="F101" s="8">
        <v>8</v>
      </c>
      <c r="G101" s="8">
        <v>5</v>
      </c>
      <c r="H101" s="8">
        <v>64</v>
      </c>
      <c r="I101" s="8">
        <v>106</v>
      </c>
      <c r="J101" s="8">
        <v>175</v>
      </c>
      <c r="K101" s="8">
        <v>134</v>
      </c>
      <c r="L101" s="8">
        <v>32</v>
      </c>
      <c r="M101" s="8">
        <v>0</v>
      </c>
      <c r="N101" s="8">
        <v>0</v>
      </c>
      <c r="O101" s="8">
        <v>0</v>
      </c>
      <c r="P101" s="8">
        <v>166</v>
      </c>
      <c r="Q101" s="8">
        <v>85</v>
      </c>
      <c r="R101" s="8">
        <v>0</v>
      </c>
      <c r="S101" s="8">
        <v>149</v>
      </c>
      <c r="T101" s="8">
        <v>9</v>
      </c>
      <c r="U101" s="8">
        <v>32</v>
      </c>
      <c r="V101" s="24">
        <v>4.806451612903226</v>
      </c>
      <c r="W101" s="24">
        <v>60.080645161290327</v>
      </c>
      <c r="X101" s="24">
        <v>4.65625</v>
      </c>
      <c r="Y101" s="24">
        <v>3.09375</v>
      </c>
      <c r="Z101" s="24">
        <v>4</v>
      </c>
    </row>
    <row r="102" spans="1:26" ht="15.75" x14ac:dyDescent="0.25">
      <c r="A102" s="76">
        <v>4</v>
      </c>
      <c r="B102" s="97"/>
      <c r="C102" s="5" t="s">
        <v>37</v>
      </c>
      <c r="D102" s="5" t="s">
        <v>36</v>
      </c>
      <c r="E102" s="4">
        <v>31</v>
      </c>
      <c r="F102" s="5">
        <v>2</v>
      </c>
      <c r="G102" s="5">
        <v>1</v>
      </c>
      <c r="H102" s="5">
        <v>12</v>
      </c>
      <c r="I102" s="5">
        <v>4</v>
      </c>
      <c r="J102" s="5">
        <v>17</v>
      </c>
      <c r="K102" s="5">
        <v>7</v>
      </c>
      <c r="L102" s="5">
        <v>9</v>
      </c>
      <c r="M102" s="5">
        <v>0</v>
      </c>
      <c r="N102" s="5">
        <v>0</v>
      </c>
      <c r="O102" s="5">
        <v>0</v>
      </c>
      <c r="P102" s="5">
        <v>16</v>
      </c>
      <c r="Q102" s="5">
        <v>35</v>
      </c>
      <c r="R102" s="5">
        <v>0</v>
      </c>
      <c r="S102" s="5">
        <v>36</v>
      </c>
      <c r="T102" s="5">
        <v>1</v>
      </c>
      <c r="U102" s="5">
        <v>9</v>
      </c>
      <c r="V102" s="7">
        <v>1.1612903225806452</v>
      </c>
      <c r="W102" s="7">
        <v>58.064516129032263</v>
      </c>
      <c r="X102" s="7">
        <v>4</v>
      </c>
      <c r="Y102" s="6">
        <v>2.8888888888888884</v>
      </c>
      <c r="Z102" s="7">
        <v>4.5</v>
      </c>
    </row>
    <row r="103" spans="1:26" ht="15.75" x14ac:dyDescent="0.25">
      <c r="A103" s="77"/>
      <c r="B103" s="97"/>
      <c r="C103" s="8" t="s">
        <v>37</v>
      </c>
      <c r="D103" s="8" t="s">
        <v>36</v>
      </c>
      <c r="E103" s="4">
        <v>31</v>
      </c>
      <c r="F103" s="8">
        <v>2</v>
      </c>
      <c r="G103" s="8">
        <v>1</v>
      </c>
      <c r="H103" s="8">
        <v>12</v>
      </c>
      <c r="I103" s="8">
        <v>4</v>
      </c>
      <c r="J103" s="8">
        <v>17</v>
      </c>
      <c r="K103" s="8">
        <v>7</v>
      </c>
      <c r="L103" s="8">
        <v>9</v>
      </c>
      <c r="M103" s="8">
        <v>0</v>
      </c>
      <c r="N103" s="8">
        <v>0</v>
      </c>
      <c r="O103" s="8">
        <v>0</v>
      </c>
      <c r="P103" s="8">
        <v>16</v>
      </c>
      <c r="Q103" s="8">
        <v>35</v>
      </c>
      <c r="R103" s="8">
        <v>0</v>
      </c>
      <c r="S103" s="8">
        <v>36</v>
      </c>
      <c r="T103" s="8">
        <v>1</v>
      </c>
      <c r="U103" s="8">
        <v>9</v>
      </c>
      <c r="V103" s="24">
        <v>1.1612903225806452</v>
      </c>
      <c r="W103" s="24">
        <v>58.064516129032263</v>
      </c>
      <c r="X103" s="24">
        <v>4</v>
      </c>
      <c r="Y103" s="24">
        <v>2.8888888888888884</v>
      </c>
      <c r="Z103" s="24">
        <v>4.5</v>
      </c>
    </row>
    <row r="104" spans="1:26" ht="15.75" x14ac:dyDescent="0.25">
      <c r="A104" s="79" t="s">
        <v>83</v>
      </c>
      <c r="B104" s="80"/>
      <c r="C104" s="80"/>
      <c r="D104" s="81"/>
      <c r="E104" s="4">
        <v>31</v>
      </c>
      <c r="F104" s="20">
        <v>22</v>
      </c>
      <c r="G104" s="20">
        <v>13</v>
      </c>
      <c r="H104" s="20">
        <v>155</v>
      </c>
      <c r="I104" s="20">
        <v>136</v>
      </c>
      <c r="J104" s="11">
        <v>304</v>
      </c>
      <c r="K104" s="20">
        <v>147</v>
      </c>
      <c r="L104" s="20">
        <v>121</v>
      </c>
      <c r="M104" s="11">
        <v>9</v>
      </c>
      <c r="N104" s="20">
        <v>2</v>
      </c>
      <c r="O104" s="20">
        <v>7</v>
      </c>
      <c r="P104" s="11">
        <v>277</v>
      </c>
      <c r="Q104" s="20">
        <v>430</v>
      </c>
      <c r="R104" s="20">
        <v>0</v>
      </c>
      <c r="S104" s="20">
        <v>467</v>
      </c>
      <c r="T104" s="11">
        <v>27</v>
      </c>
      <c r="U104" s="11">
        <v>130</v>
      </c>
      <c r="V104" s="22">
        <v>15.064516129032258</v>
      </c>
      <c r="W104" s="12">
        <v>68.475073313782985</v>
      </c>
      <c r="X104" s="12">
        <v>3.5923076923076924</v>
      </c>
      <c r="Y104" s="12">
        <v>1.6538461538461537</v>
      </c>
      <c r="Z104" s="12">
        <v>5.9090909090909092</v>
      </c>
    </row>
    <row r="107" spans="1:26" x14ac:dyDescent="0.25">
      <c r="A107" s="78" t="s">
        <v>1</v>
      </c>
      <c r="B107" s="78" t="s">
        <v>2</v>
      </c>
      <c r="C107" s="72" t="s">
        <v>3</v>
      </c>
      <c r="D107" s="72" t="s">
        <v>4</v>
      </c>
      <c r="E107" s="75" t="s">
        <v>5</v>
      </c>
      <c r="F107" s="72" t="s">
        <v>6</v>
      </c>
      <c r="G107" s="72" t="s">
        <v>7</v>
      </c>
      <c r="H107" s="72" t="s">
        <v>8</v>
      </c>
      <c r="I107" s="75" t="s">
        <v>9</v>
      </c>
      <c r="J107" s="72" t="s">
        <v>10</v>
      </c>
      <c r="K107" s="72" t="s">
        <v>11</v>
      </c>
      <c r="L107" s="72" t="s">
        <v>12</v>
      </c>
      <c r="M107" s="72" t="s">
        <v>13</v>
      </c>
      <c r="N107" s="72" t="s">
        <v>14</v>
      </c>
      <c r="O107" s="72" t="s">
        <v>15</v>
      </c>
      <c r="P107" s="72" t="s">
        <v>16</v>
      </c>
      <c r="Q107" s="72" t="s">
        <v>17</v>
      </c>
      <c r="R107" s="72" t="s">
        <v>18</v>
      </c>
      <c r="S107" s="72" t="s">
        <v>19</v>
      </c>
      <c r="T107" s="72" t="s">
        <v>20</v>
      </c>
      <c r="U107" s="73" t="s">
        <v>21</v>
      </c>
      <c r="V107" s="2" t="s">
        <v>22</v>
      </c>
      <c r="W107" s="2" t="s">
        <v>23</v>
      </c>
      <c r="X107" s="2" t="s">
        <v>24</v>
      </c>
      <c r="Y107" s="2" t="s">
        <v>25</v>
      </c>
      <c r="Z107" s="2" t="s">
        <v>26</v>
      </c>
    </row>
    <row r="108" spans="1:26" x14ac:dyDescent="0.25">
      <c r="A108" s="78"/>
      <c r="B108" s="78"/>
      <c r="C108" s="72"/>
      <c r="D108" s="72"/>
      <c r="E108" s="75"/>
      <c r="F108" s="72"/>
      <c r="G108" s="72"/>
      <c r="H108" s="72"/>
      <c r="I108" s="75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3"/>
      <c r="V108" s="71" t="s">
        <v>27</v>
      </c>
      <c r="W108" s="71" t="s">
        <v>28</v>
      </c>
      <c r="X108" s="71" t="s">
        <v>29</v>
      </c>
      <c r="Y108" s="71" t="s">
        <v>30</v>
      </c>
      <c r="Z108" s="71" t="s">
        <v>31</v>
      </c>
    </row>
    <row r="109" spans="1:26" x14ac:dyDescent="0.25">
      <c r="A109" s="78"/>
      <c r="B109" s="78"/>
      <c r="C109" s="72"/>
      <c r="D109" s="72"/>
      <c r="E109" s="75"/>
      <c r="F109" s="72"/>
      <c r="G109" s="72"/>
      <c r="H109" s="72"/>
      <c r="I109" s="75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3"/>
      <c r="V109" s="74"/>
      <c r="W109" s="71"/>
      <c r="X109" s="71"/>
      <c r="Y109" s="71"/>
      <c r="Z109" s="71"/>
    </row>
    <row r="110" spans="1:26" x14ac:dyDescent="0.25">
      <c r="A110" s="78"/>
      <c r="B110" s="78"/>
      <c r="C110" s="72"/>
      <c r="D110" s="72"/>
      <c r="E110" s="75"/>
      <c r="F110" s="72"/>
      <c r="G110" s="3">
        <v>1</v>
      </c>
      <c r="H110" s="3">
        <v>2</v>
      </c>
      <c r="I110" s="3">
        <v>3</v>
      </c>
      <c r="J110" s="3">
        <v>4</v>
      </c>
      <c r="K110" s="3">
        <v>5</v>
      </c>
      <c r="L110" s="3">
        <v>6</v>
      </c>
      <c r="M110" s="3">
        <v>7</v>
      </c>
      <c r="N110" s="3">
        <v>8</v>
      </c>
      <c r="O110" s="3">
        <v>9</v>
      </c>
      <c r="P110" s="3">
        <v>10</v>
      </c>
      <c r="Q110" s="3">
        <v>11</v>
      </c>
      <c r="R110" s="3">
        <v>12</v>
      </c>
      <c r="S110" s="3">
        <v>13</v>
      </c>
      <c r="T110" s="3">
        <v>14</v>
      </c>
      <c r="U110" s="73"/>
      <c r="V110" s="16">
        <v>15</v>
      </c>
      <c r="W110" s="16">
        <v>16</v>
      </c>
      <c r="X110" s="16">
        <v>17</v>
      </c>
      <c r="Y110" s="16">
        <v>18</v>
      </c>
      <c r="Z110" s="16">
        <v>19</v>
      </c>
    </row>
    <row r="111" spans="1:26" ht="15.75" x14ac:dyDescent="0.25">
      <c r="A111" s="76">
        <v>1</v>
      </c>
      <c r="B111" s="90" t="s">
        <v>79</v>
      </c>
      <c r="C111" s="4" t="s">
        <v>44</v>
      </c>
      <c r="D111" s="4" t="s">
        <v>32</v>
      </c>
      <c r="E111" s="4">
        <v>31</v>
      </c>
      <c r="F111" s="4">
        <v>12</v>
      </c>
      <c r="G111" s="4">
        <v>9</v>
      </c>
      <c r="H111" s="4">
        <v>67</v>
      </c>
      <c r="I111" s="4">
        <v>8</v>
      </c>
      <c r="J111" s="5">
        <v>84</v>
      </c>
      <c r="K111" s="4">
        <v>2</v>
      </c>
      <c r="L111" s="4">
        <v>64</v>
      </c>
      <c r="M111" s="5">
        <v>6</v>
      </c>
      <c r="N111" s="4">
        <v>0</v>
      </c>
      <c r="O111" s="4">
        <v>6</v>
      </c>
      <c r="P111" s="5">
        <v>72</v>
      </c>
      <c r="Q111" s="4">
        <v>297</v>
      </c>
      <c r="R111" s="4">
        <v>0</v>
      </c>
      <c r="S111" s="4">
        <v>280</v>
      </c>
      <c r="T111" s="5">
        <v>12</v>
      </c>
      <c r="U111" s="5">
        <v>70</v>
      </c>
      <c r="V111" s="7">
        <v>9.0322580645161299</v>
      </c>
      <c r="W111" s="7">
        <v>75.268817204301087</v>
      </c>
      <c r="X111" s="7">
        <v>4</v>
      </c>
      <c r="Y111" s="6">
        <v>1.3142857142857138</v>
      </c>
      <c r="Z111" s="7">
        <v>5.833333333333333</v>
      </c>
    </row>
    <row r="112" spans="1:26" ht="15.75" x14ac:dyDescent="0.25">
      <c r="A112" s="77"/>
      <c r="B112" s="91"/>
      <c r="C112" s="8" t="s">
        <v>44</v>
      </c>
      <c r="D112" s="4" t="s">
        <v>32</v>
      </c>
      <c r="E112" s="4">
        <v>31</v>
      </c>
      <c r="F112" s="8">
        <v>12</v>
      </c>
      <c r="G112" s="8">
        <v>9</v>
      </c>
      <c r="H112" s="8">
        <v>67</v>
      </c>
      <c r="I112" s="8">
        <v>8</v>
      </c>
      <c r="J112" s="8">
        <v>84</v>
      </c>
      <c r="K112" s="8">
        <v>2</v>
      </c>
      <c r="L112" s="8">
        <v>64</v>
      </c>
      <c r="M112" s="8">
        <v>6</v>
      </c>
      <c r="N112" s="8">
        <v>0</v>
      </c>
      <c r="O112" s="8">
        <v>6</v>
      </c>
      <c r="P112" s="8">
        <v>72</v>
      </c>
      <c r="Q112" s="8">
        <v>297</v>
      </c>
      <c r="R112" s="8">
        <v>0</v>
      </c>
      <c r="S112" s="8">
        <v>280</v>
      </c>
      <c r="T112" s="8">
        <v>12</v>
      </c>
      <c r="U112" s="8">
        <v>70</v>
      </c>
      <c r="V112" s="24">
        <v>9.0322580645161299</v>
      </c>
      <c r="W112" s="24">
        <v>75.268817204301087</v>
      </c>
      <c r="X112" s="24">
        <v>4</v>
      </c>
      <c r="Y112" s="24">
        <v>1.3142857142857138</v>
      </c>
      <c r="Z112" s="24">
        <v>5.833333333333333</v>
      </c>
    </row>
    <row r="113" spans="1:26" ht="15.75" x14ac:dyDescent="0.25">
      <c r="A113" s="76">
        <v>2</v>
      </c>
      <c r="B113" s="91"/>
      <c r="C113" s="4" t="s">
        <v>55</v>
      </c>
      <c r="D113" s="4" t="s">
        <v>32</v>
      </c>
      <c r="E113" s="4">
        <v>31</v>
      </c>
      <c r="F113" s="4">
        <v>14</v>
      </c>
      <c r="G113" s="4">
        <v>8</v>
      </c>
      <c r="H113" s="4">
        <v>125</v>
      </c>
      <c r="I113" s="4">
        <v>16</v>
      </c>
      <c r="J113" s="5">
        <v>149</v>
      </c>
      <c r="K113" s="4">
        <v>12</v>
      </c>
      <c r="L113" s="4">
        <v>104</v>
      </c>
      <c r="M113" s="5">
        <v>17</v>
      </c>
      <c r="N113" s="4">
        <v>7</v>
      </c>
      <c r="O113" s="4">
        <v>10</v>
      </c>
      <c r="P113" s="5">
        <v>133</v>
      </c>
      <c r="Q113" s="4">
        <v>451</v>
      </c>
      <c r="R113" s="4">
        <v>0</v>
      </c>
      <c r="S113" s="4">
        <v>420</v>
      </c>
      <c r="T113" s="5">
        <v>16</v>
      </c>
      <c r="U113" s="5">
        <v>121</v>
      </c>
      <c r="V113" s="7">
        <v>13.548387096774194</v>
      </c>
      <c r="W113" s="7">
        <v>96.774193548387103</v>
      </c>
      <c r="X113" s="7">
        <v>3.4710743801652892</v>
      </c>
      <c r="Y113" s="6">
        <v>0.11570247933884287</v>
      </c>
      <c r="Z113" s="7">
        <v>8.6428571428571423</v>
      </c>
    </row>
    <row r="114" spans="1:26" ht="15.75" x14ac:dyDescent="0.25">
      <c r="A114" s="77"/>
      <c r="B114" s="91"/>
      <c r="C114" s="8" t="s">
        <v>55</v>
      </c>
      <c r="D114" s="4" t="s">
        <v>32</v>
      </c>
      <c r="E114" s="4">
        <v>31</v>
      </c>
      <c r="F114" s="8">
        <v>14</v>
      </c>
      <c r="G114" s="8">
        <v>8</v>
      </c>
      <c r="H114" s="8">
        <v>125</v>
      </c>
      <c r="I114" s="8">
        <v>16</v>
      </c>
      <c r="J114" s="8">
        <v>149</v>
      </c>
      <c r="K114" s="8">
        <v>12</v>
      </c>
      <c r="L114" s="8">
        <v>104</v>
      </c>
      <c r="M114" s="8">
        <v>17</v>
      </c>
      <c r="N114" s="8">
        <v>7</v>
      </c>
      <c r="O114" s="8">
        <v>10</v>
      </c>
      <c r="P114" s="8">
        <v>133</v>
      </c>
      <c r="Q114" s="8">
        <v>451</v>
      </c>
      <c r="R114" s="8">
        <v>0</v>
      </c>
      <c r="S114" s="8">
        <v>420</v>
      </c>
      <c r="T114" s="8">
        <v>16</v>
      </c>
      <c r="U114" s="8">
        <v>121</v>
      </c>
      <c r="V114" s="24">
        <v>13.548387096774194</v>
      </c>
      <c r="W114" s="24">
        <v>96.774193548387103</v>
      </c>
      <c r="X114" s="24">
        <v>3.4710743801652892</v>
      </c>
      <c r="Y114" s="24">
        <v>0.11570247933884287</v>
      </c>
      <c r="Z114" s="24">
        <v>8.6428571428571423</v>
      </c>
    </row>
    <row r="115" spans="1:26" ht="15.75" x14ac:dyDescent="0.25">
      <c r="A115" s="76">
        <v>3</v>
      </c>
      <c r="B115" s="91"/>
      <c r="C115" s="4" t="s">
        <v>74</v>
      </c>
      <c r="D115" s="4" t="s">
        <v>32</v>
      </c>
      <c r="E115" s="4">
        <v>31</v>
      </c>
      <c r="F115" s="4">
        <v>15</v>
      </c>
      <c r="G115" s="4">
        <v>13</v>
      </c>
      <c r="H115" s="4">
        <v>137</v>
      </c>
      <c r="I115" s="4">
        <v>5</v>
      </c>
      <c r="J115" s="5">
        <v>155</v>
      </c>
      <c r="K115" s="4">
        <v>11</v>
      </c>
      <c r="L115" s="4">
        <v>89</v>
      </c>
      <c r="M115" s="5">
        <v>38</v>
      </c>
      <c r="N115" s="4">
        <v>21</v>
      </c>
      <c r="O115" s="4">
        <v>17</v>
      </c>
      <c r="P115" s="5">
        <v>138</v>
      </c>
      <c r="Q115" s="4">
        <v>546</v>
      </c>
      <c r="R115" s="4">
        <v>2</v>
      </c>
      <c r="S115" s="4">
        <v>518</v>
      </c>
      <c r="T115" s="5">
        <v>17</v>
      </c>
      <c r="U115" s="5">
        <v>127</v>
      </c>
      <c r="V115" s="7">
        <v>16.70967741935484</v>
      </c>
      <c r="W115" s="7">
        <v>111.3978494623656</v>
      </c>
      <c r="X115" s="7">
        <v>4.0787401574803148</v>
      </c>
      <c r="Y115" s="6">
        <v>-0.41732283464566955</v>
      </c>
      <c r="Z115" s="7">
        <v>8.4666666666666668</v>
      </c>
    </row>
    <row r="116" spans="1:26" ht="15.75" x14ac:dyDescent="0.25">
      <c r="A116" s="77"/>
      <c r="B116" s="91"/>
      <c r="C116" s="8" t="s">
        <v>74</v>
      </c>
      <c r="D116" s="4" t="s">
        <v>32</v>
      </c>
      <c r="E116" s="4">
        <v>31</v>
      </c>
      <c r="F116" s="8">
        <v>15</v>
      </c>
      <c r="G116" s="8">
        <v>13</v>
      </c>
      <c r="H116" s="8">
        <v>137</v>
      </c>
      <c r="I116" s="8">
        <v>5</v>
      </c>
      <c r="J116" s="8">
        <v>155</v>
      </c>
      <c r="K116" s="8">
        <v>11</v>
      </c>
      <c r="L116" s="8">
        <v>89</v>
      </c>
      <c r="M116" s="8">
        <v>38</v>
      </c>
      <c r="N116" s="8">
        <v>21</v>
      </c>
      <c r="O116" s="8">
        <v>17</v>
      </c>
      <c r="P116" s="8">
        <v>138</v>
      </c>
      <c r="Q116" s="8">
        <v>546</v>
      </c>
      <c r="R116" s="8">
        <v>2</v>
      </c>
      <c r="S116" s="8">
        <v>518</v>
      </c>
      <c r="T116" s="8">
        <v>17</v>
      </c>
      <c r="U116" s="8">
        <v>127</v>
      </c>
      <c r="V116" s="24">
        <v>16.70967741935484</v>
      </c>
      <c r="W116" s="24">
        <v>111.3978494623656</v>
      </c>
      <c r="X116" s="24">
        <v>4.0787401574803148</v>
      </c>
      <c r="Y116" s="24">
        <v>-0.41732283464566955</v>
      </c>
      <c r="Z116" s="24">
        <v>8.4666666666666668</v>
      </c>
    </row>
    <row r="117" spans="1:26" ht="15.75" x14ac:dyDescent="0.25">
      <c r="A117" s="76">
        <v>4</v>
      </c>
      <c r="B117" s="91"/>
      <c r="C117" s="5" t="s">
        <v>39</v>
      </c>
      <c r="D117" s="4" t="s">
        <v>32</v>
      </c>
      <c r="E117" s="4">
        <v>31</v>
      </c>
      <c r="F117" s="5">
        <v>24</v>
      </c>
      <c r="G117" s="5">
        <v>16</v>
      </c>
      <c r="H117" s="5">
        <v>160</v>
      </c>
      <c r="I117" s="5">
        <v>3</v>
      </c>
      <c r="J117" s="5">
        <v>179</v>
      </c>
      <c r="K117" s="5">
        <v>8</v>
      </c>
      <c r="L117" s="5">
        <v>140</v>
      </c>
      <c r="M117" s="5">
        <v>7</v>
      </c>
      <c r="N117" s="5">
        <v>3</v>
      </c>
      <c r="O117" s="5">
        <v>4</v>
      </c>
      <c r="P117" s="5">
        <v>155</v>
      </c>
      <c r="Q117" s="5">
        <v>491</v>
      </c>
      <c r="R117" s="5">
        <v>0</v>
      </c>
      <c r="S117" s="5">
        <v>490</v>
      </c>
      <c r="T117" s="5">
        <v>24</v>
      </c>
      <c r="U117" s="5">
        <v>147</v>
      </c>
      <c r="V117" s="7">
        <v>15.806451612903226</v>
      </c>
      <c r="W117" s="7">
        <v>65.86021505376344</v>
      </c>
      <c r="X117" s="7">
        <v>3.3333333333333335</v>
      </c>
      <c r="Y117" s="6">
        <v>1.727891156462585</v>
      </c>
      <c r="Z117" s="7">
        <v>6.125</v>
      </c>
    </row>
    <row r="118" spans="1:26" ht="15.75" x14ac:dyDescent="0.25">
      <c r="A118" s="77"/>
      <c r="B118" s="91"/>
      <c r="C118" s="8" t="s">
        <v>39</v>
      </c>
      <c r="D118" s="4" t="s">
        <v>32</v>
      </c>
      <c r="E118" s="4">
        <v>31</v>
      </c>
      <c r="F118" s="8">
        <v>24</v>
      </c>
      <c r="G118" s="8">
        <v>16</v>
      </c>
      <c r="H118" s="8">
        <v>160</v>
      </c>
      <c r="I118" s="8">
        <v>3</v>
      </c>
      <c r="J118" s="8">
        <v>179</v>
      </c>
      <c r="K118" s="8">
        <v>8</v>
      </c>
      <c r="L118" s="8">
        <v>140</v>
      </c>
      <c r="M118" s="8">
        <v>7</v>
      </c>
      <c r="N118" s="8">
        <v>3</v>
      </c>
      <c r="O118" s="8">
        <v>4</v>
      </c>
      <c r="P118" s="8">
        <v>155</v>
      </c>
      <c r="Q118" s="8">
        <v>491</v>
      </c>
      <c r="R118" s="8">
        <v>0</v>
      </c>
      <c r="S118" s="8">
        <v>490</v>
      </c>
      <c r="T118" s="8">
        <v>24</v>
      </c>
      <c r="U118" s="8">
        <v>147</v>
      </c>
      <c r="V118" s="24">
        <v>15.806451612903226</v>
      </c>
      <c r="W118" s="24">
        <v>65.86021505376344</v>
      </c>
      <c r="X118" s="24">
        <v>3.3333333333333335</v>
      </c>
      <c r="Y118" s="24">
        <v>1.727891156462585</v>
      </c>
      <c r="Z118" s="24">
        <v>6.125</v>
      </c>
    </row>
    <row r="119" spans="1:26" ht="15.75" x14ac:dyDescent="0.25">
      <c r="A119" s="76">
        <v>5</v>
      </c>
      <c r="B119" s="91"/>
      <c r="C119" s="5" t="s">
        <v>41</v>
      </c>
      <c r="D119" s="4" t="s">
        <v>32</v>
      </c>
      <c r="E119" s="4">
        <v>31</v>
      </c>
      <c r="F119" s="5">
        <v>20</v>
      </c>
      <c r="G119" s="5">
        <v>10</v>
      </c>
      <c r="H119" s="5">
        <v>147</v>
      </c>
      <c r="I119" s="5">
        <v>4</v>
      </c>
      <c r="J119" s="5">
        <v>161</v>
      </c>
      <c r="K119" s="5">
        <v>10</v>
      </c>
      <c r="L119" s="5">
        <v>128</v>
      </c>
      <c r="M119" s="5">
        <v>3</v>
      </c>
      <c r="N119" s="5">
        <v>3</v>
      </c>
      <c r="O119" s="5">
        <v>0</v>
      </c>
      <c r="P119" s="5">
        <v>141</v>
      </c>
      <c r="Q119" s="5">
        <v>423</v>
      </c>
      <c r="R119" s="5">
        <v>1</v>
      </c>
      <c r="S119" s="5">
        <v>449</v>
      </c>
      <c r="T119" s="5">
        <v>20</v>
      </c>
      <c r="U119" s="5">
        <v>131</v>
      </c>
      <c r="V119" s="7">
        <v>14.483870967741936</v>
      </c>
      <c r="W119" s="7">
        <v>72.41935483870968</v>
      </c>
      <c r="X119" s="7">
        <v>3.4274809160305342</v>
      </c>
      <c r="Y119" s="6">
        <v>1.3053435114503817</v>
      </c>
      <c r="Z119" s="7">
        <v>6.55</v>
      </c>
    </row>
    <row r="120" spans="1:26" ht="15.75" x14ac:dyDescent="0.25">
      <c r="A120" s="77"/>
      <c r="B120" s="91"/>
      <c r="C120" s="8" t="s">
        <v>41</v>
      </c>
      <c r="D120" s="4" t="s">
        <v>32</v>
      </c>
      <c r="E120" s="4">
        <v>31</v>
      </c>
      <c r="F120" s="8">
        <v>20</v>
      </c>
      <c r="G120" s="8">
        <v>10</v>
      </c>
      <c r="H120" s="8">
        <v>147</v>
      </c>
      <c r="I120" s="8">
        <v>4</v>
      </c>
      <c r="J120" s="8">
        <v>161</v>
      </c>
      <c r="K120" s="8">
        <v>10</v>
      </c>
      <c r="L120" s="8">
        <v>128</v>
      </c>
      <c r="M120" s="8">
        <v>3</v>
      </c>
      <c r="N120" s="8">
        <v>3</v>
      </c>
      <c r="O120" s="8">
        <v>0</v>
      </c>
      <c r="P120" s="8">
        <v>141</v>
      </c>
      <c r="Q120" s="8">
        <v>423</v>
      </c>
      <c r="R120" s="8">
        <v>1</v>
      </c>
      <c r="S120" s="8">
        <v>449</v>
      </c>
      <c r="T120" s="8">
        <v>20</v>
      </c>
      <c r="U120" s="8">
        <v>131</v>
      </c>
      <c r="V120" s="24">
        <v>14.483870967741936</v>
      </c>
      <c r="W120" s="24">
        <v>72.41935483870968</v>
      </c>
      <c r="X120" s="24">
        <v>3.4274809160305342</v>
      </c>
      <c r="Y120" s="24">
        <v>1.3053435114503817</v>
      </c>
      <c r="Z120" s="24">
        <v>6.55</v>
      </c>
    </row>
    <row r="121" spans="1:26" ht="15.75" x14ac:dyDescent="0.25">
      <c r="A121" s="76">
        <v>6</v>
      </c>
      <c r="B121" s="91"/>
      <c r="C121" s="5" t="s">
        <v>35</v>
      </c>
      <c r="D121" s="4" t="s">
        <v>32</v>
      </c>
      <c r="E121" s="4">
        <v>31</v>
      </c>
      <c r="F121" s="5">
        <v>12</v>
      </c>
      <c r="G121" s="5">
        <v>3</v>
      </c>
      <c r="H121" s="5">
        <v>90</v>
      </c>
      <c r="I121" s="5">
        <v>2</v>
      </c>
      <c r="J121" s="5">
        <v>95</v>
      </c>
      <c r="K121" s="5">
        <v>2</v>
      </c>
      <c r="L121" s="5">
        <v>73</v>
      </c>
      <c r="M121" s="5">
        <v>8</v>
      </c>
      <c r="N121" s="5">
        <v>1</v>
      </c>
      <c r="O121" s="5">
        <v>7</v>
      </c>
      <c r="P121" s="5">
        <v>83</v>
      </c>
      <c r="Q121" s="5">
        <v>251</v>
      </c>
      <c r="R121" s="5">
        <v>0</v>
      </c>
      <c r="S121" s="5">
        <v>262</v>
      </c>
      <c r="T121" s="5">
        <v>12</v>
      </c>
      <c r="U121" s="5">
        <v>81</v>
      </c>
      <c r="V121" s="13">
        <v>8.4516129032258061</v>
      </c>
      <c r="W121" s="13">
        <v>70.430107526881713</v>
      </c>
      <c r="X121" s="13">
        <v>3.2345679012345681</v>
      </c>
      <c r="Y121" s="14">
        <v>1.3580246913580249</v>
      </c>
      <c r="Z121" s="13">
        <v>6.75</v>
      </c>
    </row>
    <row r="122" spans="1:26" ht="15.75" x14ac:dyDescent="0.25">
      <c r="A122" s="77"/>
      <c r="B122" s="91"/>
      <c r="C122" s="8" t="s">
        <v>35</v>
      </c>
      <c r="D122" s="4" t="s">
        <v>32</v>
      </c>
      <c r="E122" s="4">
        <v>31</v>
      </c>
      <c r="F122" s="8">
        <v>12</v>
      </c>
      <c r="G122" s="8">
        <v>3</v>
      </c>
      <c r="H122" s="8">
        <v>90</v>
      </c>
      <c r="I122" s="8">
        <v>2</v>
      </c>
      <c r="J122" s="8">
        <v>95</v>
      </c>
      <c r="K122" s="8">
        <v>2</v>
      </c>
      <c r="L122" s="8">
        <v>73</v>
      </c>
      <c r="M122" s="8">
        <v>8</v>
      </c>
      <c r="N122" s="8">
        <v>1</v>
      </c>
      <c r="O122" s="8">
        <v>7</v>
      </c>
      <c r="P122" s="8">
        <v>83</v>
      </c>
      <c r="Q122" s="8">
        <v>251</v>
      </c>
      <c r="R122" s="8">
        <v>0</v>
      </c>
      <c r="S122" s="8">
        <v>262</v>
      </c>
      <c r="T122" s="8">
        <v>12</v>
      </c>
      <c r="U122" s="8">
        <v>81</v>
      </c>
      <c r="V122" s="26">
        <v>8.4516129032258061</v>
      </c>
      <c r="W122" s="26">
        <v>70.430107526881713</v>
      </c>
      <c r="X122" s="26">
        <v>3.2345679012345681</v>
      </c>
      <c r="Y122" s="26">
        <v>1.3580246913580249</v>
      </c>
      <c r="Z122" s="26">
        <v>6.75</v>
      </c>
    </row>
    <row r="123" spans="1:26" ht="15.75" x14ac:dyDescent="0.25">
      <c r="A123" s="76">
        <v>7</v>
      </c>
      <c r="B123" s="91"/>
      <c r="C123" s="5" t="s">
        <v>34</v>
      </c>
      <c r="D123" s="4" t="s">
        <v>32</v>
      </c>
      <c r="E123" s="4">
        <v>31</v>
      </c>
      <c r="F123" s="5">
        <v>16</v>
      </c>
      <c r="G123" s="5">
        <v>10</v>
      </c>
      <c r="H123" s="5">
        <v>101</v>
      </c>
      <c r="I123" s="5">
        <v>27</v>
      </c>
      <c r="J123" s="5">
        <v>138</v>
      </c>
      <c r="K123" s="5">
        <v>2</v>
      </c>
      <c r="L123" s="5">
        <v>102</v>
      </c>
      <c r="M123" s="5">
        <v>18</v>
      </c>
      <c r="N123" s="5">
        <v>6</v>
      </c>
      <c r="O123" s="5">
        <v>12</v>
      </c>
      <c r="P123" s="5">
        <v>122</v>
      </c>
      <c r="Q123" s="5">
        <v>449</v>
      </c>
      <c r="R123" s="5">
        <v>0</v>
      </c>
      <c r="S123" s="5">
        <v>411</v>
      </c>
      <c r="T123" s="5">
        <v>16</v>
      </c>
      <c r="U123" s="5">
        <v>120</v>
      </c>
      <c r="V123" s="7">
        <v>13.258064516129032</v>
      </c>
      <c r="W123" s="7">
        <v>82.862903225806448</v>
      </c>
      <c r="X123" s="7">
        <v>3.4249999999999998</v>
      </c>
      <c r="Y123" s="6">
        <v>0.70833333333333337</v>
      </c>
      <c r="Z123" s="7">
        <v>7.5</v>
      </c>
    </row>
    <row r="124" spans="1:26" ht="15.75" x14ac:dyDescent="0.25">
      <c r="A124" s="77"/>
      <c r="B124" s="91"/>
      <c r="C124" s="8" t="s">
        <v>34</v>
      </c>
      <c r="D124" s="4" t="s">
        <v>32</v>
      </c>
      <c r="E124" s="4">
        <v>31</v>
      </c>
      <c r="F124" s="8">
        <v>16</v>
      </c>
      <c r="G124" s="8">
        <v>10</v>
      </c>
      <c r="H124" s="8">
        <v>101</v>
      </c>
      <c r="I124" s="8">
        <v>27</v>
      </c>
      <c r="J124" s="8">
        <v>138</v>
      </c>
      <c r="K124" s="8">
        <v>2</v>
      </c>
      <c r="L124" s="8">
        <v>102</v>
      </c>
      <c r="M124" s="8">
        <v>18</v>
      </c>
      <c r="N124" s="8">
        <v>6</v>
      </c>
      <c r="O124" s="8">
        <v>12</v>
      </c>
      <c r="P124" s="8">
        <v>122</v>
      </c>
      <c r="Q124" s="8">
        <v>449</v>
      </c>
      <c r="R124" s="8">
        <v>0</v>
      </c>
      <c r="S124" s="8">
        <v>411</v>
      </c>
      <c r="T124" s="8">
        <v>16</v>
      </c>
      <c r="U124" s="8">
        <v>120</v>
      </c>
      <c r="V124" s="24">
        <v>13.258064516129032</v>
      </c>
      <c r="W124" s="24">
        <v>82.862903225806448</v>
      </c>
      <c r="X124" s="24">
        <v>3.4249999999999998</v>
      </c>
      <c r="Y124" s="24">
        <v>0.70833333333333337</v>
      </c>
      <c r="Z124" s="24">
        <v>7.5</v>
      </c>
    </row>
    <row r="125" spans="1:26" ht="15.75" x14ac:dyDescent="0.25">
      <c r="A125" s="76">
        <v>8</v>
      </c>
      <c r="B125" s="91"/>
      <c r="C125" s="5" t="s">
        <v>37</v>
      </c>
      <c r="D125" s="4" t="s">
        <v>32</v>
      </c>
      <c r="E125" s="4">
        <v>31</v>
      </c>
      <c r="F125" s="5">
        <v>17</v>
      </c>
      <c r="G125" s="5">
        <v>15</v>
      </c>
      <c r="H125" s="5">
        <v>106</v>
      </c>
      <c r="I125" s="5">
        <v>14</v>
      </c>
      <c r="J125" s="5">
        <v>135</v>
      </c>
      <c r="K125" s="5">
        <v>21</v>
      </c>
      <c r="L125" s="5">
        <v>97</v>
      </c>
      <c r="M125" s="5">
        <v>4</v>
      </c>
      <c r="N125" s="5">
        <v>0</v>
      </c>
      <c r="O125" s="5">
        <v>4</v>
      </c>
      <c r="P125" s="5">
        <v>122</v>
      </c>
      <c r="Q125" s="5">
        <v>438</v>
      </c>
      <c r="R125" s="5">
        <v>0</v>
      </c>
      <c r="S125" s="5">
        <v>393</v>
      </c>
      <c r="T125" s="5">
        <v>13</v>
      </c>
      <c r="U125" s="5">
        <v>101</v>
      </c>
      <c r="V125" s="7">
        <v>12.67741935483871</v>
      </c>
      <c r="W125" s="7">
        <v>74.573055028463003</v>
      </c>
      <c r="X125" s="7">
        <v>3.891089108910891</v>
      </c>
      <c r="Y125" s="6">
        <v>1.3267326732673268</v>
      </c>
      <c r="Z125" s="7">
        <v>5.9411764705882355</v>
      </c>
    </row>
    <row r="126" spans="1:26" ht="15.75" x14ac:dyDescent="0.25">
      <c r="A126" s="77"/>
      <c r="B126" s="91"/>
      <c r="C126" s="8" t="s">
        <v>37</v>
      </c>
      <c r="D126" s="4" t="s">
        <v>32</v>
      </c>
      <c r="E126" s="4">
        <v>31</v>
      </c>
      <c r="F126" s="8">
        <v>17</v>
      </c>
      <c r="G126" s="8">
        <v>15</v>
      </c>
      <c r="H126" s="8">
        <v>106</v>
      </c>
      <c r="I126" s="8">
        <v>14</v>
      </c>
      <c r="J126" s="8">
        <v>135</v>
      </c>
      <c r="K126" s="8">
        <v>21</v>
      </c>
      <c r="L126" s="8">
        <v>97</v>
      </c>
      <c r="M126" s="8">
        <v>4</v>
      </c>
      <c r="N126" s="8">
        <v>0</v>
      </c>
      <c r="O126" s="8">
        <v>4</v>
      </c>
      <c r="P126" s="8">
        <v>122</v>
      </c>
      <c r="Q126" s="8">
        <v>438</v>
      </c>
      <c r="R126" s="8">
        <v>0</v>
      </c>
      <c r="S126" s="8">
        <v>393</v>
      </c>
      <c r="T126" s="8">
        <v>13</v>
      </c>
      <c r="U126" s="8">
        <v>101</v>
      </c>
      <c r="V126" s="24">
        <v>12.67741935483871</v>
      </c>
      <c r="W126" s="24">
        <v>74.573055028463003</v>
      </c>
      <c r="X126" s="24">
        <v>3.891089108910891</v>
      </c>
      <c r="Y126" s="24">
        <v>1.3267326732673268</v>
      </c>
      <c r="Z126" s="24">
        <v>5.9411764705882355</v>
      </c>
    </row>
    <row r="127" spans="1:26" ht="15.75" x14ac:dyDescent="0.25">
      <c r="A127" s="76">
        <v>9</v>
      </c>
      <c r="B127" s="91"/>
      <c r="C127" s="5" t="s">
        <v>33</v>
      </c>
      <c r="D127" s="4" t="s">
        <v>32</v>
      </c>
      <c r="E127" s="4">
        <v>31</v>
      </c>
      <c r="F127" s="5">
        <v>20</v>
      </c>
      <c r="G127" s="5">
        <v>13</v>
      </c>
      <c r="H127" s="5">
        <v>123</v>
      </c>
      <c r="I127" s="5">
        <v>28</v>
      </c>
      <c r="J127" s="5">
        <v>164</v>
      </c>
      <c r="K127" s="5">
        <v>7</v>
      </c>
      <c r="L127" s="5">
        <v>117</v>
      </c>
      <c r="M127" s="5">
        <v>17</v>
      </c>
      <c r="N127" s="5">
        <v>6</v>
      </c>
      <c r="O127" s="5">
        <v>11</v>
      </c>
      <c r="P127" s="5">
        <v>141</v>
      </c>
      <c r="Q127" s="5">
        <v>496</v>
      </c>
      <c r="R127" s="5">
        <v>1</v>
      </c>
      <c r="S127" s="5">
        <v>463</v>
      </c>
      <c r="T127" s="5">
        <v>23</v>
      </c>
      <c r="U127" s="5">
        <v>134</v>
      </c>
      <c r="V127" s="7">
        <v>14.935483870967742</v>
      </c>
      <c r="W127" s="7">
        <v>74.677419354838719</v>
      </c>
      <c r="X127" s="7">
        <v>3.455223880597015</v>
      </c>
      <c r="Y127" s="6">
        <v>1.1716417910447761</v>
      </c>
      <c r="Z127" s="7">
        <v>6.7</v>
      </c>
    </row>
    <row r="128" spans="1:26" ht="15.75" x14ac:dyDescent="0.25">
      <c r="A128" s="77"/>
      <c r="B128" s="91"/>
      <c r="C128" s="8" t="s">
        <v>33</v>
      </c>
      <c r="D128" s="4" t="s">
        <v>32</v>
      </c>
      <c r="E128" s="4">
        <v>31</v>
      </c>
      <c r="F128" s="8">
        <v>20</v>
      </c>
      <c r="G128" s="8">
        <v>13</v>
      </c>
      <c r="H128" s="8">
        <v>123</v>
      </c>
      <c r="I128" s="8">
        <v>28</v>
      </c>
      <c r="J128" s="8">
        <v>164</v>
      </c>
      <c r="K128" s="8">
        <v>7</v>
      </c>
      <c r="L128" s="8">
        <v>117</v>
      </c>
      <c r="M128" s="8">
        <v>17</v>
      </c>
      <c r="N128" s="8">
        <v>6</v>
      </c>
      <c r="O128" s="8">
        <v>11</v>
      </c>
      <c r="P128" s="8">
        <v>141</v>
      </c>
      <c r="Q128" s="8">
        <v>496</v>
      </c>
      <c r="R128" s="8">
        <v>1</v>
      </c>
      <c r="S128" s="8">
        <v>463</v>
      </c>
      <c r="T128" s="8">
        <v>23</v>
      </c>
      <c r="U128" s="8">
        <v>134</v>
      </c>
      <c r="V128" s="24">
        <v>14.935483870967742</v>
      </c>
      <c r="W128" s="24">
        <v>74.677419354838719</v>
      </c>
      <c r="X128" s="24">
        <v>3.455223880597015</v>
      </c>
      <c r="Y128" s="24">
        <v>1.1716417910447761</v>
      </c>
      <c r="Z128" s="24">
        <v>6.7</v>
      </c>
    </row>
    <row r="129" spans="1:26" ht="15.75" x14ac:dyDescent="0.25">
      <c r="A129" s="76">
        <v>10</v>
      </c>
      <c r="B129" s="91"/>
      <c r="C129" s="4" t="s">
        <v>40</v>
      </c>
      <c r="D129" s="4" t="s">
        <v>32</v>
      </c>
      <c r="E129" s="4">
        <v>31</v>
      </c>
      <c r="F129" s="4">
        <v>16</v>
      </c>
      <c r="G129" s="4">
        <v>14</v>
      </c>
      <c r="H129" s="4">
        <v>134</v>
      </c>
      <c r="I129" s="4">
        <v>12</v>
      </c>
      <c r="J129" s="5">
        <v>160</v>
      </c>
      <c r="K129" s="4">
        <v>5</v>
      </c>
      <c r="L129" s="4">
        <v>122</v>
      </c>
      <c r="M129" s="5">
        <v>15</v>
      </c>
      <c r="N129" s="4">
        <v>6</v>
      </c>
      <c r="O129" s="4">
        <v>9</v>
      </c>
      <c r="P129" s="5">
        <v>142</v>
      </c>
      <c r="Q129" s="4">
        <v>500</v>
      </c>
      <c r="R129" s="4">
        <v>2</v>
      </c>
      <c r="S129" s="4">
        <v>478</v>
      </c>
      <c r="T129" s="5">
        <v>18</v>
      </c>
      <c r="U129" s="5">
        <v>137</v>
      </c>
      <c r="V129" s="7">
        <v>15.419354838709678</v>
      </c>
      <c r="W129" s="7">
        <v>96.370967741935488</v>
      </c>
      <c r="X129" s="7">
        <v>3.4890510948905109</v>
      </c>
      <c r="Y129" s="6">
        <v>0.13138686131386851</v>
      </c>
      <c r="Z129" s="7">
        <v>8.5625</v>
      </c>
    </row>
    <row r="130" spans="1:26" ht="15.75" x14ac:dyDescent="0.25">
      <c r="A130" s="77"/>
      <c r="B130" s="91"/>
      <c r="C130" s="8" t="s">
        <v>40</v>
      </c>
      <c r="D130" s="4" t="s">
        <v>32</v>
      </c>
      <c r="E130" s="4">
        <v>31</v>
      </c>
      <c r="F130" s="8">
        <v>16</v>
      </c>
      <c r="G130" s="8">
        <v>14</v>
      </c>
      <c r="H130" s="8">
        <v>134</v>
      </c>
      <c r="I130" s="8">
        <v>12</v>
      </c>
      <c r="J130" s="8">
        <v>160</v>
      </c>
      <c r="K130" s="8">
        <v>5</v>
      </c>
      <c r="L130" s="8">
        <v>122</v>
      </c>
      <c r="M130" s="8">
        <v>15</v>
      </c>
      <c r="N130" s="8">
        <v>6</v>
      </c>
      <c r="O130" s="8">
        <v>9</v>
      </c>
      <c r="P130" s="8">
        <v>142</v>
      </c>
      <c r="Q130" s="8">
        <v>500</v>
      </c>
      <c r="R130" s="8">
        <v>2</v>
      </c>
      <c r="S130" s="8">
        <v>478</v>
      </c>
      <c r="T130" s="8">
        <v>18</v>
      </c>
      <c r="U130" s="8">
        <v>137</v>
      </c>
      <c r="V130" s="24">
        <v>15.419354838709678</v>
      </c>
      <c r="W130" s="24">
        <v>96.370967741935488</v>
      </c>
      <c r="X130" s="24">
        <v>3.4890510948905109</v>
      </c>
      <c r="Y130" s="24">
        <v>0.13138686131386851</v>
      </c>
      <c r="Z130" s="24">
        <v>8.5625</v>
      </c>
    </row>
    <row r="131" spans="1:26" ht="15.75" x14ac:dyDescent="0.25">
      <c r="A131" s="93">
        <v>11</v>
      </c>
      <c r="B131" s="91"/>
      <c r="C131" s="4" t="s">
        <v>56</v>
      </c>
      <c r="D131" s="4" t="s">
        <v>32</v>
      </c>
      <c r="E131" s="4">
        <v>31</v>
      </c>
      <c r="F131" s="4">
        <v>25</v>
      </c>
      <c r="G131" s="4">
        <v>22</v>
      </c>
      <c r="H131" s="4">
        <v>308</v>
      </c>
      <c r="I131" s="4">
        <v>281</v>
      </c>
      <c r="J131" s="5">
        <v>611</v>
      </c>
      <c r="K131" s="4">
        <v>126</v>
      </c>
      <c r="L131" s="4">
        <v>458</v>
      </c>
      <c r="M131" s="5">
        <v>0</v>
      </c>
      <c r="N131" s="4">
        <v>0</v>
      </c>
      <c r="O131" s="4">
        <v>0</v>
      </c>
      <c r="P131" s="5">
        <v>584</v>
      </c>
      <c r="Q131" s="4">
        <v>937</v>
      </c>
      <c r="R131" s="4">
        <v>0</v>
      </c>
      <c r="S131" s="4">
        <v>573</v>
      </c>
      <c r="T131" s="5">
        <v>27</v>
      </c>
      <c r="U131" s="5">
        <v>458</v>
      </c>
      <c r="V131" s="7">
        <v>18.483870967741936</v>
      </c>
      <c r="W131" s="7">
        <v>73.935483870967744</v>
      </c>
      <c r="X131" s="7">
        <v>1.2510917030567685</v>
      </c>
      <c r="Y131" s="6">
        <v>0.44104803493449779</v>
      </c>
      <c r="Z131" s="7">
        <v>18.32</v>
      </c>
    </row>
    <row r="132" spans="1:26" ht="15.75" x14ac:dyDescent="0.25">
      <c r="A132" s="94"/>
      <c r="B132" s="91"/>
      <c r="C132" s="4" t="s">
        <v>60</v>
      </c>
      <c r="D132" s="4" t="s">
        <v>32</v>
      </c>
      <c r="E132" s="4">
        <v>31</v>
      </c>
      <c r="F132" s="4">
        <v>0</v>
      </c>
      <c r="G132" s="4">
        <v>10</v>
      </c>
      <c r="H132" s="4">
        <v>0</v>
      </c>
      <c r="I132" s="4">
        <v>0</v>
      </c>
      <c r="J132" s="5">
        <v>10</v>
      </c>
      <c r="K132" s="4">
        <v>10</v>
      </c>
      <c r="L132" s="4">
        <v>0</v>
      </c>
      <c r="M132" s="5">
        <v>0</v>
      </c>
      <c r="N132" s="4">
        <v>0</v>
      </c>
      <c r="O132" s="4">
        <v>0</v>
      </c>
      <c r="P132" s="5">
        <v>10</v>
      </c>
      <c r="Q132" s="4">
        <v>0</v>
      </c>
      <c r="R132" s="4">
        <v>0</v>
      </c>
      <c r="S132" s="4">
        <v>0</v>
      </c>
      <c r="T132" s="5">
        <v>0</v>
      </c>
      <c r="U132" s="5">
        <v>0</v>
      </c>
      <c r="V132" s="7">
        <v>0</v>
      </c>
      <c r="W132" s="7" t="e">
        <v>#DIV/0!</v>
      </c>
      <c r="X132" s="7" t="e">
        <v>#DIV/0!</v>
      </c>
      <c r="Y132" s="6" t="e">
        <v>#DIV/0!</v>
      </c>
      <c r="Z132" s="7" t="e">
        <v>#DIV/0!</v>
      </c>
    </row>
    <row r="133" spans="1:26" ht="15.75" x14ac:dyDescent="0.25">
      <c r="A133" s="95"/>
      <c r="B133" s="92"/>
      <c r="C133" s="10"/>
      <c r="D133" s="31"/>
      <c r="E133" s="67">
        <v>31</v>
      </c>
      <c r="F133" s="8">
        <v>25</v>
      </c>
      <c r="G133" s="8">
        <v>32</v>
      </c>
      <c r="H133" s="8">
        <v>308</v>
      </c>
      <c r="I133" s="8">
        <v>281</v>
      </c>
      <c r="J133" s="8">
        <v>621</v>
      </c>
      <c r="K133" s="8">
        <v>136</v>
      </c>
      <c r="L133" s="8">
        <v>458</v>
      </c>
      <c r="M133" s="8">
        <v>0</v>
      </c>
      <c r="N133" s="8">
        <v>0</v>
      </c>
      <c r="O133" s="8">
        <v>0</v>
      </c>
      <c r="P133" s="8">
        <v>594</v>
      </c>
      <c r="Q133" s="8">
        <v>937</v>
      </c>
      <c r="R133" s="8">
        <v>0</v>
      </c>
      <c r="S133" s="8">
        <v>573</v>
      </c>
      <c r="T133" s="8">
        <v>27</v>
      </c>
      <c r="U133" s="8">
        <v>458</v>
      </c>
      <c r="V133" s="24">
        <v>18.483870967741936</v>
      </c>
      <c r="W133" s="24">
        <v>73.935483870967744</v>
      </c>
      <c r="X133" s="24">
        <v>1.2510917030567685</v>
      </c>
      <c r="Y133" s="24">
        <v>0.44104803493449779</v>
      </c>
      <c r="Z133" s="24">
        <v>18.32</v>
      </c>
    </row>
    <row r="134" spans="1:26" ht="15.75" x14ac:dyDescent="0.25">
      <c r="A134" s="79" t="s">
        <v>88</v>
      </c>
      <c r="B134" s="80"/>
      <c r="C134" s="80"/>
      <c r="D134" s="81"/>
      <c r="E134" s="4">
        <v>31</v>
      </c>
      <c r="F134" s="20">
        <v>191</v>
      </c>
      <c r="G134" s="20">
        <v>143</v>
      </c>
      <c r="H134" s="20">
        <v>1498</v>
      </c>
      <c r="I134" s="20">
        <v>400</v>
      </c>
      <c r="J134" s="11">
        <v>2041</v>
      </c>
      <c r="K134" s="20">
        <v>216</v>
      </c>
      <c r="L134" s="20">
        <v>1494</v>
      </c>
      <c r="M134" s="11">
        <v>133</v>
      </c>
      <c r="N134" s="20">
        <v>53</v>
      </c>
      <c r="O134" s="20">
        <v>80</v>
      </c>
      <c r="P134" s="11">
        <v>1843</v>
      </c>
      <c r="Q134" s="20">
        <v>5279</v>
      </c>
      <c r="R134" s="20">
        <v>6</v>
      </c>
      <c r="S134" s="20">
        <v>4737</v>
      </c>
      <c r="T134" s="11">
        <v>198</v>
      </c>
      <c r="U134" s="11">
        <v>1627</v>
      </c>
      <c r="V134" s="22">
        <v>152.80645161290323</v>
      </c>
      <c r="W134" s="12">
        <v>80.003377807802735</v>
      </c>
      <c r="X134" s="12">
        <v>2.9114935464044254</v>
      </c>
      <c r="Y134" s="12">
        <v>0.72771972956361386</v>
      </c>
      <c r="Z134" s="12">
        <v>8.5183246073298431</v>
      </c>
    </row>
    <row r="135" spans="1:26" ht="15.75" x14ac:dyDescent="0.25">
      <c r="A135" s="100" t="s">
        <v>84</v>
      </c>
      <c r="B135" s="101"/>
      <c r="C135" s="101"/>
      <c r="D135" s="102"/>
      <c r="E135" s="63">
        <v>31</v>
      </c>
      <c r="F135" s="63">
        <v>248</v>
      </c>
      <c r="G135" s="63">
        <v>180</v>
      </c>
      <c r="H135" s="63">
        <v>1869</v>
      </c>
      <c r="I135" s="63">
        <v>602</v>
      </c>
      <c r="J135" s="63">
        <v>2651</v>
      </c>
      <c r="K135" s="63">
        <v>412</v>
      </c>
      <c r="L135" s="63">
        <v>1819</v>
      </c>
      <c r="M135" s="63">
        <v>159</v>
      </c>
      <c r="N135" s="63">
        <v>62</v>
      </c>
      <c r="O135" s="63">
        <v>97</v>
      </c>
      <c r="P135" s="63">
        <v>2390</v>
      </c>
      <c r="Q135" s="63">
        <v>6509</v>
      </c>
      <c r="R135" s="63">
        <v>6</v>
      </c>
      <c r="S135" s="63">
        <v>5953</v>
      </c>
      <c r="T135" s="63">
        <v>261</v>
      </c>
      <c r="U135" s="63">
        <v>1978</v>
      </c>
      <c r="V135" s="68">
        <v>192.03225806451613</v>
      </c>
      <c r="W135" s="69">
        <v>77.43236212278876</v>
      </c>
      <c r="X135" s="69">
        <v>3.0096056622851366</v>
      </c>
      <c r="Y135" s="69">
        <v>0.8771486349848332</v>
      </c>
      <c r="Z135" s="69">
        <v>7.975806451612903</v>
      </c>
    </row>
    <row r="137" spans="1:26" x14ac:dyDescent="0.25">
      <c r="A137" s="78" t="s">
        <v>1</v>
      </c>
      <c r="B137" s="78" t="s">
        <v>2</v>
      </c>
      <c r="C137" s="72" t="s">
        <v>3</v>
      </c>
      <c r="D137" s="72" t="s">
        <v>4</v>
      </c>
      <c r="E137" s="75" t="s">
        <v>5</v>
      </c>
      <c r="F137" s="72" t="s">
        <v>6</v>
      </c>
      <c r="G137" s="72" t="s">
        <v>7</v>
      </c>
      <c r="H137" s="72" t="s">
        <v>8</v>
      </c>
      <c r="I137" s="75" t="s">
        <v>9</v>
      </c>
      <c r="J137" s="72" t="s">
        <v>10</v>
      </c>
      <c r="K137" s="72" t="s">
        <v>11</v>
      </c>
      <c r="L137" s="72" t="s">
        <v>12</v>
      </c>
      <c r="M137" s="72" t="s">
        <v>13</v>
      </c>
      <c r="N137" s="72" t="s">
        <v>14</v>
      </c>
      <c r="O137" s="72" t="s">
        <v>15</v>
      </c>
      <c r="P137" s="72" t="s">
        <v>16</v>
      </c>
      <c r="Q137" s="72" t="s">
        <v>17</v>
      </c>
      <c r="R137" s="72" t="s">
        <v>18</v>
      </c>
      <c r="S137" s="72" t="s">
        <v>19</v>
      </c>
      <c r="T137" s="72" t="s">
        <v>20</v>
      </c>
      <c r="U137" s="73" t="s">
        <v>21</v>
      </c>
      <c r="V137" s="2" t="s">
        <v>22</v>
      </c>
      <c r="W137" s="2" t="s">
        <v>23</v>
      </c>
      <c r="X137" s="2" t="s">
        <v>24</v>
      </c>
      <c r="Y137" s="2" t="s">
        <v>25</v>
      </c>
      <c r="Z137" s="2" t="s">
        <v>26</v>
      </c>
    </row>
    <row r="138" spans="1:26" x14ac:dyDescent="0.25">
      <c r="A138" s="78"/>
      <c r="B138" s="78"/>
      <c r="C138" s="72"/>
      <c r="D138" s="72"/>
      <c r="E138" s="75"/>
      <c r="F138" s="72"/>
      <c r="G138" s="72"/>
      <c r="H138" s="72"/>
      <c r="I138" s="75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3"/>
      <c r="V138" s="71" t="s">
        <v>27</v>
      </c>
      <c r="W138" s="71" t="s">
        <v>28</v>
      </c>
      <c r="X138" s="71" t="s">
        <v>29</v>
      </c>
      <c r="Y138" s="71" t="s">
        <v>30</v>
      </c>
      <c r="Z138" s="71" t="s">
        <v>31</v>
      </c>
    </row>
    <row r="139" spans="1:26" x14ac:dyDescent="0.25">
      <c r="A139" s="78"/>
      <c r="B139" s="78"/>
      <c r="C139" s="72"/>
      <c r="D139" s="72"/>
      <c r="E139" s="75"/>
      <c r="F139" s="72"/>
      <c r="G139" s="72"/>
      <c r="H139" s="72"/>
      <c r="I139" s="75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3"/>
      <c r="V139" s="74"/>
      <c r="W139" s="71"/>
      <c r="X139" s="71"/>
      <c r="Y139" s="71"/>
      <c r="Z139" s="71"/>
    </row>
    <row r="140" spans="1:26" x14ac:dyDescent="0.25">
      <c r="A140" s="78"/>
      <c r="B140" s="78"/>
      <c r="C140" s="72"/>
      <c r="D140" s="72"/>
      <c r="E140" s="75"/>
      <c r="F140" s="72"/>
      <c r="G140" s="3">
        <v>1</v>
      </c>
      <c r="H140" s="3">
        <v>2</v>
      </c>
      <c r="I140" s="3">
        <v>3</v>
      </c>
      <c r="J140" s="3">
        <v>4</v>
      </c>
      <c r="K140" s="3">
        <v>5</v>
      </c>
      <c r="L140" s="3">
        <v>6</v>
      </c>
      <c r="M140" s="3">
        <v>7</v>
      </c>
      <c r="N140" s="3">
        <v>8</v>
      </c>
      <c r="O140" s="3">
        <v>9</v>
      </c>
      <c r="P140" s="3">
        <v>10</v>
      </c>
      <c r="Q140" s="3">
        <v>11</v>
      </c>
      <c r="R140" s="3">
        <v>12</v>
      </c>
      <c r="S140" s="3">
        <v>13</v>
      </c>
      <c r="T140" s="3">
        <v>14</v>
      </c>
      <c r="U140" s="73"/>
      <c r="V140" s="16">
        <v>15</v>
      </c>
      <c r="W140" s="16">
        <v>16</v>
      </c>
      <c r="X140" s="16">
        <v>17</v>
      </c>
      <c r="Y140" s="16">
        <v>18</v>
      </c>
      <c r="Z140" s="16">
        <v>19</v>
      </c>
    </row>
    <row r="141" spans="1:26" ht="15.75" x14ac:dyDescent="0.25">
      <c r="A141" s="82">
        <v>1</v>
      </c>
      <c r="B141" s="82" t="s">
        <v>80</v>
      </c>
      <c r="C141" s="5" t="s">
        <v>68</v>
      </c>
      <c r="D141" s="5" t="s">
        <v>36</v>
      </c>
      <c r="E141" s="4">
        <v>31</v>
      </c>
      <c r="F141" s="5">
        <v>0</v>
      </c>
      <c r="G141" s="5">
        <v>5</v>
      </c>
      <c r="H141" s="5">
        <v>299</v>
      </c>
      <c r="I141" s="5">
        <v>4</v>
      </c>
      <c r="J141" s="5">
        <v>308</v>
      </c>
      <c r="K141" s="5">
        <v>292</v>
      </c>
      <c r="L141" s="5">
        <v>4</v>
      </c>
      <c r="M141" s="5">
        <v>6</v>
      </c>
      <c r="N141" s="5">
        <v>6</v>
      </c>
      <c r="O141" s="5">
        <v>0</v>
      </c>
      <c r="P141" s="5">
        <v>302</v>
      </c>
      <c r="Q141" s="5">
        <v>10</v>
      </c>
      <c r="R141" s="5">
        <v>10</v>
      </c>
      <c r="S141" s="5">
        <v>135</v>
      </c>
      <c r="T141" s="5">
        <v>6</v>
      </c>
      <c r="U141" s="5">
        <v>10</v>
      </c>
      <c r="V141" s="7">
        <v>4.354838709677419</v>
      </c>
      <c r="W141" s="7" t="e">
        <v>#DIV/0!</v>
      </c>
      <c r="X141" s="7">
        <v>13.5</v>
      </c>
      <c r="Y141" s="6">
        <v>-13.5</v>
      </c>
      <c r="Z141" s="7" t="e">
        <v>#DIV/0!</v>
      </c>
    </row>
    <row r="142" spans="1:26" ht="15.75" x14ac:dyDescent="0.25">
      <c r="A142" s="82"/>
      <c r="B142" s="82"/>
      <c r="C142" s="8" t="s">
        <v>68</v>
      </c>
      <c r="D142" s="8" t="s">
        <v>36</v>
      </c>
      <c r="E142" s="4">
        <v>31</v>
      </c>
      <c r="F142" s="8">
        <v>0</v>
      </c>
      <c r="G142" s="8">
        <v>5</v>
      </c>
      <c r="H142" s="8">
        <v>299</v>
      </c>
      <c r="I142" s="8">
        <v>4</v>
      </c>
      <c r="J142" s="8">
        <v>308</v>
      </c>
      <c r="K142" s="8">
        <v>292</v>
      </c>
      <c r="L142" s="8">
        <v>4</v>
      </c>
      <c r="M142" s="8">
        <v>6</v>
      </c>
      <c r="N142" s="8">
        <v>6</v>
      </c>
      <c r="O142" s="8">
        <v>0</v>
      </c>
      <c r="P142" s="8">
        <v>302</v>
      </c>
      <c r="Q142" s="8">
        <v>10</v>
      </c>
      <c r="R142" s="8">
        <v>10</v>
      </c>
      <c r="S142" s="8">
        <v>135</v>
      </c>
      <c r="T142" s="8">
        <v>6</v>
      </c>
      <c r="U142" s="8">
        <v>10</v>
      </c>
      <c r="V142" s="24">
        <v>4.354838709677419</v>
      </c>
      <c r="W142" s="24" t="e">
        <v>#DIV/0!</v>
      </c>
      <c r="X142" s="24">
        <v>13.5</v>
      </c>
      <c r="Y142" s="24">
        <v>-13.5</v>
      </c>
      <c r="Z142" s="24" t="e">
        <v>#DIV/0!</v>
      </c>
    </row>
    <row r="143" spans="1:26" ht="15.75" x14ac:dyDescent="0.25">
      <c r="A143" s="83" t="s">
        <v>70</v>
      </c>
      <c r="B143" s="84"/>
      <c r="C143" s="84"/>
      <c r="D143" s="85"/>
      <c r="E143" s="4">
        <v>31</v>
      </c>
      <c r="F143" s="15">
        <v>388</v>
      </c>
      <c r="G143" s="15">
        <v>267</v>
      </c>
      <c r="H143" s="15">
        <v>2765</v>
      </c>
      <c r="I143" s="15">
        <v>833</v>
      </c>
      <c r="J143" s="15">
        <v>3865</v>
      </c>
      <c r="K143" s="15">
        <v>1107</v>
      </c>
      <c r="L143" s="15">
        <v>2143</v>
      </c>
      <c r="M143" s="15">
        <v>259</v>
      </c>
      <c r="N143" s="15">
        <v>113</v>
      </c>
      <c r="O143" s="15">
        <v>146</v>
      </c>
      <c r="P143" s="15">
        <v>3509</v>
      </c>
      <c r="Q143" s="15">
        <v>8542</v>
      </c>
      <c r="R143" s="15">
        <v>22</v>
      </c>
      <c r="S143" s="15">
        <v>8588</v>
      </c>
      <c r="T143" s="15">
        <v>356</v>
      </c>
      <c r="U143" s="15">
        <v>2402</v>
      </c>
      <c r="V143" s="32">
        <v>277.03225806451616</v>
      </c>
      <c r="W143" s="33">
        <v>71.400066511473241</v>
      </c>
      <c r="X143" s="33">
        <v>3.575353871773522</v>
      </c>
      <c r="Y143" s="33">
        <v>1.4321398834304742</v>
      </c>
      <c r="Z143" s="33">
        <v>6.1907216494845363</v>
      </c>
    </row>
  </sheetData>
  <sheetProtection algorithmName="SHA-512" hashValue="/mBVWIxlA9iT8yJVdzHYFxWiipmv9yrT1QARhkpSVhGFMDmW8hQPaj+/PTzFXuD1QALfFS/Qu2JRmLuBLcNMUw==" saltValue="v9fJi4SlZLTzC57SFQFPOQ==" spinCount="100000" sheet="1" objects="1" scenarios="1"/>
  <mergeCells count="264">
    <mergeCell ref="O3:O5"/>
    <mergeCell ref="P3:P5"/>
    <mergeCell ref="Q3:Q5"/>
    <mergeCell ref="L3:L5"/>
    <mergeCell ref="A21:D21"/>
    <mergeCell ref="A24:A27"/>
    <mergeCell ref="B24:B27"/>
    <mergeCell ref="C24:C27"/>
    <mergeCell ref="D24:D27"/>
    <mergeCell ref="E24:E27"/>
    <mergeCell ref="A3:A6"/>
    <mergeCell ref="B3:B6"/>
    <mergeCell ref="C3:C6"/>
    <mergeCell ref="D3:D6"/>
    <mergeCell ref="E3:E6"/>
    <mergeCell ref="F3:F6"/>
    <mergeCell ref="Y4:Y5"/>
    <mergeCell ref="Z4:Z5"/>
    <mergeCell ref="A7:A8"/>
    <mergeCell ref="B7:B20"/>
    <mergeCell ref="A9:A10"/>
    <mergeCell ref="A11:A12"/>
    <mergeCell ref="A13:A14"/>
    <mergeCell ref="A15:A16"/>
    <mergeCell ref="A17:A18"/>
    <mergeCell ref="A19:A20"/>
    <mergeCell ref="S3:S5"/>
    <mergeCell ref="T3:T5"/>
    <mergeCell ref="U3:U6"/>
    <mergeCell ref="V4:V5"/>
    <mergeCell ref="W4:W5"/>
    <mergeCell ref="X4:X5"/>
    <mergeCell ref="M3:M5"/>
    <mergeCell ref="N3:N5"/>
    <mergeCell ref="R3:R5"/>
    <mergeCell ref="G3:G5"/>
    <mergeCell ref="H3:H5"/>
    <mergeCell ref="I3:I5"/>
    <mergeCell ref="J3:J5"/>
    <mergeCell ref="K3:K5"/>
    <mergeCell ref="Y25:Y26"/>
    <mergeCell ref="Z25:Z26"/>
    <mergeCell ref="A28:A32"/>
    <mergeCell ref="B28:B48"/>
    <mergeCell ref="A33:A34"/>
    <mergeCell ref="A35:A36"/>
    <mergeCell ref="A37:A38"/>
    <mergeCell ref="A39:A40"/>
    <mergeCell ref="A41:A42"/>
    <mergeCell ref="R24:R26"/>
    <mergeCell ref="S24:S26"/>
    <mergeCell ref="T24:T26"/>
    <mergeCell ref="U24:U27"/>
    <mergeCell ref="V25:V26"/>
    <mergeCell ref="W25:W26"/>
    <mergeCell ref="L24:L26"/>
    <mergeCell ref="M24:M26"/>
    <mergeCell ref="N24:N26"/>
    <mergeCell ref="O24:O26"/>
    <mergeCell ref="P24:P26"/>
    <mergeCell ref="Q24:Q26"/>
    <mergeCell ref="F24:F27"/>
    <mergeCell ref="G24:G26"/>
    <mergeCell ref="H24:H26"/>
    <mergeCell ref="A43:A44"/>
    <mergeCell ref="A45:A46"/>
    <mergeCell ref="A47:A48"/>
    <mergeCell ref="A49:D49"/>
    <mergeCell ref="A52:A55"/>
    <mergeCell ref="B52:B55"/>
    <mergeCell ref="C52:C55"/>
    <mergeCell ref="D52:D55"/>
    <mergeCell ref="X25:X26"/>
    <mergeCell ref="I24:I26"/>
    <mergeCell ref="J24:J26"/>
    <mergeCell ref="K24:K26"/>
    <mergeCell ref="Y53:Y54"/>
    <mergeCell ref="Z53:Z54"/>
    <mergeCell ref="A57:D57"/>
    <mergeCell ref="A60:A63"/>
    <mergeCell ref="B60:B63"/>
    <mergeCell ref="C60:C63"/>
    <mergeCell ref="D60:D63"/>
    <mergeCell ref="E60:E63"/>
    <mergeCell ref="Q52:Q54"/>
    <mergeCell ref="R52:R54"/>
    <mergeCell ref="S52:S54"/>
    <mergeCell ref="T52:T54"/>
    <mergeCell ref="U52:U55"/>
    <mergeCell ref="V53:V54"/>
    <mergeCell ref="K52:K54"/>
    <mergeCell ref="L52:L54"/>
    <mergeCell ref="M52:M54"/>
    <mergeCell ref="N52:N54"/>
    <mergeCell ref="O52:O54"/>
    <mergeCell ref="P52:P54"/>
    <mergeCell ref="E52:E55"/>
    <mergeCell ref="F52:F55"/>
    <mergeCell ref="G52:G54"/>
    <mergeCell ref="H52:H54"/>
    <mergeCell ref="Q60:Q62"/>
    <mergeCell ref="F60:F63"/>
    <mergeCell ref="G60:G62"/>
    <mergeCell ref="H60:H62"/>
    <mergeCell ref="I60:I62"/>
    <mergeCell ref="J60:J62"/>
    <mergeCell ref="K60:K62"/>
    <mergeCell ref="W53:W54"/>
    <mergeCell ref="X53:X54"/>
    <mergeCell ref="I52:I54"/>
    <mergeCell ref="J52:J54"/>
    <mergeCell ref="A70:C70"/>
    <mergeCell ref="A73:A76"/>
    <mergeCell ref="B73:B76"/>
    <mergeCell ref="C73:C76"/>
    <mergeCell ref="D73:D76"/>
    <mergeCell ref="E73:E76"/>
    <mergeCell ref="X61:X62"/>
    <mergeCell ref="Y61:Y62"/>
    <mergeCell ref="Z61:Z62"/>
    <mergeCell ref="A64:A65"/>
    <mergeCell ref="B64:B69"/>
    <mergeCell ref="A66:A67"/>
    <mergeCell ref="A68:A69"/>
    <mergeCell ref="R60:R62"/>
    <mergeCell ref="S60:S62"/>
    <mergeCell ref="T60:T62"/>
    <mergeCell ref="U60:U63"/>
    <mergeCell ref="V61:V62"/>
    <mergeCell ref="W61:W62"/>
    <mergeCell ref="L60:L62"/>
    <mergeCell ref="M60:M62"/>
    <mergeCell ref="N60:N62"/>
    <mergeCell ref="O60:O62"/>
    <mergeCell ref="P60:P62"/>
    <mergeCell ref="Y74:Y75"/>
    <mergeCell ref="Z74:Z75"/>
    <mergeCell ref="A77:A78"/>
    <mergeCell ref="B77:B87"/>
    <mergeCell ref="A79:A80"/>
    <mergeCell ref="A81:A83"/>
    <mergeCell ref="A84:A85"/>
    <mergeCell ref="A86:A87"/>
    <mergeCell ref="R73:R75"/>
    <mergeCell ref="S73:S75"/>
    <mergeCell ref="T73:T75"/>
    <mergeCell ref="U73:U76"/>
    <mergeCell ref="V74:V75"/>
    <mergeCell ref="W74:W75"/>
    <mergeCell ref="L73:L75"/>
    <mergeCell ref="M73:M75"/>
    <mergeCell ref="N73:N75"/>
    <mergeCell ref="O73:O75"/>
    <mergeCell ref="P73:P75"/>
    <mergeCell ref="Q73:Q75"/>
    <mergeCell ref="F73:F76"/>
    <mergeCell ref="G73:G75"/>
    <mergeCell ref="H73:H75"/>
    <mergeCell ref="I73:I75"/>
    <mergeCell ref="K91:K93"/>
    <mergeCell ref="A88:D88"/>
    <mergeCell ref="A91:A94"/>
    <mergeCell ref="B91:B94"/>
    <mergeCell ref="C91:C94"/>
    <mergeCell ref="D91:D94"/>
    <mergeCell ref="E91:E94"/>
    <mergeCell ref="X74:X75"/>
    <mergeCell ref="J73:J75"/>
    <mergeCell ref="K73:K75"/>
    <mergeCell ref="X92:X93"/>
    <mergeCell ref="Y92:Y93"/>
    <mergeCell ref="Z92:Z93"/>
    <mergeCell ref="A95:A96"/>
    <mergeCell ref="B95:B103"/>
    <mergeCell ref="A97:A98"/>
    <mergeCell ref="A99:A101"/>
    <mergeCell ref="A102:A103"/>
    <mergeCell ref="R91:R93"/>
    <mergeCell ref="S91:S93"/>
    <mergeCell ref="T91:T93"/>
    <mergeCell ref="U91:U94"/>
    <mergeCell ref="V92:V93"/>
    <mergeCell ref="W92:W93"/>
    <mergeCell ref="L91:L93"/>
    <mergeCell ref="M91:M93"/>
    <mergeCell ref="N91:N93"/>
    <mergeCell ref="O91:O93"/>
    <mergeCell ref="P91:P93"/>
    <mergeCell ref="Q91:Q93"/>
    <mergeCell ref="F91:F94"/>
    <mergeCell ref="G91:G93"/>
    <mergeCell ref="H91:H93"/>
    <mergeCell ref="I91:I93"/>
    <mergeCell ref="J91:J93"/>
    <mergeCell ref="H107:H109"/>
    <mergeCell ref="I107:I109"/>
    <mergeCell ref="J107:J109"/>
    <mergeCell ref="K107:K109"/>
    <mergeCell ref="A104:D104"/>
    <mergeCell ref="A107:A110"/>
    <mergeCell ref="B107:B110"/>
    <mergeCell ref="C107:C110"/>
    <mergeCell ref="D107:D110"/>
    <mergeCell ref="E107:E110"/>
    <mergeCell ref="X108:X109"/>
    <mergeCell ref="Y108:Y109"/>
    <mergeCell ref="Z108:Z109"/>
    <mergeCell ref="A111:A112"/>
    <mergeCell ref="B111:B133"/>
    <mergeCell ref="A113:A114"/>
    <mergeCell ref="A115:A116"/>
    <mergeCell ref="A117:A118"/>
    <mergeCell ref="A119:A120"/>
    <mergeCell ref="A121:A122"/>
    <mergeCell ref="R107:R109"/>
    <mergeCell ref="S107:S109"/>
    <mergeCell ref="T107:T109"/>
    <mergeCell ref="U107:U110"/>
    <mergeCell ref="V108:V109"/>
    <mergeCell ref="W108:W109"/>
    <mergeCell ref="L107:L109"/>
    <mergeCell ref="M107:M109"/>
    <mergeCell ref="N107:N109"/>
    <mergeCell ref="O107:O109"/>
    <mergeCell ref="P107:P109"/>
    <mergeCell ref="Q107:Q109"/>
    <mergeCell ref="F107:F110"/>
    <mergeCell ref="G107:G109"/>
    <mergeCell ref="A135:D135"/>
    <mergeCell ref="A137:A140"/>
    <mergeCell ref="B137:B140"/>
    <mergeCell ref="C137:C140"/>
    <mergeCell ref="D137:D140"/>
    <mergeCell ref="E137:E140"/>
    <mergeCell ref="A123:A124"/>
    <mergeCell ref="A125:A126"/>
    <mergeCell ref="A127:A128"/>
    <mergeCell ref="A129:A130"/>
    <mergeCell ref="A131:A133"/>
    <mergeCell ref="A134:D134"/>
    <mergeCell ref="X138:X139"/>
    <mergeCell ref="Y138:Y139"/>
    <mergeCell ref="Z138:Z139"/>
    <mergeCell ref="A141:A142"/>
    <mergeCell ref="B141:B142"/>
    <mergeCell ref="A143:D143"/>
    <mergeCell ref="R137:R139"/>
    <mergeCell ref="S137:S139"/>
    <mergeCell ref="T137:T139"/>
    <mergeCell ref="U137:U140"/>
    <mergeCell ref="V138:V139"/>
    <mergeCell ref="W138:W139"/>
    <mergeCell ref="L137:L139"/>
    <mergeCell ref="M137:M139"/>
    <mergeCell ref="N137:N139"/>
    <mergeCell ref="O137:O139"/>
    <mergeCell ref="P137:P139"/>
    <mergeCell ref="Q137:Q139"/>
    <mergeCell ref="F137:F140"/>
    <mergeCell ref="G137:G139"/>
    <mergeCell ref="H137:H139"/>
    <mergeCell ref="I137:I139"/>
    <mergeCell ref="J137:J139"/>
    <mergeCell ref="K137:K139"/>
  </mergeCells>
  <printOptions horizontalCentered="1"/>
  <pageMargins left="0.98425196850393704" right="0.70866141732283472" top="0.19685039370078741" bottom="0.74803149606299213" header="0.31496062992125984" footer="0.31496062992125984"/>
  <pageSetup paperSize="5" scale="6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A40" zoomScale="85" zoomScaleNormal="85" workbookViewId="0">
      <selection activeCell="A60" sqref="A1:XFD1048576"/>
    </sheetView>
  </sheetViews>
  <sheetFormatPr defaultRowHeight="15" x14ac:dyDescent="0.25"/>
  <sheetData/>
  <pageMargins left="0.70866141732283472" right="0.70866141732283472" top="0.39370078740157483" bottom="0.39370078740157483" header="0.31496062992125984" footer="0.31496062992125984"/>
  <pageSetup paperSize="5" scale="8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zoomScale="90" zoomScaleNormal="90" workbookViewId="0">
      <pane xSplit="5" ySplit="1" topLeftCell="F2" activePane="bottomRight" state="frozen"/>
      <selection activeCell="A60" sqref="A60:XFD60"/>
      <selection pane="topRight" activeCell="A60" sqref="A60:XFD60"/>
      <selection pane="bottomLeft" activeCell="A60" sqref="A60:XFD60"/>
      <selection pane="bottomRight" activeCell="A60" sqref="A1:XFD1048576"/>
    </sheetView>
  </sheetViews>
  <sheetFormatPr defaultRowHeight="15" x14ac:dyDescent="0.25"/>
  <cols>
    <col min="1" max="16384" width="9.140625" style="17"/>
  </cols>
  <sheetData/>
  <pageMargins left="0.70866141732283472" right="0.70866141732283472" top="0.39370078740157483" bottom="0.39370078740157483" header="0.31496062992125984" footer="0.31496062992125984"/>
  <pageSetup paperSize="5" scale="7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A1:AB1"/>
  <sheetViews>
    <sheetView topLeftCell="A43" zoomScale="80" zoomScaleNormal="80" workbookViewId="0">
      <selection activeCell="A60" sqref="A1:XFD1048576"/>
    </sheetView>
  </sheetViews>
  <sheetFormatPr defaultRowHeight="15" x14ac:dyDescent="0.25"/>
  <cols>
    <col min="27" max="28" width="9.140625" style="21"/>
  </cols>
  <sheetData/>
  <pageMargins left="0.70866141732283472" right="0.70866141732283472" top="0.39370078740157483" bottom="0.39370078740157483" header="0.31496062992125984" footer="0.31496062992125984"/>
  <pageSetup paperSize="5" scale="8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zoomScale="70" zoomScaleNormal="70" workbookViewId="0">
      <pane xSplit="3" ySplit="1" topLeftCell="E2" activePane="bottomRight" state="frozen"/>
      <selection activeCell="A60" sqref="A60:XFD60"/>
      <selection pane="topRight" activeCell="A60" sqref="A60:XFD60"/>
      <selection pane="bottomLeft" activeCell="A60" sqref="A60:XFD60"/>
      <selection pane="bottomRight" activeCell="B1" sqref="A1:XFD1048576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zoomScale="70" zoomScaleNormal="70" workbookViewId="0">
      <pane xSplit="1" ySplit="6" topLeftCell="B73" activePane="bottomRight" state="frozen"/>
      <selection pane="topRight" activeCell="D1" sqref="D1"/>
      <selection pane="bottomLeft" activeCell="A7" sqref="A7"/>
      <selection pane="bottomRight" sqref="A1:Z1048576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L15" sqref="L15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45"/>
  <sheetViews>
    <sheetView zoomScale="60" zoomScaleNormal="60" workbookViewId="0">
      <pane xSplit="3" ySplit="1" topLeftCell="D68" activePane="bottomRight" state="frozen"/>
      <selection activeCell="D53" sqref="D53:AA53"/>
      <selection pane="topRight" activeCell="D53" sqref="D53:AA53"/>
      <selection pane="bottomLeft" activeCell="D53" sqref="D53:AA53"/>
      <selection pane="bottomRight" activeCell="W80" sqref="W80"/>
    </sheetView>
  </sheetViews>
  <sheetFormatPr defaultRowHeight="15" x14ac:dyDescent="0.25"/>
  <cols>
    <col min="1" max="2" width="9.140625" style="17"/>
    <col min="3" max="3" width="25.140625" style="17" bestFit="1" customWidth="1"/>
    <col min="4" max="4" width="9.140625" style="17"/>
    <col min="5" max="5" width="6.28515625" style="62" customWidth="1"/>
    <col min="6" max="6" width="9.85546875" style="62" customWidth="1"/>
    <col min="7" max="12" width="9.140625" style="62"/>
    <col min="13" max="13" width="9" style="62" customWidth="1"/>
    <col min="14" max="15" width="9.140625" style="62"/>
    <col min="16" max="16" width="11" style="62" customWidth="1"/>
    <col min="17" max="26" width="9.140625" style="62"/>
    <col min="27" max="16384" width="9.140625" style="17"/>
  </cols>
  <sheetData>
    <row r="1" spans="1:26" ht="15.75" x14ac:dyDescent="0.25">
      <c r="A1" s="36" t="s">
        <v>0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.75" x14ac:dyDescent="0.25">
      <c r="A2" s="36" t="s">
        <v>82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113" t="s">
        <v>1</v>
      </c>
      <c r="B3" s="113" t="s">
        <v>2</v>
      </c>
      <c r="C3" s="106" t="s">
        <v>3</v>
      </c>
      <c r="D3" s="106" t="s">
        <v>4</v>
      </c>
      <c r="E3" s="112" t="s">
        <v>5</v>
      </c>
      <c r="F3" s="106" t="s">
        <v>6</v>
      </c>
      <c r="G3" s="106" t="s">
        <v>7</v>
      </c>
      <c r="H3" s="106" t="s">
        <v>8</v>
      </c>
      <c r="I3" s="112" t="s">
        <v>9</v>
      </c>
      <c r="J3" s="106" t="s">
        <v>10</v>
      </c>
      <c r="K3" s="106" t="s">
        <v>11</v>
      </c>
      <c r="L3" s="106" t="s">
        <v>12</v>
      </c>
      <c r="M3" s="106" t="s">
        <v>13</v>
      </c>
      <c r="N3" s="106" t="s">
        <v>14</v>
      </c>
      <c r="O3" s="106" t="s">
        <v>15</v>
      </c>
      <c r="P3" s="106" t="s">
        <v>16</v>
      </c>
      <c r="Q3" s="106" t="s">
        <v>17</v>
      </c>
      <c r="R3" s="106" t="s">
        <v>18</v>
      </c>
      <c r="S3" s="106" t="s">
        <v>19</v>
      </c>
      <c r="T3" s="106" t="s">
        <v>20</v>
      </c>
      <c r="U3" s="110" t="s">
        <v>21</v>
      </c>
      <c r="V3" s="37" t="s">
        <v>22</v>
      </c>
      <c r="W3" s="37" t="s">
        <v>23</v>
      </c>
      <c r="X3" s="37" t="s">
        <v>24</v>
      </c>
      <c r="Y3" s="37" t="s">
        <v>25</v>
      </c>
      <c r="Z3" s="37" t="s">
        <v>26</v>
      </c>
    </row>
    <row r="4" spans="1:26" x14ac:dyDescent="0.25">
      <c r="A4" s="113"/>
      <c r="B4" s="113"/>
      <c r="C4" s="106"/>
      <c r="D4" s="106"/>
      <c r="E4" s="112"/>
      <c r="F4" s="106"/>
      <c r="G4" s="106"/>
      <c r="H4" s="106"/>
      <c r="I4" s="112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10"/>
      <c r="V4" s="107" t="s">
        <v>27</v>
      </c>
      <c r="W4" s="107" t="s">
        <v>28</v>
      </c>
      <c r="X4" s="107" t="s">
        <v>29</v>
      </c>
      <c r="Y4" s="107" t="s">
        <v>30</v>
      </c>
      <c r="Z4" s="107" t="s">
        <v>31</v>
      </c>
    </row>
    <row r="5" spans="1:26" x14ac:dyDescent="0.25">
      <c r="A5" s="113"/>
      <c r="B5" s="113"/>
      <c r="C5" s="106"/>
      <c r="D5" s="106"/>
      <c r="E5" s="112"/>
      <c r="F5" s="106"/>
      <c r="G5" s="106"/>
      <c r="H5" s="106"/>
      <c r="I5" s="112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10"/>
      <c r="V5" s="111"/>
      <c r="W5" s="107"/>
      <c r="X5" s="107"/>
      <c r="Y5" s="107"/>
      <c r="Z5" s="107"/>
    </row>
    <row r="6" spans="1:26" x14ac:dyDescent="0.25">
      <c r="A6" s="113"/>
      <c r="B6" s="113"/>
      <c r="C6" s="106"/>
      <c r="D6" s="106"/>
      <c r="E6" s="112"/>
      <c r="F6" s="106"/>
      <c r="G6" s="39">
        <v>1</v>
      </c>
      <c r="H6" s="39">
        <v>2</v>
      </c>
      <c r="I6" s="39">
        <v>3</v>
      </c>
      <c r="J6" s="39">
        <v>4</v>
      </c>
      <c r="K6" s="39">
        <v>5</v>
      </c>
      <c r="L6" s="39">
        <v>6</v>
      </c>
      <c r="M6" s="39">
        <v>7</v>
      </c>
      <c r="N6" s="39">
        <v>8</v>
      </c>
      <c r="O6" s="39">
        <v>9</v>
      </c>
      <c r="P6" s="39">
        <v>10</v>
      </c>
      <c r="Q6" s="39">
        <v>11</v>
      </c>
      <c r="R6" s="39">
        <v>12</v>
      </c>
      <c r="S6" s="39">
        <v>13</v>
      </c>
      <c r="T6" s="39">
        <v>14</v>
      </c>
      <c r="U6" s="110"/>
      <c r="V6" s="38">
        <v>15</v>
      </c>
      <c r="W6" s="38">
        <v>16</v>
      </c>
      <c r="X6" s="38">
        <v>17</v>
      </c>
      <c r="Y6" s="38">
        <v>18</v>
      </c>
      <c r="Z6" s="38">
        <v>19</v>
      </c>
    </row>
    <row r="7" spans="1:26" ht="15.75" x14ac:dyDescent="0.25">
      <c r="A7" s="108">
        <v>1</v>
      </c>
      <c r="B7" s="117" t="s">
        <v>62</v>
      </c>
      <c r="C7" s="41" t="s">
        <v>63</v>
      </c>
      <c r="D7" s="41" t="s">
        <v>43</v>
      </c>
      <c r="E7" s="41">
        <f>+JAN!E7+FEB!E7+MAR!E7</f>
        <v>90</v>
      </c>
      <c r="F7" s="41">
        <f>MAR!F7</f>
        <v>14</v>
      </c>
      <c r="G7" s="41">
        <f>'[1]TT Per Ruang'!G96</f>
        <v>17</v>
      </c>
      <c r="H7" s="41">
        <f>+JAN!H7+FEB!H7+MAR!H7</f>
        <v>41</v>
      </c>
      <c r="I7" s="41">
        <f>+JAN!I7+FEB!I7+MAR!I7</f>
        <v>274</v>
      </c>
      <c r="J7" s="42">
        <v>117</v>
      </c>
      <c r="K7" s="41">
        <f>+JAN!K7+FEB!K7+MAR!K7</f>
        <v>277</v>
      </c>
      <c r="L7" s="41">
        <f>+JAN!L7+FEB!L7+MAR!L7</f>
        <v>0</v>
      </c>
      <c r="M7" s="42">
        <v>18</v>
      </c>
      <c r="N7" s="41">
        <f>+JAN!N7+FEB!N7+MAR!N7</f>
        <v>5</v>
      </c>
      <c r="O7" s="41">
        <f>+JAN!O7+FEB!O7+MAR!O7</f>
        <v>40</v>
      </c>
      <c r="P7" s="42">
        <v>111</v>
      </c>
      <c r="Q7" s="41">
        <f>+JAN!Q7+FEB!Q7+MAR!Q7</f>
        <v>404</v>
      </c>
      <c r="R7" s="41">
        <f>+JAN!R7+FEB!R7+MAR!R7</f>
        <v>1</v>
      </c>
      <c r="S7" s="41">
        <f>+JAN!S7+FEB!S7+MAR!S7</f>
        <v>932</v>
      </c>
      <c r="T7" s="42">
        <f>J7-P7</f>
        <v>6</v>
      </c>
      <c r="U7" s="42">
        <f>+L7+M7</f>
        <v>18</v>
      </c>
      <c r="V7" s="43">
        <f t="shared" ref="V7:V21" si="0">$S7/$E7</f>
        <v>10.355555555555556</v>
      </c>
      <c r="W7" s="43">
        <f t="shared" ref="W7:W21" si="1">$V7/$F7*100</f>
        <v>73.968253968253975</v>
      </c>
      <c r="X7" s="43">
        <f t="shared" ref="X7:X21" si="2">$S7/($L7+$M7)</f>
        <v>51.777777777777779</v>
      </c>
      <c r="Y7" s="44">
        <f t="shared" ref="Y7:Y21" si="3">(($F7-$V7)*$E7)/($L7+$M7)</f>
        <v>18.222222222222218</v>
      </c>
      <c r="Z7" s="43">
        <f t="shared" ref="Z7:Z21" si="4">($L7+$M7)/$F7</f>
        <v>1.2857142857142858</v>
      </c>
    </row>
    <row r="8" spans="1:26" ht="15.75" x14ac:dyDescent="0.25">
      <c r="A8" s="109"/>
      <c r="B8" s="118"/>
      <c r="C8" s="45" t="s">
        <v>63</v>
      </c>
      <c r="D8" s="45" t="s">
        <v>43</v>
      </c>
      <c r="E8" s="41">
        <f>+JAN!E8+FEB!E8+MAR!E8</f>
        <v>90</v>
      </c>
      <c r="F8" s="45">
        <f>SUM(F7)</f>
        <v>14</v>
      </c>
      <c r="G8" s="45">
        <f>SUM(G7)</f>
        <v>17</v>
      </c>
      <c r="H8" s="45">
        <f>SUM(H7)</f>
        <v>41</v>
      </c>
      <c r="I8" s="45">
        <f>SUM(I7)</f>
        <v>274</v>
      </c>
      <c r="J8" s="45">
        <v>117</v>
      </c>
      <c r="K8" s="45">
        <f>SUM(K7)</f>
        <v>277</v>
      </c>
      <c r="L8" s="45">
        <f>SUM(L7)</f>
        <v>0</v>
      </c>
      <c r="M8" s="45">
        <v>18</v>
      </c>
      <c r="N8" s="45">
        <f>SUM(N7)</f>
        <v>5</v>
      </c>
      <c r="O8" s="45">
        <f>SUM(O7)</f>
        <v>40</v>
      </c>
      <c r="P8" s="45">
        <v>111</v>
      </c>
      <c r="Q8" s="45">
        <f>SUM(Q7)</f>
        <v>404</v>
      </c>
      <c r="R8" s="45">
        <f>SUM(R7)</f>
        <v>1</v>
      </c>
      <c r="S8" s="45">
        <f>SUM(S7)</f>
        <v>932</v>
      </c>
      <c r="T8" s="46">
        <f t="shared" ref="T8:T21" si="5">J8-P8</f>
        <v>6</v>
      </c>
      <c r="U8" s="46">
        <f t="shared" ref="U8:U21" si="6">+L8+M8</f>
        <v>18</v>
      </c>
      <c r="V8" s="47">
        <f t="shared" si="0"/>
        <v>10.355555555555556</v>
      </c>
      <c r="W8" s="47">
        <f t="shared" si="1"/>
        <v>73.968253968253975</v>
      </c>
      <c r="X8" s="47">
        <f t="shared" si="2"/>
        <v>51.777777777777779</v>
      </c>
      <c r="Y8" s="47">
        <f t="shared" si="3"/>
        <v>18.222222222222218</v>
      </c>
      <c r="Z8" s="47">
        <f t="shared" si="4"/>
        <v>1.2857142857142858</v>
      </c>
    </row>
    <row r="9" spans="1:26" ht="15.75" x14ac:dyDescent="0.25">
      <c r="A9" s="108">
        <v>2</v>
      </c>
      <c r="B9" s="118"/>
      <c r="C9" s="41" t="s">
        <v>64</v>
      </c>
      <c r="D9" s="41" t="s">
        <v>43</v>
      </c>
      <c r="E9" s="41">
        <f>+JAN!E9+FEB!E9+MAR!E9</f>
        <v>90</v>
      </c>
      <c r="F9" s="41">
        <f>MAR!F9</f>
        <v>5</v>
      </c>
      <c r="G9" s="41">
        <f>'[1]TT Per Ruang'!G98</f>
        <v>2</v>
      </c>
      <c r="H9" s="41">
        <f>+JAN!H9+FEB!H9+MAR!H9</f>
        <v>221</v>
      </c>
      <c r="I9" s="41">
        <f>+JAN!I9+FEB!I9+MAR!I9</f>
        <v>29</v>
      </c>
      <c r="J9" s="42">
        <v>83</v>
      </c>
      <c r="K9" s="41">
        <f>+JAN!K9+FEB!K9+MAR!K9</f>
        <v>228</v>
      </c>
      <c r="L9" s="41">
        <f>+JAN!L9+FEB!L9+MAR!L9</f>
        <v>3</v>
      </c>
      <c r="M9" s="42">
        <v>1</v>
      </c>
      <c r="N9" s="41">
        <f>+JAN!N9+FEB!N9+MAR!N9</f>
        <v>14</v>
      </c>
      <c r="O9" s="41">
        <f>+JAN!O9+FEB!O9+MAR!O9</f>
        <v>2</v>
      </c>
      <c r="P9" s="42">
        <v>78</v>
      </c>
      <c r="Q9" s="41">
        <f>+JAN!Q9+FEB!Q9+MAR!Q9</f>
        <v>23</v>
      </c>
      <c r="R9" s="41">
        <f>+JAN!R9+FEB!R9+MAR!R9</f>
        <v>5</v>
      </c>
      <c r="S9" s="41">
        <f>+JAN!S9+FEB!S9+MAR!S9</f>
        <v>314</v>
      </c>
      <c r="T9" s="42">
        <f t="shared" si="5"/>
        <v>5</v>
      </c>
      <c r="U9" s="42">
        <f t="shared" si="6"/>
        <v>4</v>
      </c>
      <c r="V9" s="43">
        <f t="shared" si="0"/>
        <v>3.4888888888888889</v>
      </c>
      <c r="W9" s="43">
        <f t="shared" si="1"/>
        <v>69.777777777777786</v>
      </c>
      <c r="X9" s="43">
        <f t="shared" si="2"/>
        <v>78.5</v>
      </c>
      <c r="Y9" s="44">
        <f t="shared" si="3"/>
        <v>34</v>
      </c>
      <c r="Z9" s="43">
        <f t="shared" si="4"/>
        <v>0.8</v>
      </c>
    </row>
    <row r="10" spans="1:26" ht="15.75" x14ac:dyDescent="0.25">
      <c r="A10" s="109"/>
      <c r="B10" s="118"/>
      <c r="C10" s="45" t="s">
        <v>64</v>
      </c>
      <c r="D10" s="45" t="s">
        <v>43</v>
      </c>
      <c r="E10" s="41">
        <f>+JAN!E10+FEB!E10+MAR!E10</f>
        <v>90</v>
      </c>
      <c r="F10" s="45">
        <f>SUM(F9)</f>
        <v>5</v>
      </c>
      <c r="G10" s="45">
        <f>SUM(G9)</f>
        <v>2</v>
      </c>
      <c r="H10" s="45">
        <f>SUM(H9)</f>
        <v>221</v>
      </c>
      <c r="I10" s="45">
        <f>SUM(I9)</f>
        <v>29</v>
      </c>
      <c r="J10" s="45">
        <v>83</v>
      </c>
      <c r="K10" s="45">
        <f>SUM(K9)</f>
        <v>228</v>
      </c>
      <c r="L10" s="45">
        <f>SUM(L9)</f>
        <v>3</v>
      </c>
      <c r="M10" s="45">
        <v>1</v>
      </c>
      <c r="N10" s="45">
        <f>SUM(N9)</f>
        <v>14</v>
      </c>
      <c r="O10" s="45">
        <f>SUM(O9)</f>
        <v>2</v>
      </c>
      <c r="P10" s="45">
        <v>78</v>
      </c>
      <c r="Q10" s="45">
        <f>SUM(Q9)</f>
        <v>23</v>
      </c>
      <c r="R10" s="45">
        <f>SUM(R9)</f>
        <v>5</v>
      </c>
      <c r="S10" s="45">
        <f>SUM(S9)</f>
        <v>314</v>
      </c>
      <c r="T10" s="46">
        <f t="shared" si="5"/>
        <v>5</v>
      </c>
      <c r="U10" s="46">
        <f t="shared" si="6"/>
        <v>4</v>
      </c>
      <c r="V10" s="47">
        <f t="shared" si="0"/>
        <v>3.4888888888888889</v>
      </c>
      <c r="W10" s="47">
        <f t="shared" si="1"/>
        <v>69.777777777777786</v>
      </c>
      <c r="X10" s="47">
        <f t="shared" si="2"/>
        <v>78.5</v>
      </c>
      <c r="Y10" s="47">
        <f t="shared" si="3"/>
        <v>34</v>
      </c>
      <c r="Z10" s="47">
        <f t="shared" si="4"/>
        <v>0.8</v>
      </c>
    </row>
    <row r="11" spans="1:26" ht="15.75" x14ac:dyDescent="0.25">
      <c r="A11" s="108">
        <v>3</v>
      </c>
      <c r="B11" s="118"/>
      <c r="C11" s="41" t="s">
        <v>65</v>
      </c>
      <c r="D11" s="41" t="s">
        <v>43</v>
      </c>
      <c r="E11" s="41">
        <f>+JAN!E11+FEB!E11+MAR!E11</f>
        <v>90</v>
      </c>
      <c r="F11" s="41">
        <f>MAR!F11</f>
        <v>3</v>
      </c>
      <c r="G11" s="41">
        <f>'[1]TT Per Ruang'!G100</f>
        <v>2</v>
      </c>
      <c r="H11" s="41">
        <f>+JAN!H11+FEB!H11+MAR!H11</f>
        <v>40</v>
      </c>
      <c r="I11" s="41">
        <f>+JAN!I11+FEB!I11+MAR!I11</f>
        <v>27</v>
      </c>
      <c r="J11" s="42">
        <v>26</v>
      </c>
      <c r="K11" s="41">
        <f>+JAN!K11+FEB!K11+MAR!K11</f>
        <v>55</v>
      </c>
      <c r="L11" s="41">
        <f>+JAN!L11+FEB!L11+MAR!L11</f>
        <v>1</v>
      </c>
      <c r="M11" s="42">
        <v>3</v>
      </c>
      <c r="N11" s="41">
        <f>+JAN!N11+FEB!N11+MAR!N11</f>
        <v>5</v>
      </c>
      <c r="O11" s="41">
        <f>+JAN!O11+FEB!O11+MAR!O11</f>
        <v>5</v>
      </c>
      <c r="P11" s="42">
        <v>23</v>
      </c>
      <c r="Q11" s="41">
        <f>+JAN!Q11+FEB!Q11+MAR!Q11</f>
        <v>64</v>
      </c>
      <c r="R11" s="41">
        <f>+JAN!R11+FEB!R11+MAR!R11</f>
        <v>0</v>
      </c>
      <c r="S11" s="41">
        <f>+JAN!S11+FEB!S11+MAR!S11</f>
        <v>186</v>
      </c>
      <c r="T11" s="42">
        <f t="shared" si="5"/>
        <v>3</v>
      </c>
      <c r="U11" s="42">
        <f t="shared" si="6"/>
        <v>4</v>
      </c>
      <c r="V11" s="43">
        <f t="shared" si="0"/>
        <v>2.0666666666666669</v>
      </c>
      <c r="W11" s="43">
        <f t="shared" si="1"/>
        <v>68.8888888888889</v>
      </c>
      <c r="X11" s="43">
        <f t="shared" si="2"/>
        <v>46.5</v>
      </c>
      <c r="Y11" s="44">
        <f t="shared" si="3"/>
        <v>20.999999999999996</v>
      </c>
      <c r="Z11" s="43">
        <f t="shared" si="4"/>
        <v>1.3333333333333333</v>
      </c>
    </row>
    <row r="12" spans="1:26" ht="15.75" x14ac:dyDescent="0.25">
      <c r="A12" s="109"/>
      <c r="B12" s="118"/>
      <c r="C12" s="45" t="s">
        <v>65</v>
      </c>
      <c r="D12" s="45" t="s">
        <v>43</v>
      </c>
      <c r="E12" s="41">
        <f>+JAN!E12+FEB!E12+MAR!E12</f>
        <v>90</v>
      </c>
      <c r="F12" s="45">
        <f>SUM(F11)</f>
        <v>3</v>
      </c>
      <c r="G12" s="45">
        <f>SUM(G11)</f>
        <v>2</v>
      </c>
      <c r="H12" s="45">
        <f>SUM(H11)</f>
        <v>40</v>
      </c>
      <c r="I12" s="45">
        <f>SUM(I11)</f>
        <v>27</v>
      </c>
      <c r="J12" s="45">
        <v>26</v>
      </c>
      <c r="K12" s="45">
        <f>SUM(K11)</f>
        <v>55</v>
      </c>
      <c r="L12" s="45">
        <f>SUM(L11)</f>
        <v>1</v>
      </c>
      <c r="M12" s="45">
        <v>3</v>
      </c>
      <c r="N12" s="45">
        <f>SUM(N11)</f>
        <v>5</v>
      </c>
      <c r="O12" s="45">
        <f>SUM(O11)</f>
        <v>5</v>
      </c>
      <c r="P12" s="45">
        <v>23</v>
      </c>
      <c r="Q12" s="45">
        <f>SUM(Q11)</f>
        <v>64</v>
      </c>
      <c r="R12" s="45">
        <f>SUM(R11)</f>
        <v>0</v>
      </c>
      <c r="S12" s="45">
        <f>SUM(S11)</f>
        <v>186</v>
      </c>
      <c r="T12" s="46">
        <f t="shared" si="5"/>
        <v>3</v>
      </c>
      <c r="U12" s="46">
        <f t="shared" si="6"/>
        <v>4</v>
      </c>
      <c r="V12" s="47">
        <f t="shared" si="0"/>
        <v>2.0666666666666669</v>
      </c>
      <c r="W12" s="47">
        <f t="shared" si="1"/>
        <v>68.8888888888889</v>
      </c>
      <c r="X12" s="47">
        <f t="shared" si="2"/>
        <v>46.5</v>
      </c>
      <c r="Y12" s="47">
        <f t="shared" si="3"/>
        <v>20.999999999999996</v>
      </c>
      <c r="Z12" s="47">
        <f t="shared" si="4"/>
        <v>1.3333333333333333</v>
      </c>
    </row>
    <row r="13" spans="1:26" ht="15.75" x14ac:dyDescent="0.25">
      <c r="A13" s="108">
        <v>4</v>
      </c>
      <c r="B13" s="118"/>
      <c r="C13" s="42" t="s">
        <v>66</v>
      </c>
      <c r="D13" s="42" t="s">
        <v>43</v>
      </c>
      <c r="E13" s="41">
        <f>+JAN!E13+FEB!E13+MAR!E13</f>
        <v>90</v>
      </c>
      <c r="F13" s="41">
        <f>MAR!F13</f>
        <v>5</v>
      </c>
      <c r="G13" s="42">
        <f>'[1]TT Per Ruang'!G102</f>
        <v>5</v>
      </c>
      <c r="H13" s="41">
        <f>+JAN!H13+FEB!H13+MAR!H13</f>
        <v>30</v>
      </c>
      <c r="I13" s="41">
        <f>+JAN!I13+FEB!I13+MAR!I13</f>
        <v>50</v>
      </c>
      <c r="J13" s="42">
        <v>36</v>
      </c>
      <c r="K13" s="41">
        <f>+JAN!K13+FEB!K13+MAR!K13</f>
        <v>59</v>
      </c>
      <c r="L13" s="41">
        <f>+JAN!L13+FEB!L13+MAR!L13</f>
        <v>1</v>
      </c>
      <c r="M13" s="42">
        <v>7</v>
      </c>
      <c r="N13" s="41">
        <f>+JAN!N13+FEB!N13+MAR!N13</f>
        <v>9</v>
      </c>
      <c r="O13" s="41">
        <f>+JAN!O13+FEB!O13+MAR!O13</f>
        <v>11</v>
      </c>
      <c r="P13" s="42">
        <v>31</v>
      </c>
      <c r="Q13" s="41">
        <f>+JAN!Q13+FEB!Q13+MAR!Q13</f>
        <v>127</v>
      </c>
      <c r="R13" s="41">
        <f>+JAN!R13+FEB!R13+MAR!R13</f>
        <v>2</v>
      </c>
      <c r="S13" s="41">
        <f>+JAN!S13+FEB!S13+MAR!S13</f>
        <v>364</v>
      </c>
      <c r="T13" s="42">
        <f t="shared" si="5"/>
        <v>5</v>
      </c>
      <c r="U13" s="42">
        <f t="shared" si="6"/>
        <v>8</v>
      </c>
      <c r="V13" s="43">
        <f t="shared" si="0"/>
        <v>4.0444444444444443</v>
      </c>
      <c r="W13" s="43">
        <f t="shared" si="1"/>
        <v>80.888888888888886</v>
      </c>
      <c r="X13" s="43">
        <f t="shared" si="2"/>
        <v>45.5</v>
      </c>
      <c r="Y13" s="44">
        <f t="shared" si="3"/>
        <v>10.750000000000002</v>
      </c>
      <c r="Z13" s="43">
        <f t="shared" si="4"/>
        <v>1.6</v>
      </c>
    </row>
    <row r="14" spans="1:26" ht="15.75" x14ac:dyDescent="0.25">
      <c r="A14" s="109"/>
      <c r="B14" s="118"/>
      <c r="C14" s="45" t="s">
        <v>66</v>
      </c>
      <c r="D14" s="45" t="s">
        <v>43</v>
      </c>
      <c r="E14" s="41">
        <f>+JAN!E14+FEB!E14+MAR!E14</f>
        <v>90</v>
      </c>
      <c r="F14" s="45">
        <f>SUM(F13)</f>
        <v>5</v>
      </c>
      <c r="G14" s="45">
        <f>SUM(G13)</f>
        <v>5</v>
      </c>
      <c r="H14" s="45">
        <f>SUM(H13)</f>
        <v>30</v>
      </c>
      <c r="I14" s="45">
        <f>SUM(I13)</f>
        <v>50</v>
      </c>
      <c r="J14" s="45">
        <v>36</v>
      </c>
      <c r="K14" s="45">
        <f>SUM(K13)</f>
        <v>59</v>
      </c>
      <c r="L14" s="45">
        <f>SUM(L13)</f>
        <v>1</v>
      </c>
      <c r="M14" s="45">
        <v>7</v>
      </c>
      <c r="N14" s="45">
        <f>SUM(N13)</f>
        <v>9</v>
      </c>
      <c r="O14" s="45">
        <f>SUM(O13)</f>
        <v>11</v>
      </c>
      <c r="P14" s="45">
        <v>31</v>
      </c>
      <c r="Q14" s="45">
        <f>SUM(Q13)</f>
        <v>127</v>
      </c>
      <c r="R14" s="45">
        <f>SUM(R13)</f>
        <v>2</v>
      </c>
      <c r="S14" s="45">
        <f>SUM(S13)</f>
        <v>364</v>
      </c>
      <c r="T14" s="46">
        <f t="shared" si="5"/>
        <v>5</v>
      </c>
      <c r="U14" s="46">
        <f t="shared" si="6"/>
        <v>8</v>
      </c>
      <c r="V14" s="47">
        <f t="shared" si="0"/>
        <v>4.0444444444444443</v>
      </c>
      <c r="W14" s="47">
        <f t="shared" si="1"/>
        <v>80.888888888888886</v>
      </c>
      <c r="X14" s="47">
        <f t="shared" si="2"/>
        <v>45.5</v>
      </c>
      <c r="Y14" s="47">
        <f t="shared" si="3"/>
        <v>10.750000000000002</v>
      </c>
      <c r="Z14" s="47">
        <f t="shared" si="4"/>
        <v>1.6</v>
      </c>
    </row>
    <row r="15" spans="1:26" ht="15.75" x14ac:dyDescent="0.25">
      <c r="A15" s="108">
        <v>5</v>
      </c>
      <c r="B15" s="118"/>
      <c r="C15" s="42" t="s">
        <v>67</v>
      </c>
      <c r="D15" s="42" t="s">
        <v>43</v>
      </c>
      <c r="E15" s="41">
        <f>+JAN!E15+FEB!E15+MAR!E15</f>
        <v>90</v>
      </c>
      <c r="F15" s="41">
        <f>MAR!F15</f>
        <v>4</v>
      </c>
      <c r="G15" s="42">
        <f>'[1]TT Per Ruang'!G104</f>
        <v>3</v>
      </c>
      <c r="H15" s="41">
        <f>+JAN!H15+FEB!H15+MAR!H15</f>
        <v>79</v>
      </c>
      <c r="I15" s="41">
        <f>+JAN!I15+FEB!I15+MAR!I15</f>
        <v>32</v>
      </c>
      <c r="J15" s="42">
        <v>51</v>
      </c>
      <c r="K15" s="41">
        <f>+JAN!K15+FEB!K15+MAR!K15</f>
        <v>75</v>
      </c>
      <c r="L15" s="41">
        <f>+JAN!L15+FEB!L15+MAR!L15</f>
        <v>1</v>
      </c>
      <c r="M15" s="42">
        <v>16</v>
      </c>
      <c r="N15" s="41">
        <f>+JAN!N15+FEB!N15+MAR!N15</f>
        <v>26</v>
      </c>
      <c r="O15" s="41">
        <f>+JAN!O15+FEB!O15+MAR!O15</f>
        <v>11</v>
      </c>
      <c r="P15" s="42">
        <v>48</v>
      </c>
      <c r="Q15" s="41">
        <f>+JAN!Q15+FEB!Q15+MAR!Q15</f>
        <v>86</v>
      </c>
      <c r="R15" s="41">
        <f>+JAN!R15+FEB!R15+MAR!R15</f>
        <v>7</v>
      </c>
      <c r="S15" s="41">
        <f>+JAN!S15+FEB!S15+MAR!S15</f>
        <v>231</v>
      </c>
      <c r="T15" s="42">
        <f t="shared" si="5"/>
        <v>3</v>
      </c>
      <c r="U15" s="42">
        <f t="shared" si="6"/>
        <v>17</v>
      </c>
      <c r="V15" s="43">
        <f t="shared" si="0"/>
        <v>2.5666666666666669</v>
      </c>
      <c r="W15" s="43">
        <f t="shared" si="1"/>
        <v>64.166666666666671</v>
      </c>
      <c r="X15" s="43">
        <f t="shared" si="2"/>
        <v>13.588235294117647</v>
      </c>
      <c r="Y15" s="44">
        <f t="shared" si="3"/>
        <v>7.588235294117645</v>
      </c>
      <c r="Z15" s="43">
        <f t="shared" si="4"/>
        <v>4.25</v>
      </c>
    </row>
    <row r="16" spans="1:26" ht="15.75" x14ac:dyDescent="0.25">
      <c r="A16" s="109"/>
      <c r="B16" s="118"/>
      <c r="C16" s="45" t="s">
        <v>67</v>
      </c>
      <c r="D16" s="45" t="s">
        <v>43</v>
      </c>
      <c r="E16" s="41">
        <f>+JAN!E16+FEB!E16+MAR!E16</f>
        <v>90</v>
      </c>
      <c r="F16" s="45">
        <f>SUM(F15)</f>
        <v>4</v>
      </c>
      <c r="G16" s="45">
        <f>SUM(G15)</f>
        <v>3</v>
      </c>
      <c r="H16" s="45">
        <f>SUM(H15)</f>
        <v>79</v>
      </c>
      <c r="I16" s="45">
        <f>SUM(I15)</f>
        <v>32</v>
      </c>
      <c r="J16" s="45">
        <v>51</v>
      </c>
      <c r="K16" s="45">
        <f>SUM(K15)</f>
        <v>75</v>
      </c>
      <c r="L16" s="45">
        <f>SUM(L15)</f>
        <v>1</v>
      </c>
      <c r="M16" s="45">
        <v>16</v>
      </c>
      <c r="N16" s="45">
        <f>SUM(N15)</f>
        <v>26</v>
      </c>
      <c r="O16" s="45">
        <f>SUM(O15)</f>
        <v>11</v>
      </c>
      <c r="P16" s="45">
        <v>48</v>
      </c>
      <c r="Q16" s="45">
        <f>SUM(Q15)</f>
        <v>86</v>
      </c>
      <c r="R16" s="45">
        <f>SUM(R15)</f>
        <v>7</v>
      </c>
      <c r="S16" s="45">
        <f>SUM(S15)</f>
        <v>231</v>
      </c>
      <c r="T16" s="46">
        <f t="shared" si="5"/>
        <v>3</v>
      </c>
      <c r="U16" s="46">
        <f t="shared" si="6"/>
        <v>17</v>
      </c>
      <c r="V16" s="47">
        <f t="shared" si="0"/>
        <v>2.5666666666666669</v>
      </c>
      <c r="W16" s="47">
        <f t="shared" si="1"/>
        <v>64.166666666666671</v>
      </c>
      <c r="X16" s="47">
        <f t="shared" si="2"/>
        <v>13.588235294117647</v>
      </c>
      <c r="Y16" s="47">
        <f t="shared" si="3"/>
        <v>7.588235294117645</v>
      </c>
      <c r="Z16" s="47">
        <f t="shared" si="4"/>
        <v>4.25</v>
      </c>
    </row>
    <row r="17" spans="1:26" ht="15.75" x14ac:dyDescent="0.25">
      <c r="A17" s="108">
        <v>6</v>
      </c>
      <c r="B17" s="118"/>
      <c r="C17" s="42" t="s">
        <v>58</v>
      </c>
      <c r="D17" s="42" t="s">
        <v>43</v>
      </c>
      <c r="E17" s="41">
        <f>+JAN!E17+FEB!E17+MAR!E17</f>
        <v>90</v>
      </c>
      <c r="F17" s="41">
        <f>MAR!F17</f>
        <v>2</v>
      </c>
      <c r="G17" s="42">
        <f>'[1]TT Per Ruang'!G106</f>
        <v>0</v>
      </c>
      <c r="H17" s="41">
        <f>+JAN!H17+FEB!H17+MAR!H17</f>
        <v>26</v>
      </c>
      <c r="I17" s="41">
        <f>+JAN!I17+FEB!I17+MAR!I17</f>
        <v>12</v>
      </c>
      <c r="J17" s="42">
        <v>12</v>
      </c>
      <c r="K17" s="41">
        <f>+JAN!K17+FEB!K17+MAR!K17</f>
        <v>23</v>
      </c>
      <c r="L17" s="41">
        <f>+JAN!L17+FEB!L17+MAR!L17</f>
        <v>1</v>
      </c>
      <c r="M17" s="42">
        <v>4</v>
      </c>
      <c r="N17" s="41">
        <f>+JAN!N17+FEB!N17+MAR!N17</f>
        <v>6</v>
      </c>
      <c r="O17" s="41">
        <f>+JAN!O17+FEB!O17+MAR!O17</f>
        <v>7</v>
      </c>
      <c r="P17" s="42">
        <v>11</v>
      </c>
      <c r="Q17" s="41">
        <f>+JAN!Q17+FEB!Q17+MAR!Q17</f>
        <v>41</v>
      </c>
      <c r="R17" s="41">
        <f>+JAN!R17+FEB!R17+MAR!R17</f>
        <v>2</v>
      </c>
      <c r="S17" s="41">
        <f>+JAN!S17+FEB!S17+MAR!S17</f>
        <v>112</v>
      </c>
      <c r="T17" s="42">
        <f t="shared" si="5"/>
        <v>1</v>
      </c>
      <c r="U17" s="42">
        <f t="shared" si="6"/>
        <v>5</v>
      </c>
      <c r="V17" s="43">
        <f t="shared" si="0"/>
        <v>1.2444444444444445</v>
      </c>
      <c r="W17" s="43">
        <f t="shared" si="1"/>
        <v>62.222222222222221</v>
      </c>
      <c r="X17" s="43">
        <f t="shared" si="2"/>
        <v>22.4</v>
      </c>
      <c r="Y17" s="44">
        <f t="shared" si="3"/>
        <v>13.6</v>
      </c>
      <c r="Z17" s="43">
        <f t="shared" si="4"/>
        <v>2.5</v>
      </c>
    </row>
    <row r="18" spans="1:26" ht="15.75" x14ac:dyDescent="0.25">
      <c r="A18" s="109"/>
      <c r="B18" s="118"/>
      <c r="C18" s="45" t="s">
        <v>58</v>
      </c>
      <c r="D18" s="45"/>
      <c r="E18" s="41">
        <f>+JAN!E18+FEB!E18+MAR!E18</f>
        <v>90</v>
      </c>
      <c r="F18" s="45">
        <f>SUM(F17)</f>
        <v>2</v>
      </c>
      <c r="G18" s="45">
        <f>SUM(G17)</f>
        <v>0</v>
      </c>
      <c r="H18" s="45">
        <f>SUM(H17)</f>
        <v>26</v>
      </c>
      <c r="I18" s="45">
        <f>SUM(I17)</f>
        <v>12</v>
      </c>
      <c r="J18" s="45">
        <v>12</v>
      </c>
      <c r="K18" s="45">
        <f>SUM(K17)</f>
        <v>23</v>
      </c>
      <c r="L18" s="45">
        <f>SUM(L17)</f>
        <v>1</v>
      </c>
      <c r="M18" s="45">
        <v>4</v>
      </c>
      <c r="N18" s="45">
        <f>SUM(N17)</f>
        <v>6</v>
      </c>
      <c r="O18" s="45">
        <f>SUM(O17)</f>
        <v>7</v>
      </c>
      <c r="P18" s="45">
        <v>11</v>
      </c>
      <c r="Q18" s="45">
        <f>SUM(Q17)</f>
        <v>41</v>
      </c>
      <c r="R18" s="45">
        <f>SUM(R17)</f>
        <v>2</v>
      </c>
      <c r="S18" s="45">
        <f>SUM(S17)</f>
        <v>112</v>
      </c>
      <c r="T18" s="46">
        <f t="shared" si="5"/>
        <v>1</v>
      </c>
      <c r="U18" s="46">
        <f t="shared" si="6"/>
        <v>5</v>
      </c>
      <c r="V18" s="47">
        <f t="shared" si="0"/>
        <v>1.2444444444444445</v>
      </c>
      <c r="W18" s="47">
        <f t="shared" si="1"/>
        <v>62.222222222222221</v>
      </c>
      <c r="X18" s="47">
        <f t="shared" si="2"/>
        <v>22.4</v>
      </c>
      <c r="Y18" s="47">
        <f t="shared" si="3"/>
        <v>13.6</v>
      </c>
      <c r="Z18" s="47">
        <f t="shared" si="4"/>
        <v>2.5</v>
      </c>
    </row>
    <row r="19" spans="1:26" ht="15.75" x14ac:dyDescent="0.25">
      <c r="A19" s="108">
        <v>7</v>
      </c>
      <c r="B19" s="118"/>
      <c r="C19" s="42" t="s">
        <v>73</v>
      </c>
      <c r="D19" s="42" t="s">
        <v>36</v>
      </c>
      <c r="E19" s="41">
        <f>+JAN!E19+FEB!E19+MAR!E19</f>
        <v>90</v>
      </c>
      <c r="F19" s="41">
        <f>MAR!F19</f>
        <v>15</v>
      </c>
      <c r="G19" s="42">
        <f>'[1]TT Per Ruang'!G20</f>
        <v>12</v>
      </c>
      <c r="H19" s="41">
        <f>+JAN!H19+FEB!H19+MAR!H19</f>
        <v>227</v>
      </c>
      <c r="I19" s="41">
        <f>+JAN!I19+FEB!I19+MAR!I19</f>
        <v>86</v>
      </c>
      <c r="J19" s="42">
        <v>124</v>
      </c>
      <c r="K19" s="41">
        <f>+JAN!K19+FEB!K19+MAR!K19</f>
        <v>58</v>
      </c>
      <c r="L19" s="41">
        <f>+JAN!L19+FEB!L19+MAR!L19</f>
        <v>208</v>
      </c>
      <c r="M19" s="42">
        <v>19</v>
      </c>
      <c r="N19" s="41">
        <f>+JAN!N19+FEB!N19+MAR!N19</f>
        <v>27</v>
      </c>
      <c r="O19" s="41">
        <f>+JAN!O19+FEB!O19+MAR!O19</f>
        <v>18</v>
      </c>
      <c r="P19" s="42">
        <v>112</v>
      </c>
      <c r="Q19" s="41">
        <f>+JAN!Q19+FEB!Q19+MAR!Q19</f>
        <v>1058</v>
      </c>
      <c r="R19" s="41">
        <f>+JAN!R19+FEB!R19+MAR!R19</f>
        <v>6</v>
      </c>
      <c r="S19" s="41">
        <f>+JAN!S19+FEB!S19+MAR!S19</f>
        <v>1087</v>
      </c>
      <c r="T19" s="42">
        <f t="shared" si="5"/>
        <v>12</v>
      </c>
      <c r="U19" s="42">
        <f t="shared" si="6"/>
        <v>227</v>
      </c>
      <c r="V19" s="43">
        <f t="shared" si="0"/>
        <v>12.077777777777778</v>
      </c>
      <c r="W19" s="43">
        <f t="shared" si="1"/>
        <v>80.518518518518505</v>
      </c>
      <c r="X19" s="43">
        <f t="shared" si="2"/>
        <v>4.7885462555066081</v>
      </c>
      <c r="Y19" s="44">
        <f t="shared" si="3"/>
        <v>1.158590308370044</v>
      </c>
      <c r="Z19" s="43">
        <f t="shared" si="4"/>
        <v>15.133333333333333</v>
      </c>
    </row>
    <row r="20" spans="1:26" ht="15.75" x14ac:dyDescent="0.25">
      <c r="A20" s="109"/>
      <c r="B20" s="119"/>
      <c r="C20" s="45" t="s">
        <v>73</v>
      </c>
      <c r="D20" s="45" t="s">
        <v>36</v>
      </c>
      <c r="E20" s="41">
        <f>+JAN!E20+FEB!E20+MAR!E20</f>
        <v>90</v>
      </c>
      <c r="F20" s="45">
        <f>SUM(F19)</f>
        <v>15</v>
      </c>
      <c r="G20" s="45">
        <f>SUM(G19)</f>
        <v>12</v>
      </c>
      <c r="H20" s="45">
        <f>SUM(H19)</f>
        <v>227</v>
      </c>
      <c r="I20" s="45">
        <f>SUM(I19)</f>
        <v>86</v>
      </c>
      <c r="J20" s="45">
        <v>124</v>
      </c>
      <c r="K20" s="45">
        <f>SUM(K19)</f>
        <v>58</v>
      </c>
      <c r="L20" s="45">
        <f>SUM(L19)</f>
        <v>208</v>
      </c>
      <c r="M20" s="45">
        <v>19</v>
      </c>
      <c r="N20" s="45">
        <f>SUM(N19)</f>
        <v>27</v>
      </c>
      <c r="O20" s="45">
        <f>SUM(O19)</f>
        <v>18</v>
      </c>
      <c r="P20" s="45">
        <v>112</v>
      </c>
      <c r="Q20" s="45">
        <f>SUM(Q19)</f>
        <v>1058</v>
      </c>
      <c r="R20" s="45">
        <f>SUM(R19)</f>
        <v>6</v>
      </c>
      <c r="S20" s="45">
        <f>SUM(S19)</f>
        <v>1087</v>
      </c>
      <c r="T20" s="46">
        <f t="shared" si="5"/>
        <v>12</v>
      </c>
      <c r="U20" s="46">
        <f t="shared" si="6"/>
        <v>227</v>
      </c>
      <c r="V20" s="47">
        <f t="shared" si="0"/>
        <v>12.077777777777778</v>
      </c>
      <c r="W20" s="47">
        <f t="shared" si="1"/>
        <v>80.518518518518505</v>
      </c>
      <c r="X20" s="47">
        <f t="shared" si="2"/>
        <v>4.7885462555066081</v>
      </c>
      <c r="Y20" s="47">
        <f t="shared" si="3"/>
        <v>1.158590308370044</v>
      </c>
      <c r="Z20" s="47">
        <f t="shared" si="4"/>
        <v>15.133333333333333</v>
      </c>
    </row>
    <row r="21" spans="1:26" ht="15.75" x14ac:dyDescent="0.25">
      <c r="A21" s="114" t="s">
        <v>69</v>
      </c>
      <c r="B21" s="115"/>
      <c r="C21" s="115"/>
      <c r="D21" s="116"/>
      <c r="E21" s="41">
        <f>+JAN!E21+FEB!E21+MAR!E21</f>
        <v>90</v>
      </c>
      <c r="F21" s="48">
        <f>+F8+F10+F12+F14+F16+F18+F20</f>
        <v>48</v>
      </c>
      <c r="G21" s="48">
        <f>+G8+G10+G12+G14+G16+G18+G20</f>
        <v>41</v>
      </c>
      <c r="H21" s="48">
        <f>+H8+H10+H12+H14+H16+H18+H20</f>
        <v>664</v>
      </c>
      <c r="I21" s="48">
        <f>+I8+I10+I12+I14+I16+I18+I20</f>
        <v>510</v>
      </c>
      <c r="J21" s="49">
        <v>449</v>
      </c>
      <c r="K21" s="48">
        <f>+K8+K10+K12+K14+K16+K18+K20</f>
        <v>775</v>
      </c>
      <c r="L21" s="48">
        <f>+L8+L10+L12+L14+L16+L18+L20</f>
        <v>215</v>
      </c>
      <c r="M21" s="49">
        <f>+N21+O21</f>
        <v>186</v>
      </c>
      <c r="N21" s="48">
        <f>+N8+N10+N12+N14+N16+N18+N20</f>
        <v>92</v>
      </c>
      <c r="O21" s="48">
        <f>+O8+O10+O12+O14+O16+O18+O20</f>
        <v>94</v>
      </c>
      <c r="P21" s="49">
        <v>414</v>
      </c>
      <c r="Q21" s="48">
        <f>+Q8+Q10+Q12+Q14+Q16+Q18+Q20</f>
        <v>1803</v>
      </c>
      <c r="R21" s="48">
        <f>+R8+R10+R12+R14+R16+R18+R20</f>
        <v>23</v>
      </c>
      <c r="S21" s="48">
        <f>+S8+S10+S12+S14+S16+S18+S20</f>
        <v>3226</v>
      </c>
      <c r="T21" s="49">
        <f t="shared" si="5"/>
        <v>35</v>
      </c>
      <c r="U21" s="49">
        <f t="shared" si="6"/>
        <v>401</v>
      </c>
      <c r="V21" s="50">
        <f t="shared" si="0"/>
        <v>35.844444444444441</v>
      </c>
      <c r="W21" s="50">
        <f t="shared" si="1"/>
        <v>74.675925925925924</v>
      </c>
      <c r="X21" s="50">
        <f t="shared" si="2"/>
        <v>8.0448877805486276</v>
      </c>
      <c r="Y21" s="50">
        <f t="shared" si="3"/>
        <v>2.7281795511221949</v>
      </c>
      <c r="Z21" s="50">
        <f t="shared" si="4"/>
        <v>8.3541666666666661</v>
      </c>
    </row>
    <row r="22" spans="1:26" x14ac:dyDescent="0.25">
      <c r="E22" s="17"/>
      <c r="F22" s="17"/>
      <c r="G22" s="17"/>
      <c r="H22" s="17">
        <f>+JAN!H21+FEB!H21</f>
        <v>438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x14ac:dyDescent="0.25"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x14ac:dyDescent="0.25">
      <c r="A24" s="113" t="s">
        <v>1</v>
      </c>
      <c r="B24" s="113" t="s">
        <v>2</v>
      </c>
      <c r="C24" s="106" t="s">
        <v>3</v>
      </c>
      <c r="D24" s="106" t="s">
        <v>4</v>
      </c>
      <c r="E24" s="112" t="s">
        <v>5</v>
      </c>
      <c r="F24" s="106" t="s">
        <v>6</v>
      </c>
      <c r="G24" s="106" t="s">
        <v>7</v>
      </c>
      <c r="H24" s="106" t="s">
        <v>8</v>
      </c>
      <c r="I24" s="112" t="s">
        <v>9</v>
      </c>
      <c r="J24" s="106" t="s">
        <v>10</v>
      </c>
      <c r="K24" s="106" t="s">
        <v>11</v>
      </c>
      <c r="L24" s="106" t="s">
        <v>12</v>
      </c>
      <c r="M24" s="106" t="s">
        <v>13</v>
      </c>
      <c r="N24" s="106" t="s">
        <v>14</v>
      </c>
      <c r="O24" s="106" t="s">
        <v>15</v>
      </c>
      <c r="P24" s="106" t="s">
        <v>16</v>
      </c>
      <c r="Q24" s="106" t="s">
        <v>17</v>
      </c>
      <c r="R24" s="106" t="s">
        <v>18</v>
      </c>
      <c r="S24" s="106" t="s">
        <v>19</v>
      </c>
      <c r="T24" s="106" t="s">
        <v>20</v>
      </c>
      <c r="U24" s="110" t="s">
        <v>21</v>
      </c>
      <c r="V24" s="37" t="s">
        <v>22</v>
      </c>
      <c r="W24" s="37" t="s">
        <v>23</v>
      </c>
      <c r="X24" s="37" t="s">
        <v>24</v>
      </c>
      <c r="Y24" s="37" t="s">
        <v>25</v>
      </c>
      <c r="Z24" s="37" t="s">
        <v>26</v>
      </c>
    </row>
    <row r="25" spans="1:26" x14ac:dyDescent="0.25">
      <c r="A25" s="113"/>
      <c r="B25" s="113"/>
      <c r="C25" s="106"/>
      <c r="D25" s="106"/>
      <c r="E25" s="112"/>
      <c r="F25" s="106"/>
      <c r="G25" s="106"/>
      <c r="H25" s="106"/>
      <c r="I25" s="112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10"/>
      <c r="V25" s="107" t="s">
        <v>27</v>
      </c>
      <c r="W25" s="107" t="s">
        <v>28</v>
      </c>
      <c r="X25" s="107" t="s">
        <v>29</v>
      </c>
      <c r="Y25" s="107" t="s">
        <v>30</v>
      </c>
      <c r="Z25" s="107" t="s">
        <v>31</v>
      </c>
    </row>
    <row r="26" spans="1:26" x14ac:dyDescent="0.25">
      <c r="A26" s="113"/>
      <c r="B26" s="113"/>
      <c r="C26" s="106"/>
      <c r="D26" s="106"/>
      <c r="E26" s="112"/>
      <c r="F26" s="106"/>
      <c r="G26" s="106"/>
      <c r="H26" s="106"/>
      <c r="I26" s="112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10"/>
      <c r="V26" s="111"/>
      <c r="W26" s="107"/>
      <c r="X26" s="107"/>
      <c r="Y26" s="107"/>
      <c r="Z26" s="107"/>
    </row>
    <row r="27" spans="1:26" x14ac:dyDescent="0.25">
      <c r="A27" s="113"/>
      <c r="B27" s="113"/>
      <c r="C27" s="106"/>
      <c r="D27" s="106"/>
      <c r="E27" s="112"/>
      <c r="F27" s="106"/>
      <c r="G27" s="39">
        <v>1</v>
      </c>
      <c r="H27" s="39">
        <v>2</v>
      </c>
      <c r="I27" s="39">
        <v>3</v>
      </c>
      <c r="J27" s="39">
        <v>4</v>
      </c>
      <c r="K27" s="39">
        <v>5</v>
      </c>
      <c r="L27" s="39">
        <v>6</v>
      </c>
      <c r="M27" s="39">
        <v>7</v>
      </c>
      <c r="N27" s="39">
        <v>8</v>
      </c>
      <c r="O27" s="39">
        <v>9</v>
      </c>
      <c r="P27" s="39">
        <v>10</v>
      </c>
      <c r="Q27" s="39">
        <v>11</v>
      </c>
      <c r="R27" s="39">
        <v>12</v>
      </c>
      <c r="S27" s="39">
        <v>13</v>
      </c>
      <c r="T27" s="39">
        <v>14</v>
      </c>
      <c r="U27" s="110"/>
      <c r="V27" s="38">
        <v>15</v>
      </c>
      <c r="W27" s="38">
        <v>16</v>
      </c>
      <c r="X27" s="38">
        <v>17</v>
      </c>
      <c r="Y27" s="38">
        <v>18</v>
      </c>
      <c r="Z27" s="38">
        <v>19</v>
      </c>
    </row>
    <row r="28" spans="1:26" ht="15.75" x14ac:dyDescent="0.25">
      <c r="A28" s="108">
        <v>1</v>
      </c>
      <c r="B28" s="117" t="s">
        <v>38</v>
      </c>
      <c r="C28" s="51" t="s">
        <v>53</v>
      </c>
      <c r="D28" s="52" t="s">
        <v>49</v>
      </c>
      <c r="E28" s="41">
        <f>+JAN!E28+FEB!E28+MAR!E28</f>
        <v>90</v>
      </c>
      <c r="F28" s="41">
        <f>MAR!F28</f>
        <v>2</v>
      </c>
      <c r="G28" s="41">
        <f>'[1]TT Per Ruang'!G47</f>
        <v>0</v>
      </c>
      <c r="H28" s="41">
        <f>+JAN!H28+FEB!H28+MAR!H28</f>
        <v>8</v>
      </c>
      <c r="I28" s="41">
        <f>+JAN!I28+FEB!I28+MAR!I28</f>
        <v>2</v>
      </c>
      <c r="J28" s="42">
        <v>5</v>
      </c>
      <c r="K28" s="41">
        <f>+JAN!K28+FEB!K28+MAR!K28</f>
        <v>2</v>
      </c>
      <c r="L28" s="41">
        <f>+JAN!L28+FEB!L28+MAR!L28</f>
        <v>4</v>
      </c>
      <c r="M28" s="42">
        <v>3</v>
      </c>
      <c r="N28" s="41">
        <f>+JAN!N28+FEB!N28+MAR!N28</f>
        <v>2</v>
      </c>
      <c r="O28" s="41">
        <f>+JAN!O28+FEB!O28+MAR!O28</f>
        <v>1</v>
      </c>
      <c r="P28" s="42">
        <v>5</v>
      </c>
      <c r="Q28" s="41">
        <f>+JAN!Q28+FEB!Q28+MAR!Q28</f>
        <v>23</v>
      </c>
      <c r="R28" s="41">
        <f>+JAN!R28+FEB!R28+MAR!R28</f>
        <v>0</v>
      </c>
      <c r="S28" s="41">
        <f>+JAN!S28+FEB!S28+MAR!S28</f>
        <v>27</v>
      </c>
      <c r="T28" s="42">
        <f t="shared" ref="T28:T49" si="7">J28-P28</f>
        <v>0</v>
      </c>
      <c r="U28" s="42">
        <f t="shared" ref="U28:U49" si="8">+L28+M28</f>
        <v>7</v>
      </c>
      <c r="V28" s="43">
        <f t="shared" ref="V28:V49" si="9">$S28/$E28</f>
        <v>0.3</v>
      </c>
      <c r="W28" s="43">
        <f t="shared" ref="W28:W49" si="10">$V28/$F28*100</f>
        <v>15</v>
      </c>
      <c r="X28" s="43">
        <f t="shared" ref="X28:X49" si="11">$S28/($L28+$M28)</f>
        <v>3.8571428571428572</v>
      </c>
      <c r="Y28" s="44">
        <f t="shared" ref="Y28:Y49" si="12">(($F28-$V28)*$E28)/($L28+$M28)</f>
        <v>21.857142857142858</v>
      </c>
      <c r="Z28" s="43">
        <f t="shared" ref="Z28:Z49" si="13">($L28+$M28)/$F28</f>
        <v>3.5</v>
      </c>
    </row>
    <row r="29" spans="1:26" ht="15.75" x14ac:dyDescent="0.25">
      <c r="A29" s="120"/>
      <c r="B29" s="118"/>
      <c r="C29" s="51" t="s">
        <v>53</v>
      </c>
      <c r="D29" s="53" t="s">
        <v>50</v>
      </c>
      <c r="E29" s="41">
        <f>+JAN!E29+FEB!E29+MAR!E29</f>
        <v>90</v>
      </c>
      <c r="F29" s="41">
        <f>MAR!F29</f>
        <v>3</v>
      </c>
      <c r="G29" s="41">
        <f>'[1]TT Per Ruang'!G48</f>
        <v>1</v>
      </c>
      <c r="H29" s="41">
        <f>+JAN!H29+FEB!H29+MAR!H29</f>
        <v>17</v>
      </c>
      <c r="I29" s="41">
        <f>+JAN!I29+FEB!I29+MAR!I29</f>
        <v>1</v>
      </c>
      <c r="J29" s="45">
        <v>10</v>
      </c>
      <c r="K29" s="41">
        <f>+JAN!K29+FEB!K29+MAR!K29</f>
        <v>2</v>
      </c>
      <c r="L29" s="41">
        <f>+JAN!L29+FEB!L29+MAR!L29</f>
        <v>10</v>
      </c>
      <c r="M29" s="45">
        <v>2</v>
      </c>
      <c r="N29" s="41">
        <f>+JAN!N29+FEB!N29+MAR!N29</f>
        <v>1</v>
      </c>
      <c r="O29" s="41">
        <f>+JAN!O29+FEB!O29+MAR!O29</f>
        <v>6</v>
      </c>
      <c r="P29" s="45">
        <v>10</v>
      </c>
      <c r="Q29" s="41">
        <f>+JAN!Q29+FEB!Q29+MAR!Q29</f>
        <v>78</v>
      </c>
      <c r="R29" s="41">
        <f>+JAN!R29+FEB!R29+MAR!R29</f>
        <v>0</v>
      </c>
      <c r="S29" s="41">
        <f>+JAN!S29+FEB!S29+MAR!S29</f>
        <v>62</v>
      </c>
      <c r="T29" s="42">
        <f t="shared" si="7"/>
        <v>0</v>
      </c>
      <c r="U29" s="42">
        <f t="shared" si="8"/>
        <v>12</v>
      </c>
      <c r="V29" s="43">
        <f t="shared" si="9"/>
        <v>0.68888888888888888</v>
      </c>
      <c r="W29" s="43">
        <f t="shared" si="10"/>
        <v>22.962962962962962</v>
      </c>
      <c r="X29" s="43">
        <f t="shared" si="11"/>
        <v>5.166666666666667</v>
      </c>
      <c r="Y29" s="44">
        <f t="shared" si="12"/>
        <v>17.333333333333332</v>
      </c>
      <c r="Z29" s="43">
        <f t="shared" si="13"/>
        <v>4</v>
      </c>
    </row>
    <row r="30" spans="1:26" ht="15.75" x14ac:dyDescent="0.25">
      <c r="A30" s="120"/>
      <c r="B30" s="118"/>
      <c r="C30" s="54" t="s">
        <v>53</v>
      </c>
      <c r="D30" s="53" t="s">
        <v>51</v>
      </c>
      <c r="E30" s="41">
        <f>+JAN!E30+FEB!E30+MAR!E30</f>
        <v>90</v>
      </c>
      <c r="F30" s="41">
        <f>MAR!F30</f>
        <v>2</v>
      </c>
      <c r="G30" s="41">
        <f>'[1]TT Per Ruang'!G49</f>
        <v>0</v>
      </c>
      <c r="H30" s="41">
        <f>+JAN!H30+FEB!H30+MAR!H30</f>
        <v>11</v>
      </c>
      <c r="I30" s="41">
        <f>+JAN!I30+FEB!I30+MAR!I30</f>
        <v>6</v>
      </c>
      <c r="J30" s="42">
        <v>5</v>
      </c>
      <c r="K30" s="41">
        <f>+JAN!K30+FEB!K30+MAR!K30</f>
        <v>2</v>
      </c>
      <c r="L30" s="41">
        <f>+JAN!L30+FEB!L30+MAR!L30</f>
        <v>10</v>
      </c>
      <c r="M30" s="42">
        <v>4</v>
      </c>
      <c r="N30" s="41">
        <f>+JAN!N30+FEB!N30+MAR!N30</f>
        <v>3</v>
      </c>
      <c r="O30" s="41">
        <f>+JAN!O30+FEB!O30+MAR!O30</f>
        <v>2</v>
      </c>
      <c r="P30" s="42">
        <v>5</v>
      </c>
      <c r="Q30" s="41">
        <f>+JAN!Q30+FEB!Q30+MAR!Q30</f>
        <v>90</v>
      </c>
      <c r="R30" s="41">
        <f>+JAN!R30+FEB!R30+MAR!R30</f>
        <v>0</v>
      </c>
      <c r="S30" s="41">
        <f>+JAN!S30+FEB!S30+MAR!S30</f>
        <v>65</v>
      </c>
      <c r="T30" s="42">
        <f t="shared" si="7"/>
        <v>0</v>
      </c>
      <c r="U30" s="42">
        <f t="shared" si="8"/>
        <v>14</v>
      </c>
      <c r="V30" s="43">
        <f t="shared" si="9"/>
        <v>0.72222222222222221</v>
      </c>
      <c r="W30" s="43">
        <f t="shared" si="10"/>
        <v>36.111111111111107</v>
      </c>
      <c r="X30" s="43">
        <f t="shared" si="11"/>
        <v>4.6428571428571432</v>
      </c>
      <c r="Y30" s="44">
        <f t="shared" si="12"/>
        <v>8.2142857142857135</v>
      </c>
      <c r="Z30" s="43">
        <f t="shared" si="13"/>
        <v>7</v>
      </c>
    </row>
    <row r="31" spans="1:26" ht="15.75" x14ac:dyDescent="0.25">
      <c r="A31" s="120"/>
      <c r="B31" s="118"/>
      <c r="C31" s="51" t="s">
        <v>53</v>
      </c>
      <c r="D31" s="53" t="s">
        <v>52</v>
      </c>
      <c r="E31" s="41">
        <f>+JAN!E31+FEB!E31+MAR!E31</f>
        <v>90</v>
      </c>
      <c r="F31" s="41">
        <f>MAR!F31</f>
        <v>10</v>
      </c>
      <c r="G31" s="41">
        <f>'[1]TT Per Ruang'!G50</f>
        <v>2</v>
      </c>
      <c r="H31" s="41">
        <f>+JAN!H31+FEB!H31+MAR!H31</f>
        <v>138</v>
      </c>
      <c r="I31" s="41">
        <f>+JAN!I31+FEB!I31+MAR!I31</f>
        <v>24</v>
      </c>
      <c r="J31" s="45">
        <v>57</v>
      </c>
      <c r="K31" s="41">
        <f>+JAN!K31+FEB!K31+MAR!K31</f>
        <v>6</v>
      </c>
      <c r="L31" s="41">
        <f>+JAN!L31+FEB!L31+MAR!L31</f>
        <v>100</v>
      </c>
      <c r="M31" s="45">
        <v>15</v>
      </c>
      <c r="N31" s="41">
        <f>+JAN!N31+FEB!N31+MAR!N31</f>
        <v>25</v>
      </c>
      <c r="O31" s="41">
        <f>+JAN!O31+FEB!O31+MAR!O31</f>
        <v>28</v>
      </c>
      <c r="P31" s="45">
        <v>52</v>
      </c>
      <c r="Q31" s="41">
        <f>+JAN!Q31+FEB!Q31+MAR!Q31</f>
        <v>663</v>
      </c>
      <c r="R31" s="41">
        <f>+JAN!R31+FEB!R31+MAR!R31</f>
        <v>1</v>
      </c>
      <c r="S31" s="41">
        <f>+JAN!S31+FEB!S31+MAR!S31</f>
        <v>599</v>
      </c>
      <c r="T31" s="42">
        <f t="shared" si="7"/>
        <v>5</v>
      </c>
      <c r="U31" s="42">
        <f t="shared" si="8"/>
        <v>115</v>
      </c>
      <c r="V31" s="43">
        <f t="shared" si="9"/>
        <v>6.6555555555555559</v>
      </c>
      <c r="W31" s="43">
        <f t="shared" si="10"/>
        <v>66.555555555555557</v>
      </c>
      <c r="X31" s="43">
        <f t="shared" si="11"/>
        <v>5.2086956521739127</v>
      </c>
      <c r="Y31" s="44">
        <f t="shared" si="12"/>
        <v>2.6173913043478256</v>
      </c>
      <c r="Z31" s="43">
        <f t="shared" si="13"/>
        <v>11.5</v>
      </c>
    </row>
    <row r="32" spans="1:26" ht="15.75" x14ac:dyDescent="0.25">
      <c r="A32" s="109"/>
      <c r="B32" s="118"/>
      <c r="C32" s="45" t="s">
        <v>53</v>
      </c>
      <c r="D32" s="45"/>
      <c r="E32" s="41">
        <f>+JAN!E32+FEB!E32+MAR!E32</f>
        <v>90</v>
      </c>
      <c r="F32" s="45">
        <f>SUM(F28:F31)</f>
        <v>17</v>
      </c>
      <c r="G32" s="45">
        <f>SUM(G28:G31)</f>
        <v>3</v>
      </c>
      <c r="H32" s="45">
        <f>SUM(H28:H31)</f>
        <v>174</v>
      </c>
      <c r="I32" s="45">
        <f>SUM(I28:I31)</f>
        <v>33</v>
      </c>
      <c r="J32" s="45">
        <v>77</v>
      </c>
      <c r="K32" s="45">
        <f>SUM(K28:K31)</f>
        <v>12</v>
      </c>
      <c r="L32" s="45">
        <f>SUM(L28:L31)</f>
        <v>124</v>
      </c>
      <c r="M32" s="45">
        <v>24</v>
      </c>
      <c r="N32" s="45">
        <f>SUM(N28:N31)</f>
        <v>31</v>
      </c>
      <c r="O32" s="45">
        <f>SUM(O28:O31)</f>
        <v>37</v>
      </c>
      <c r="P32" s="45">
        <v>72</v>
      </c>
      <c r="Q32" s="45">
        <f>SUM(Q28:Q31)</f>
        <v>854</v>
      </c>
      <c r="R32" s="45">
        <f>SUM(R28:R31)</f>
        <v>1</v>
      </c>
      <c r="S32" s="45">
        <f>SUM(S28:S31)</f>
        <v>753</v>
      </c>
      <c r="T32" s="46">
        <f t="shared" si="7"/>
        <v>5</v>
      </c>
      <c r="U32" s="46">
        <f t="shared" si="8"/>
        <v>148</v>
      </c>
      <c r="V32" s="47">
        <f t="shared" si="9"/>
        <v>8.3666666666666671</v>
      </c>
      <c r="W32" s="47">
        <f t="shared" si="10"/>
        <v>49.215686274509807</v>
      </c>
      <c r="X32" s="47">
        <f t="shared" si="11"/>
        <v>5.0878378378378377</v>
      </c>
      <c r="Y32" s="47">
        <f t="shared" si="12"/>
        <v>5.25</v>
      </c>
      <c r="Z32" s="47">
        <f t="shared" si="13"/>
        <v>8.7058823529411757</v>
      </c>
    </row>
    <row r="33" spans="1:26" ht="15.75" x14ac:dyDescent="0.25">
      <c r="A33" s="108">
        <v>2</v>
      </c>
      <c r="B33" s="118"/>
      <c r="C33" s="42" t="s">
        <v>71</v>
      </c>
      <c r="D33" s="42" t="s">
        <v>38</v>
      </c>
      <c r="E33" s="41">
        <f>+JAN!E33+FEB!E33+MAR!E33</f>
        <v>90</v>
      </c>
      <c r="F33" s="41">
        <f>MAR!F33</f>
        <v>6</v>
      </c>
      <c r="G33" s="42">
        <f>'[1]TT Per Ruang'!G38</f>
        <v>4</v>
      </c>
      <c r="H33" s="41">
        <f>+JAN!H33+FEB!H33+MAR!H33</f>
        <v>114</v>
      </c>
      <c r="I33" s="41">
        <f>+JAN!I33+FEB!I33+MAR!I33</f>
        <v>22</v>
      </c>
      <c r="J33" s="42">
        <v>61</v>
      </c>
      <c r="K33" s="41">
        <f>+JAN!K33+FEB!K33+MAR!K33</f>
        <v>29</v>
      </c>
      <c r="L33" s="41">
        <f>+JAN!L33+FEB!L33+MAR!L33</f>
        <v>101</v>
      </c>
      <c r="M33" s="42">
        <v>3</v>
      </c>
      <c r="N33" s="41">
        <f>+JAN!N33+FEB!N33+MAR!N33</f>
        <v>3</v>
      </c>
      <c r="O33" s="41">
        <f>+JAN!O33+FEB!O33+MAR!O33</f>
        <v>7</v>
      </c>
      <c r="P33" s="42">
        <v>53</v>
      </c>
      <c r="Q33" s="41">
        <f>+JAN!Q33+FEB!Q33+MAR!Q33</f>
        <v>316</v>
      </c>
      <c r="R33" s="41">
        <f>+JAN!R33+FEB!R33+MAR!R33</f>
        <v>0</v>
      </c>
      <c r="S33" s="41">
        <f>+JAN!S33+FEB!S33+MAR!S33</f>
        <v>458</v>
      </c>
      <c r="T33" s="42">
        <f t="shared" si="7"/>
        <v>8</v>
      </c>
      <c r="U33" s="42">
        <f t="shared" si="8"/>
        <v>104</v>
      </c>
      <c r="V33" s="43">
        <f t="shared" si="9"/>
        <v>5.0888888888888886</v>
      </c>
      <c r="W33" s="43">
        <f t="shared" si="10"/>
        <v>84.81481481481481</v>
      </c>
      <c r="X33" s="43">
        <f t="shared" si="11"/>
        <v>4.4038461538461542</v>
      </c>
      <c r="Y33" s="44">
        <f t="shared" si="12"/>
        <v>0.78846153846153877</v>
      </c>
      <c r="Z33" s="43">
        <f t="shared" si="13"/>
        <v>17.333333333333332</v>
      </c>
    </row>
    <row r="34" spans="1:26" ht="15.75" x14ac:dyDescent="0.25">
      <c r="A34" s="109"/>
      <c r="B34" s="118"/>
      <c r="C34" s="45" t="s">
        <v>71</v>
      </c>
      <c r="D34" s="45"/>
      <c r="E34" s="41">
        <f>+JAN!E34+FEB!E34+MAR!E34</f>
        <v>90</v>
      </c>
      <c r="F34" s="45">
        <f>SUM(F33)</f>
        <v>6</v>
      </c>
      <c r="G34" s="45">
        <f>SUM(G33)</f>
        <v>4</v>
      </c>
      <c r="H34" s="45">
        <f>SUM(H33)</f>
        <v>114</v>
      </c>
      <c r="I34" s="45">
        <f>SUM(I33)</f>
        <v>22</v>
      </c>
      <c r="J34" s="45">
        <v>61</v>
      </c>
      <c r="K34" s="45">
        <f>SUM(K33)</f>
        <v>29</v>
      </c>
      <c r="L34" s="45">
        <f>SUM(L33)</f>
        <v>101</v>
      </c>
      <c r="M34" s="45">
        <v>3</v>
      </c>
      <c r="N34" s="45">
        <f>SUM(N33)</f>
        <v>3</v>
      </c>
      <c r="O34" s="45">
        <f>SUM(O33)</f>
        <v>7</v>
      </c>
      <c r="P34" s="45">
        <v>53</v>
      </c>
      <c r="Q34" s="45">
        <f>SUM(Q33)</f>
        <v>316</v>
      </c>
      <c r="R34" s="45">
        <f>SUM(R33)</f>
        <v>0</v>
      </c>
      <c r="S34" s="45">
        <f>SUM(S33)</f>
        <v>458</v>
      </c>
      <c r="T34" s="46">
        <f t="shared" si="7"/>
        <v>8</v>
      </c>
      <c r="U34" s="46">
        <f t="shared" si="8"/>
        <v>104</v>
      </c>
      <c r="V34" s="47">
        <f t="shared" si="9"/>
        <v>5.0888888888888886</v>
      </c>
      <c r="W34" s="47">
        <f t="shared" si="10"/>
        <v>84.81481481481481</v>
      </c>
      <c r="X34" s="47">
        <f t="shared" si="11"/>
        <v>4.4038461538461542</v>
      </c>
      <c r="Y34" s="47">
        <f t="shared" si="12"/>
        <v>0.78846153846153877</v>
      </c>
      <c r="Z34" s="47">
        <f t="shared" si="13"/>
        <v>17.333333333333332</v>
      </c>
    </row>
    <row r="35" spans="1:26" ht="15.75" x14ac:dyDescent="0.25">
      <c r="A35" s="108">
        <v>3</v>
      </c>
      <c r="B35" s="118"/>
      <c r="C35" s="42" t="s">
        <v>55</v>
      </c>
      <c r="D35" s="42" t="s">
        <v>32</v>
      </c>
      <c r="E35" s="41">
        <f>+JAN!E35+FEB!E35+MAR!E35</f>
        <v>90</v>
      </c>
      <c r="F35" s="41">
        <f>MAR!F35</f>
        <v>4</v>
      </c>
      <c r="G35" s="42">
        <f>'[1]TT Per Ruang'!G54</f>
        <v>0</v>
      </c>
      <c r="H35" s="41">
        <f>+JAN!H35+FEB!H35+MAR!H35</f>
        <v>0</v>
      </c>
      <c r="I35" s="41">
        <f>+JAN!I35+FEB!I35+MAR!I35</f>
        <v>0</v>
      </c>
      <c r="J35" s="42">
        <v>0</v>
      </c>
      <c r="K35" s="41">
        <f>+JAN!K35+FEB!K35+MAR!K35</f>
        <v>0</v>
      </c>
      <c r="L35" s="41">
        <f>+JAN!L35+FEB!L35+MAR!L35</f>
        <v>0</v>
      </c>
      <c r="M35" s="42">
        <v>0</v>
      </c>
      <c r="N35" s="41">
        <f>+JAN!N35+FEB!N35+MAR!N35</f>
        <v>0</v>
      </c>
      <c r="O35" s="41">
        <f>+JAN!O35+FEB!O35+MAR!O35</f>
        <v>0</v>
      </c>
      <c r="P35" s="42">
        <v>0</v>
      </c>
      <c r="Q35" s="41">
        <f>+JAN!Q35+FEB!Q35+MAR!Q35</f>
        <v>0</v>
      </c>
      <c r="R35" s="41">
        <f>+JAN!R35+FEB!R35+MAR!R35</f>
        <v>0</v>
      </c>
      <c r="S35" s="41">
        <f>+JAN!S35+FEB!S35+MAR!S35</f>
        <v>0</v>
      </c>
      <c r="T35" s="42">
        <f t="shared" si="7"/>
        <v>0</v>
      </c>
      <c r="U35" s="42">
        <f t="shared" si="8"/>
        <v>0</v>
      </c>
      <c r="V35" s="43">
        <f t="shared" si="9"/>
        <v>0</v>
      </c>
      <c r="W35" s="43">
        <f t="shared" si="10"/>
        <v>0</v>
      </c>
      <c r="X35" s="43" t="e">
        <f t="shared" si="11"/>
        <v>#DIV/0!</v>
      </c>
      <c r="Y35" s="44" t="e">
        <f t="shared" si="12"/>
        <v>#DIV/0!</v>
      </c>
      <c r="Z35" s="43">
        <f t="shared" si="13"/>
        <v>0</v>
      </c>
    </row>
    <row r="36" spans="1:26" ht="15.75" x14ac:dyDescent="0.25">
      <c r="A36" s="109"/>
      <c r="B36" s="118"/>
      <c r="C36" s="45" t="s">
        <v>55</v>
      </c>
      <c r="D36" s="45"/>
      <c r="E36" s="41">
        <f>+JAN!E36+FEB!E36+MAR!E36</f>
        <v>90</v>
      </c>
      <c r="F36" s="45">
        <f>SUM(F35)</f>
        <v>4</v>
      </c>
      <c r="G36" s="45">
        <f>SUM(G35)</f>
        <v>0</v>
      </c>
      <c r="H36" s="45">
        <f>SUM(H35)</f>
        <v>0</v>
      </c>
      <c r="I36" s="45">
        <f>SUM(I35)</f>
        <v>0</v>
      </c>
      <c r="J36" s="45">
        <v>0</v>
      </c>
      <c r="K36" s="45">
        <f>SUM(K35)</f>
        <v>0</v>
      </c>
      <c r="L36" s="45">
        <f>SUM(L35)</f>
        <v>0</v>
      </c>
      <c r="M36" s="45">
        <v>0</v>
      </c>
      <c r="N36" s="45">
        <f>SUM(N35)</f>
        <v>0</v>
      </c>
      <c r="O36" s="45">
        <f>SUM(O35)</f>
        <v>0</v>
      </c>
      <c r="P36" s="45">
        <v>0</v>
      </c>
      <c r="Q36" s="45">
        <f>SUM(Q35)</f>
        <v>0</v>
      </c>
      <c r="R36" s="45">
        <f>SUM(R35)</f>
        <v>0</v>
      </c>
      <c r="S36" s="45">
        <f>SUM(S35)</f>
        <v>0</v>
      </c>
      <c r="T36" s="46">
        <f t="shared" si="7"/>
        <v>0</v>
      </c>
      <c r="U36" s="46">
        <f t="shared" si="8"/>
        <v>0</v>
      </c>
      <c r="V36" s="47">
        <f t="shared" si="9"/>
        <v>0</v>
      </c>
      <c r="W36" s="47">
        <f t="shared" si="10"/>
        <v>0</v>
      </c>
      <c r="X36" s="47" t="e">
        <f t="shared" si="11"/>
        <v>#DIV/0!</v>
      </c>
      <c r="Y36" s="47" t="e">
        <f t="shared" si="12"/>
        <v>#DIV/0!</v>
      </c>
      <c r="Z36" s="47">
        <f t="shared" si="13"/>
        <v>0</v>
      </c>
    </row>
    <row r="37" spans="1:26" ht="15.75" x14ac:dyDescent="0.25">
      <c r="A37" s="108">
        <v>4</v>
      </c>
      <c r="B37" s="118"/>
      <c r="C37" s="42" t="s">
        <v>47</v>
      </c>
      <c r="D37" s="42" t="s">
        <v>43</v>
      </c>
      <c r="E37" s="41">
        <f>+JAN!E37+FEB!E37+MAR!E37</f>
        <v>90</v>
      </c>
      <c r="F37" s="41">
        <f>MAR!F37</f>
        <v>2</v>
      </c>
      <c r="G37" s="42">
        <f>'[1]TT Per Ruang'!G43</f>
        <v>0</v>
      </c>
      <c r="H37" s="41">
        <f>+JAN!H37+FEB!H37+MAR!H37</f>
        <v>0</v>
      </c>
      <c r="I37" s="41">
        <f>+JAN!I37+FEB!I37+MAR!I37</f>
        <v>0</v>
      </c>
      <c r="J37" s="42">
        <v>0</v>
      </c>
      <c r="K37" s="41">
        <f>+JAN!K37+FEB!K37+MAR!K37</f>
        <v>0</v>
      </c>
      <c r="L37" s="41">
        <f>+JAN!L37+FEB!L37+MAR!L37</f>
        <v>0</v>
      </c>
      <c r="M37" s="42">
        <v>0</v>
      </c>
      <c r="N37" s="41">
        <f>+JAN!N37+FEB!N37+MAR!N37</f>
        <v>0</v>
      </c>
      <c r="O37" s="41">
        <f>+JAN!O37+FEB!O37+MAR!O37</f>
        <v>0</v>
      </c>
      <c r="P37" s="42">
        <v>0</v>
      </c>
      <c r="Q37" s="41">
        <f>+JAN!Q37+FEB!Q37+MAR!Q37</f>
        <v>0</v>
      </c>
      <c r="R37" s="41">
        <f>+JAN!R37+FEB!R37+MAR!R37</f>
        <v>0</v>
      </c>
      <c r="S37" s="41">
        <f>+JAN!S37+FEB!S37+MAR!S37</f>
        <v>0</v>
      </c>
      <c r="T37" s="42">
        <f t="shared" si="7"/>
        <v>0</v>
      </c>
      <c r="U37" s="42">
        <f t="shared" si="8"/>
        <v>0</v>
      </c>
      <c r="V37" s="43">
        <f t="shared" si="9"/>
        <v>0</v>
      </c>
      <c r="W37" s="43">
        <f t="shared" si="10"/>
        <v>0</v>
      </c>
      <c r="X37" s="43" t="e">
        <f t="shared" si="11"/>
        <v>#DIV/0!</v>
      </c>
      <c r="Y37" s="44" t="e">
        <f t="shared" si="12"/>
        <v>#DIV/0!</v>
      </c>
      <c r="Z37" s="43">
        <f t="shared" si="13"/>
        <v>0</v>
      </c>
    </row>
    <row r="38" spans="1:26" ht="15.75" x14ac:dyDescent="0.25">
      <c r="A38" s="109"/>
      <c r="B38" s="118"/>
      <c r="C38" s="45" t="s">
        <v>47</v>
      </c>
      <c r="D38" s="45"/>
      <c r="E38" s="41">
        <f>+JAN!E38+FEB!E38+MAR!E38</f>
        <v>90</v>
      </c>
      <c r="F38" s="45">
        <f>SUM(F37)</f>
        <v>2</v>
      </c>
      <c r="G38" s="45">
        <f>SUM(G37)</f>
        <v>0</v>
      </c>
      <c r="H38" s="45">
        <f>SUM(H37)</f>
        <v>0</v>
      </c>
      <c r="I38" s="45">
        <f>SUM(I37)</f>
        <v>0</v>
      </c>
      <c r="J38" s="45">
        <v>0</v>
      </c>
      <c r="K38" s="45">
        <f>SUM(K37)</f>
        <v>0</v>
      </c>
      <c r="L38" s="45">
        <f>SUM(L37)</f>
        <v>0</v>
      </c>
      <c r="M38" s="45">
        <v>0</v>
      </c>
      <c r="N38" s="45">
        <f>SUM(N37)</f>
        <v>0</v>
      </c>
      <c r="O38" s="45">
        <f>SUM(O37)</f>
        <v>0</v>
      </c>
      <c r="P38" s="45">
        <v>0</v>
      </c>
      <c r="Q38" s="45">
        <f>SUM(Q37)</f>
        <v>0</v>
      </c>
      <c r="R38" s="45">
        <f>SUM(R37)</f>
        <v>0</v>
      </c>
      <c r="S38" s="45">
        <f>SUM(S37)</f>
        <v>0</v>
      </c>
      <c r="T38" s="46">
        <f t="shared" si="7"/>
        <v>0</v>
      </c>
      <c r="U38" s="46">
        <f t="shared" si="8"/>
        <v>0</v>
      </c>
      <c r="V38" s="47">
        <f t="shared" si="9"/>
        <v>0</v>
      </c>
      <c r="W38" s="47">
        <f t="shared" si="10"/>
        <v>0</v>
      </c>
      <c r="X38" s="47" t="e">
        <f t="shared" si="11"/>
        <v>#DIV/0!</v>
      </c>
      <c r="Y38" s="47" t="e">
        <f t="shared" si="12"/>
        <v>#DIV/0!</v>
      </c>
      <c r="Z38" s="47">
        <f t="shared" si="13"/>
        <v>0</v>
      </c>
    </row>
    <row r="39" spans="1:26" ht="15.75" x14ac:dyDescent="0.25">
      <c r="A39" s="108">
        <v>5</v>
      </c>
      <c r="B39" s="118"/>
      <c r="C39" s="42" t="s">
        <v>40</v>
      </c>
      <c r="D39" s="42" t="s">
        <v>32</v>
      </c>
      <c r="E39" s="41">
        <f>+JAN!E39+FEB!E39+MAR!E39</f>
        <v>90</v>
      </c>
      <c r="F39" s="41">
        <f>MAR!F39</f>
        <v>4</v>
      </c>
      <c r="G39" s="42">
        <f>'[1]TT Per Ruang'!G24</f>
        <v>0</v>
      </c>
      <c r="H39" s="41">
        <f>+JAN!H39+FEB!H39+MAR!H39</f>
        <v>0</v>
      </c>
      <c r="I39" s="41">
        <f>+JAN!I39+FEB!I39+MAR!I39</f>
        <v>0</v>
      </c>
      <c r="J39" s="42">
        <v>0</v>
      </c>
      <c r="K39" s="41">
        <f>+JAN!K39+FEB!K39+MAR!K39</f>
        <v>0</v>
      </c>
      <c r="L39" s="41">
        <f>+JAN!L39+FEB!L39+MAR!L39</f>
        <v>0</v>
      </c>
      <c r="M39" s="42">
        <v>0</v>
      </c>
      <c r="N39" s="41">
        <f>+JAN!N39+FEB!N39+MAR!N39</f>
        <v>0</v>
      </c>
      <c r="O39" s="41">
        <f>+JAN!O39+FEB!O39+MAR!O39</f>
        <v>0</v>
      </c>
      <c r="P39" s="42">
        <v>0</v>
      </c>
      <c r="Q39" s="41">
        <f>+JAN!Q39+FEB!Q39+MAR!Q39</f>
        <v>0</v>
      </c>
      <c r="R39" s="41">
        <f>+JAN!R39+FEB!R39+MAR!R39</f>
        <v>0</v>
      </c>
      <c r="S39" s="41">
        <f>+JAN!S39+FEB!S39+MAR!S39</f>
        <v>0</v>
      </c>
      <c r="T39" s="42">
        <f t="shared" si="7"/>
        <v>0</v>
      </c>
      <c r="U39" s="42">
        <f t="shared" si="8"/>
        <v>0</v>
      </c>
      <c r="V39" s="43">
        <f t="shared" si="9"/>
        <v>0</v>
      </c>
      <c r="W39" s="43">
        <f t="shared" si="10"/>
        <v>0</v>
      </c>
      <c r="X39" s="43" t="e">
        <f t="shared" si="11"/>
        <v>#DIV/0!</v>
      </c>
      <c r="Y39" s="44" t="e">
        <f t="shared" si="12"/>
        <v>#DIV/0!</v>
      </c>
      <c r="Z39" s="43">
        <f t="shared" si="13"/>
        <v>0</v>
      </c>
    </row>
    <row r="40" spans="1:26" ht="15.75" x14ac:dyDescent="0.25">
      <c r="A40" s="109"/>
      <c r="B40" s="118"/>
      <c r="C40" s="45" t="s">
        <v>40</v>
      </c>
      <c r="D40" s="45"/>
      <c r="E40" s="41">
        <f>+JAN!E40+FEB!E40+MAR!E40</f>
        <v>90</v>
      </c>
      <c r="F40" s="45">
        <f>SUM(F39)</f>
        <v>4</v>
      </c>
      <c r="G40" s="45">
        <f>SUM(G39)</f>
        <v>0</v>
      </c>
      <c r="H40" s="45">
        <f>SUM(H39)</f>
        <v>0</v>
      </c>
      <c r="I40" s="45">
        <f>SUM(I39)</f>
        <v>0</v>
      </c>
      <c r="J40" s="45">
        <v>0</v>
      </c>
      <c r="K40" s="45">
        <f>SUM(K39)</f>
        <v>0</v>
      </c>
      <c r="L40" s="45">
        <f>SUM(L39)</f>
        <v>0</v>
      </c>
      <c r="M40" s="45">
        <v>0</v>
      </c>
      <c r="N40" s="45">
        <f>SUM(N39)</f>
        <v>0</v>
      </c>
      <c r="O40" s="45">
        <f>SUM(O39)</f>
        <v>0</v>
      </c>
      <c r="P40" s="45">
        <v>0</v>
      </c>
      <c r="Q40" s="45">
        <f>SUM(Q39)</f>
        <v>0</v>
      </c>
      <c r="R40" s="45">
        <f>SUM(R39)</f>
        <v>0</v>
      </c>
      <c r="S40" s="45">
        <f>SUM(S39)</f>
        <v>0</v>
      </c>
      <c r="T40" s="46">
        <f t="shared" si="7"/>
        <v>0</v>
      </c>
      <c r="U40" s="46">
        <f t="shared" si="8"/>
        <v>0</v>
      </c>
      <c r="V40" s="47">
        <f t="shared" si="9"/>
        <v>0</v>
      </c>
      <c r="W40" s="47">
        <f t="shared" si="10"/>
        <v>0</v>
      </c>
      <c r="X40" s="47" t="e">
        <f t="shared" si="11"/>
        <v>#DIV/0!</v>
      </c>
      <c r="Y40" s="47" t="e">
        <f t="shared" si="12"/>
        <v>#DIV/0!</v>
      </c>
      <c r="Z40" s="47">
        <f t="shared" si="13"/>
        <v>0</v>
      </c>
    </row>
    <row r="41" spans="1:26" ht="15.75" x14ac:dyDescent="0.25">
      <c r="A41" s="108">
        <v>6</v>
      </c>
      <c r="B41" s="118"/>
      <c r="C41" s="42" t="s">
        <v>42</v>
      </c>
      <c r="D41" s="42" t="s">
        <v>43</v>
      </c>
      <c r="E41" s="41">
        <f>+JAN!E41+FEB!E41+MAR!E41</f>
        <v>90</v>
      </c>
      <c r="F41" s="41">
        <f>MAR!F41</f>
        <v>1</v>
      </c>
      <c r="G41" s="42">
        <f>'[1]TT Per Ruang'!G29</f>
        <v>0</v>
      </c>
      <c r="H41" s="41">
        <f>+JAN!H41+FEB!H41+MAR!H41</f>
        <v>0</v>
      </c>
      <c r="I41" s="41">
        <f>+JAN!I41+FEB!I41+MAR!I41</f>
        <v>0</v>
      </c>
      <c r="J41" s="42">
        <v>0</v>
      </c>
      <c r="K41" s="41">
        <f>+JAN!K41+FEB!K41+MAR!K41</f>
        <v>0</v>
      </c>
      <c r="L41" s="41">
        <f>+JAN!L41+FEB!L41+MAR!L41</f>
        <v>0</v>
      </c>
      <c r="M41" s="42">
        <v>0</v>
      </c>
      <c r="N41" s="41">
        <f>+JAN!N41+FEB!N41+MAR!N41</f>
        <v>0</v>
      </c>
      <c r="O41" s="41">
        <f>+JAN!O41+FEB!O41+MAR!O41</f>
        <v>0</v>
      </c>
      <c r="P41" s="42">
        <v>0</v>
      </c>
      <c r="Q41" s="41">
        <f>+JAN!Q41+FEB!Q41+MAR!Q41</f>
        <v>0</v>
      </c>
      <c r="R41" s="41">
        <f>+JAN!R41+FEB!R41+MAR!R41</f>
        <v>0</v>
      </c>
      <c r="S41" s="41">
        <f>+JAN!S41+FEB!S41+MAR!S41</f>
        <v>0</v>
      </c>
      <c r="T41" s="42">
        <f t="shared" si="7"/>
        <v>0</v>
      </c>
      <c r="U41" s="42">
        <f t="shared" si="8"/>
        <v>0</v>
      </c>
      <c r="V41" s="43">
        <f t="shared" si="9"/>
        <v>0</v>
      </c>
      <c r="W41" s="43">
        <f t="shared" si="10"/>
        <v>0</v>
      </c>
      <c r="X41" s="43" t="e">
        <f t="shared" si="11"/>
        <v>#DIV/0!</v>
      </c>
      <c r="Y41" s="44" t="e">
        <f t="shared" si="12"/>
        <v>#DIV/0!</v>
      </c>
      <c r="Z41" s="43">
        <f t="shared" si="13"/>
        <v>0</v>
      </c>
    </row>
    <row r="42" spans="1:26" ht="15.75" x14ac:dyDescent="0.25">
      <c r="A42" s="109"/>
      <c r="B42" s="118"/>
      <c r="C42" s="45" t="s">
        <v>42</v>
      </c>
      <c r="D42" s="45"/>
      <c r="E42" s="41">
        <f>+JAN!E42+FEB!E42+MAR!E42</f>
        <v>90</v>
      </c>
      <c r="F42" s="45">
        <f>SUM(F41)</f>
        <v>1</v>
      </c>
      <c r="G42" s="45">
        <f>SUM(G41)</f>
        <v>0</v>
      </c>
      <c r="H42" s="45">
        <f>SUM(H41)</f>
        <v>0</v>
      </c>
      <c r="I42" s="45">
        <f>SUM(I41)</f>
        <v>0</v>
      </c>
      <c r="J42" s="45">
        <v>0</v>
      </c>
      <c r="K42" s="45">
        <f>SUM(K41)</f>
        <v>0</v>
      </c>
      <c r="L42" s="45">
        <f>SUM(L41)</f>
        <v>0</v>
      </c>
      <c r="M42" s="45">
        <v>0</v>
      </c>
      <c r="N42" s="45">
        <f>SUM(N41)</f>
        <v>0</v>
      </c>
      <c r="O42" s="45">
        <f>SUM(O41)</f>
        <v>0</v>
      </c>
      <c r="P42" s="45">
        <v>0</v>
      </c>
      <c r="Q42" s="45">
        <f>SUM(Q41)</f>
        <v>0</v>
      </c>
      <c r="R42" s="45">
        <f>SUM(R41)</f>
        <v>0</v>
      </c>
      <c r="S42" s="45">
        <f>SUM(S41)</f>
        <v>0</v>
      </c>
      <c r="T42" s="46">
        <f t="shared" si="7"/>
        <v>0</v>
      </c>
      <c r="U42" s="46">
        <f t="shared" si="8"/>
        <v>0</v>
      </c>
      <c r="V42" s="47">
        <f t="shared" si="9"/>
        <v>0</v>
      </c>
      <c r="W42" s="47">
        <f t="shared" si="10"/>
        <v>0</v>
      </c>
      <c r="X42" s="47" t="e">
        <f t="shared" si="11"/>
        <v>#DIV/0!</v>
      </c>
      <c r="Y42" s="47" t="e">
        <f t="shared" si="12"/>
        <v>#DIV/0!</v>
      </c>
      <c r="Z42" s="47">
        <f t="shared" si="13"/>
        <v>0</v>
      </c>
    </row>
    <row r="43" spans="1:26" ht="15.75" x14ac:dyDescent="0.25">
      <c r="A43" s="108">
        <v>7</v>
      </c>
      <c r="B43" s="118"/>
      <c r="C43" s="42" t="s">
        <v>74</v>
      </c>
      <c r="D43" s="42" t="s">
        <v>32</v>
      </c>
      <c r="E43" s="41">
        <f>+JAN!E43+FEB!E43+MAR!E43</f>
        <v>90</v>
      </c>
      <c r="F43" s="41">
        <f>MAR!F43</f>
        <v>4</v>
      </c>
      <c r="G43" s="42">
        <f>'[1]TT Per Ruang'!G18</f>
        <v>0</v>
      </c>
      <c r="H43" s="41">
        <f>+JAN!H43+FEB!H43+MAR!H43</f>
        <v>0</v>
      </c>
      <c r="I43" s="41">
        <f>+JAN!I43+FEB!I43+MAR!I43</f>
        <v>0</v>
      </c>
      <c r="J43" s="42">
        <v>0</v>
      </c>
      <c r="K43" s="41">
        <f>+JAN!K43+FEB!K43+MAR!K43</f>
        <v>0</v>
      </c>
      <c r="L43" s="41">
        <f>+JAN!L43+FEB!L43+MAR!L43</f>
        <v>0</v>
      </c>
      <c r="M43" s="42">
        <v>0</v>
      </c>
      <c r="N43" s="41">
        <f>+JAN!N43+FEB!N43+MAR!N43</f>
        <v>0</v>
      </c>
      <c r="O43" s="41">
        <f>+JAN!O43+FEB!O43+MAR!O43</f>
        <v>0</v>
      </c>
      <c r="P43" s="42">
        <v>0</v>
      </c>
      <c r="Q43" s="41">
        <f>+JAN!Q43+FEB!Q43+MAR!Q43</f>
        <v>0</v>
      </c>
      <c r="R43" s="41">
        <f>+JAN!R43+FEB!R43+MAR!R43</f>
        <v>0</v>
      </c>
      <c r="S43" s="41">
        <f>+JAN!S43+FEB!S43+MAR!S43</f>
        <v>0</v>
      </c>
      <c r="T43" s="42">
        <f t="shared" si="7"/>
        <v>0</v>
      </c>
      <c r="U43" s="42">
        <f t="shared" si="8"/>
        <v>0</v>
      </c>
      <c r="V43" s="43">
        <f t="shared" si="9"/>
        <v>0</v>
      </c>
      <c r="W43" s="43">
        <f t="shared" si="10"/>
        <v>0</v>
      </c>
      <c r="X43" s="43" t="e">
        <f t="shared" si="11"/>
        <v>#DIV/0!</v>
      </c>
      <c r="Y43" s="44" t="e">
        <f t="shared" si="12"/>
        <v>#DIV/0!</v>
      </c>
      <c r="Z43" s="43">
        <f t="shared" si="13"/>
        <v>0</v>
      </c>
    </row>
    <row r="44" spans="1:26" ht="15.75" x14ac:dyDescent="0.25">
      <c r="A44" s="109"/>
      <c r="B44" s="118"/>
      <c r="C44" s="45" t="s">
        <v>74</v>
      </c>
      <c r="D44" s="45"/>
      <c r="E44" s="41">
        <f>+JAN!E44+FEB!E44+MAR!E44</f>
        <v>90</v>
      </c>
      <c r="F44" s="45">
        <f>SUM(F43)</f>
        <v>4</v>
      </c>
      <c r="G44" s="45">
        <f>SUM(G43)</f>
        <v>0</v>
      </c>
      <c r="H44" s="45">
        <f>SUM(H43)</f>
        <v>0</v>
      </c>
      <c r="I44" s="45">
        <f>SUM(I43)</f>
        <v>0</v>
      </c>
      <c r="J44" s="45">
        <v>0</v>
      </c>
      <c r="K44" s="45">
        <f>SUM(K43)</f>
        <v>0</v>
      </c>
      <c r="L44" s="45">
        <f>SUM(L43)</f>
        <v>0</v>
      </c>
      <c r="M44" s="45">
        <v>0</v>
      </c>
      <c r="N44" s="45">
        <f>SUM(N43)</f>
        <v>0</v>
      </c>
      <c r="O44" s="45">
        <f>SUM(O43)</f>
        <v>0</v>
      </c>
      <c r="P44" s="45">
        <v>0</v>
      </c>
      <c r="Q44" s="45">
        <f>SUM(Q43)</f>
        <v>0</v>
      </c>
      <c r="R44" s="45">
        <f>SUM(R43)</f>
        <v>0</v>
      </c>
      <c r="S44" s="45">
        <f>SUM(S43)</f>
        <v>0</v>
      </c>
      <c r="T44" s="46">
        <f t="shared" si="7"/>
        <v>0</v>
      </c>
      <c r="U44" s="46">
        <f t="shared" si="8"/>
        <v>0</v>
      </c>
      <c r="V44" s="47">
        <f t="shared" si="9"/>
        <v>0</v>
      </c>
      <c r="W44" s="47">
        <f t="shared" si="10"/>
        <v>0</v>
      </c>
      <c r="X44" s="47" t="e">
        <f t="shared" si="11"/>
        <v>#DIV/0!</v>
      </c>
      <c r="Y44" s="47" t="e">
        <f t="shared" si="12"/>
        <v>#DIV/0!</v>
      </c>
      <c r="Z44" s="47">
        <f t="shared" si="13"/>
        <v>0</v>
      </c>
    </row>
    <row r="45" spans="1:26" ht="15.75" x14ac:dyDescent="0.25">
      <c r="A45" s="108">
        <v>8</v>
      </c>
      <c r="B45" s="118"/>
      <c r="C45" s="41" t="s">
        <v>44</v>
      </c>
      <c r="D45" s="41" t="s">
        <v>32</v>
      </c>
      <c r="E45" s="41">
        <f>+JAN!E45+FEB!E45+MAR!E45</f>
        <v>90</v>
      </c>
      <c r="F45" s="41">
        <f>MAR!F45</f>
        <v>1</v>
      </c>
      <c r="G45" s="41">
        <f>'[1]TT Per Ruang'!G33</f>
        <v>0</v>
      </c>
      <c r="H45" s="41">
        <f>+JAN!H45+FEB!H45+MAR!H45</f>
        <v>9</v>
      </c>
      <c r="I45" s="41">
        <f>+JAN!I45+FEB!I45+MAR!I45</f>
        <v>1</v>
      </c>
      <c r="J45" s="42">
        <v>0</v>
      </c>
      <c r="K45" s="41">
        <f>+JAN!K45+FEB!K45+MAR!K45</f>
        <v>2</v>
      </c>
      <c r="L45" s="41">
        <f>+JAN!L45+FEB!L45+MAR!L45</f>
        <v>7</v>
      </c>
      <c r="M45" s="42">
        <v>0</v>
      </c>
      <c r="N45" s="41">
        <f>+JAN!N45+FEB!N45+MAR!N45</f>
        <v>0</v>
      </c>
      <c r="O45" s="41">
        <f>+JAN!O45+FEB!O45+MAR!O45</f>
        <v>0</v>
      </c>
      <c r="P45" s="42">
        <v>0</v>
      </c>
      <c r="Q45" s="41">
        <f>+JAN!Q45+FEB!Q45+MAR!Q45</f>
        <v>21</v>
      </c>
      <c r="R45" s="41">
        <f>+JAN!R45+FEB!R45+MAR!R45</f>
        <v>0</v>
      </c>
      <c r="S45" s="41">
        <f>+JAN!S45+FEB!S45+MAR!S45</f>
        <v>21</v>
      </c>
      <c r="T45" s="42">
        <f t="shared" si="7"/>
        <v>0</v>
      </c>
      <c r="U45" s="42">
        <f t="shared" si="8"/>
        <v>7</v>
      </c>
      <c r="V45" s="43">
        <f t="shared" si="9"/>
        <v>0.23333333333333334</v>
      </c>
      <c r="W45" s="43">
        <f t="shared" si="10"/>
        <v>23.333333333333332</v>
      </c>
      <c r="X45" s="43">
        <f t="shared" si="11"/>
        <v>3</v>
      </c>
      <c r="Y45" s="44">
        <f t="shared" si="12"/>
        <v>9.8571428571428577</v>
      </c>
      <c r="Z45" s="43">
        <f t="shared" si="13"/>
        <v>7</v>
      </c>
    </row>
    <row r="46" spans="1:26" ht="15.75" x14ac:dyDescent="0.25">
      <c r="A46" s="109"/>
      <c r="B46" s="118"/>
      <c r="C46" s="45" t="s">
        <v>44</v>
      </c>
      <c r="D46" s="45"/>
      <c r="E46" s="41">
        <f>+JAN!E46+FEB!E46+MAR!E46</f>
        <v>90</v>
      </c>
      <c r="F46" s="45">
        <f>SUM(F45)</f>
        <v>1</v>
      </c>
      <c r="G46" s="45">
        <f>SUM(G45)</f>
        <v>0</v>
      </c>
      <c r="H46" s="45">
        <f>SUM(H45)</f>
        <v>9</v>
      </c>
      <c r="I46" s="45">
        <f>SUM(I45)</f>
        <v>1</v>
      </c>
      <c r="J46" s="45">
        <v>0</v>
      </c>
      <c r="K46" s="45">
        <f>SUM(K45)</f>
        <v>2</v>
      </c>
      <c r="L46" s="45">
        <f>SUM(L45)</f>
        <v>7</v>
      </c>
      <c r="M46" s="45">
        <v>0</v>
      </c>
      <c r="N46" s="45">
        <f>SUM(N45)</f>
        <v>0</v>
      </c>
      <c r="O46" s="45">
        <f>SUM(O45)</f>
        <v>0</v>
      </c>
      <c r="P46" s="45">
        <v>0</v>
      </c>
      <c r="Q46" s="45">
        <f>SUM(Q45)</f>
        <v>21</v>
      </c>
      <c r="R46" s="45">
        <f>SUM(R45)</f>
        <v>0</v>
      </c>
      <c r="S46" s="45">
        <f>SUM(S45)</f>
        <v>21</v>
      </c>
      <c r="T46" s="46">
        <f t="shared" si="7"/>
        <v>0</v>
      </c>
      <c r="U46" s="46">
        <f t="shared" si="8"/>
        <v>7</v>
      </c>
      <c r="V46" s="47">
        <f t="shared" si="9"/>
        <v>0.23333333333333334</v>
      </c>
      <c r="W46" s="47">
        <f t="shared" si="10"/>
        <v>23.333333333333332</v>
      </c>
      <c r="X46" s="47">
        <f t="shared" si="11"/>
        <v>3</v>
      </c>
      <c r="Y46" s="47">
        <f t="shared" si="12"/>
        <v>9.8571428571428577</v>
      </c>
      <c r="Z46" s="47">
        <f t="shared" si="13"/>
        <v>7</v>
      </c>
    </row>
    <row r="47" spans="1:26" ht="15.75" x14ac:dyDescent="0.25">
      <c r="A47" s="108">
        <v>9</v>
      </c>
      <c r="B47" s="118"/>
      <c r="C47" s="41" t="s">
        <v>37</v>
      </c>
      <c r="D47" s="41" t="s">
        <v>32</v>
      </c>
      <c r="E47" s="41">
        <f>+JAN!E47+FEB!E47+MAR!E47</f>
        <v>90</v>
      </c>
      <c r="F47" s="41">
        <f>MAR!F47</f>
        <v>5</v>
      </c>
      <c r="G47" s="41">
        <f>'[1]TT Per Ruang'!G16</f>
        <v>4</v>
      </c>
      <c r="H47" s="41">
        <f>+JAN!H47+FEB!H47+MAR!H47</f>
        <v>43</v>
      </c>
      <c r="I47" s="41">
        <f>+JAN!I47+FEB!I47+MAR!I47</f>
        <v>51</v>
      </c>
      <c r="J47" s="42">
        <v>30</v>
      </c>
      <c r="K47" s="41">
        <f>+JAN!K47+FEB!K47+MAR!K47</f>
        <v>12</v>
      </c>
      <c r="L47" s="41">
        <f>+JAN!L47+FEB!L47+MAR!L47</f>
        <v>80</v>
      </c>
      <c r="M47" s="42">
        <v>0</v>
      </c>
      <c r="N47" s="41">
        <f>+JAN!N47+FEB!N47+MAR!N47</f>
        <v>0</v>
      </c>
      <c r="O47" s="41">
        <f>+JAN!O47+FEB!O47+MAR!O47</f>
        <v>1</v>
      </c>
      <c r="P47" s="42">
        <v>28</v>
      </c>
      <c r="Q47" s="41">
        <f>+JAN!Q47+FEB!Q47+MAR!Q47</f>
        <v>302</v>
      </c>
      <c r="R47" s="41">
        <f>+JAN!R47+FEB!R47+MAR!R47</f>
        <v>2</v>
      </c>
      <c r="S47" s="41">
        <f>+JAN!S47+FEB!S47+MAR!S47</f>
        <v>295</v>
      </c>
      <c r="T47" s="42">
        <f t="shared" si="7"/>
        <v>2</v>
      </c>
      <c r="U47" s="42">
        <f t="shared" si="8"/>
        <v>80</v>
      </c>
      <c r="V47" s="43">
        <f t="shared" si="9"/>
        <v>3.2777777777777777</v>
      </c>
      <c r="W47" s="43">
        <f t="shared" si="10"/>
        <v>65.555555555555557</v>
      </c>
      <c r="X47" s="43">
        <f t="shared" si="11"/>
        <v>3.6875</v>
      </c>
      <c r="Y47" s="44">
        <f t="shared" si="12"/>
        <v>1.9375</v>
      </c>
      <c r="Z47" s="43">
        <f t="shared" si="13"/>
        <v>16</v>
      </c>
    </row>
    <row r="48" spans="1:26" ht="15.75" x14ac:dyDescent="0.25">
      <c r="A48" s="109"/>
      <c r="B48" s="119"/>
      <c r="C48" s="45" t="s">
        <v>37</v>
      </c>
      <c r="D48" s="45"/>
      <c r="E48" s="41">
        <f>+JAN!E48+FEB!E48+MAR!E48</f>
        <v>90</v>
      </c>
      <c r="F48" s="45">
        <f>SUM(F47)</f>
        <v>5</v>
      </c>
      <c r="G48" s="45">
        <f>SUM(G47)</f>
        <v>4</v>
      </c>
      <c r="H48" s="45">
        <f>SUM(H47)</f>
        <v>43</v>
      </c>
      <c r="I48" s="45">
        <f>SUM(I47)</f>
        <v>51</v>
      </c>
      <c r="J48" s="45">
        <v>30</v>
      </c>
      <c r="K48" s="45">
        <f>SUM(K47)</f>
        <v>12</v>
      </c>
      <c r="L48" s="45">
        <f>SUM(L47)</f>
        <v>80</v>
      </c>
      <c r="M48" s="45">
        <v>0</v>
      </c>
      <c r="N48" s="45">
        <f>SUM(N47)</f>
        <v>0</v>
      </c>
      <c r="O48" s="45">
        <f>SUM(O47)</f>
        <v>1</v>
      </c>
      <c r="P48" s="45">
        <v>28</v>
      </c>
      <c r="Q48" s="45">
        <f>SUM(Q47)</f>
        <v>302</v>
      </c>
      <c r="R48" s="45">
        <f>SUM(R47)</f>
        <v>2</v>
      </c>
      <c r="S48" s="45">
        <f>SUM(S47)</f>
        <v>295</v>
      </c>
      <c r="T48" s="46">
        <f t="shared" si="7"/>
        <v>2</v>
      </c>
      <c r="U48" s="46">
        <f t="shared" si="8"/>
        <v>80</v>
      </c>
      <c r="V48" s="47">
        <f t="shared" si="9"/>
        <v>3.2777777777777777</v>
      </c>
      <c r="W48" s="47">
        <f t="shared" si="10"/>
        <v>65.555555555555557</v>
      </c>
      <c r="X48" s="47">
        <f t="shared" si="11"/>
        <v>3.6875</v>
      </c>
      <c r="Y48" s="47">
        <f t="shared" si="12"/>
        <v>1.9375</v>
      </c>
      <c r="Z48" s="47">
        <f t="shared" si="13"/>
        <v>16</v>
      </c>
    </row>
    <row r="49" spans="1:26" ht="15.75" x14ac:dyDescent="0.25">
      <c r="A49" s="114" t="s">
        <v>85</v>
      </c>
      <c r="B49" s="115"/>
      <c r="C49" s="115"/>
      <c r="D49" s="116"/>
      <c r="E49" s="41">
        <f>+JAN!E49+FEB!E49+MAR!E49</f>
        <v>90</v>
      </c>
      <c r="F49" s="48">
        <f>+F32+F34+F36+F38+F40+F42+F44+F46+F48</f>
        <v>44</v>
      </c>
      <c r="G49" s="48">
        <f>+G32+G34+G36+G38+G40+G42+G44+G46+G48</f>
        <v>11</v>
      </c>
      <c r="H49" s="48">
        <f>+H32+H34+H36+H38+H40+H42+H44+H46+H48</f>
        <v>340</v>
      </c>
      <c r="I49" s="48">
        <f>+I32+I34+I36+I38+I40+I42+I44+I46+I48</f>
        <v>107</v>
      </c>
      <c r="J49" s="49">
        <v>168</v>
      </c>
      <c r="K49" s="48">
        <f>+K32+K34+K36+K38+K40+K42+K44+K46+K48</f>
        <v>55</v>
      </c>
      <c r="L49" s="48">
        <f>+L32+L34+L36+L38+L40+L42+L44+L46+L48</f>
        <v>312</v>
      </c>
      <c r="M49" s="49">
        <f>+N49+O49</f>
        <v>79</v>
      </c>
      <c r="N49" s="48">
        <f>+N32+N34+N36+N38+N40+N42+N44+N46+N48</f>
        <v>34</v>
      </c>
      <c r="O49" s="48">
        <f>+O32+O34+O36+O38+O40+O42+O44+O46+O48</f>
        <v>45</v>
      </c>
      <c r="P49" s="49">
        <v>153</v>
      </c>
      <c r="Q49" s="48">
        <f>+Q32+Q34+Q36+Q38+Q40+Q42+Q44+Q46+Q48</f>
        <v>1493</v>
      </c>
      <c r="R49" s="48">
        <f>+R32+R34+R36+R38+R40+R42+R44+R46+R48</f>
        <v>3</v>
      </c>
      <c r="S49" s="48">
        <f>+S32+S34+S36+S38+S40+S42+S44+S46+S48</f>
        <v>1527</v>
      </c>
      <c r="T49" s="49">
        <f t="shared" si="7"/>
        <v>15</v>
      </c>
      <c r="U49" s="49">
        <f t="shared" si="8"/>
        <v>391</v>
      </c>
      <c r="V49" s="50">
        <f t="shared" si="9"/>
        <v>16.966666666666665</v>
      </c>
      <c r="W49" s="50">
        <f t="shared" si="10"/>
        <v>38.560606060606055</v>
      </c>
      <c r="X49" s="50">
        <f t="shared" si="11"/>
        <v>3.9053708439897696</v>
      </c>
      <c r="Y49" s="50">
        <f t="shared" si="12"/>
        <v>6.2225063938618925</v>
      </c>
      <c r="Z49" s="50">
        <f t="shared" si="13"/>
        <v>8.8863636363636367</v>
      </c>
    </row>
    <row r="50" spans="1:26" x14ac:dyDescent="0.25">
      <c r="E50" s="17"/>
      <c r="F50" s="17"/>
      <c r="G50" s="17"/>
      <c r="H50" s="17">
        <f>+JAN!H49+FEB!H49</f>
        <v>239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x14ac:dyDescent="0.25">
      <c r="A52" s="113" t="s">
        <v>1</v>
      </c>
      <c r="B52" s="113" t="s">
        <v>2</v>
      </c>
      <c r="C52" s="106" t="s">
        <v>3</v>
      </c>
      <c r="D52" s="106" t="s">
        <v>4</v>
      </c>
      <c r="E52" s="112" t="s">
        <v>5</v>
      </c>
      <c r="F52" s="106" t="s">
        <v>6</v>
      </c>
      <c r="G52" s="106" t="s">
        <v>7</v>
      </c>
      <c r="H52" s="106" t="s">
        <v>8</v>
      </c>
      <c r="I52" s="112" t="s">
        <v>9</v>
      </c>
      <c r="J52" s="106" t="s">
        <v>10</v>
      </c>
      <c r="K52" s="106" t="s">
        <v>11</v>
      </c>
      <c r="L52" s="106" t="s">
        <v>12</v>
      </c>
      <c r="M52" s="106" t="s">
        <v>13</v>
      </c>
      <c r="N52" s="106" t="s">
        <v>14</v>
      </c>
      <c r="O52" s="106" t="s">
        <v>15</v>
      </c>
      <c r="P52" s="106" t="s">
        <v>16</v>
      </c>
      <c r="Q52" s="106" t="s">
        <v>17</v>
      </c>
      <c r="R52" s="106" t="s">
        <v>18</v>
      </c>
      <c r="S52" s="106" t="s">
        <v>19</v>
      </c>
      <c r="T52" s="106" t="s">
        <v>20</v>
      </c>
      <c r="U52" s="110" t="s">
        <v>21</v>
      </c>
      <c r="V52" s="37" t="s">
        <v>22</v>
      </c>
      <c r="W52" s="37" t="s">
        <v>23</v>
      </c>
      <c r="X52" s="37" t="s">
        <v>24</v>
      </c>
      <c r="Y52" s="37" t="s">
        <v>25</v>
      </c>
      <c r="Z52" s="37" t="s">
        <v>26</v>
      </c>
    </row>
    <row r="53" spans="1:26" x14ac:dyDescent="0.25">
      <c r="A53" s="113"/>
      <c r="B53" s="113"/>
      <c r="C53" s="106"/>
      <c r="D53" s="106"/>
      <c r="E53" s="112"/>
      <c r="F53" s="106"/>
      <c r="G53" s="106"/>
      <c r="H53" s="106"/>
      <c r="I53" s="112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10"/>
      <c r="V53" s="107" t="s">
        <v>27</v>
      </c>
      <c r="W53" s="107" t="s">
        <v>28</v>
      </c>
      <c r="X53" s="107" t="s">
        <v>29</v>
      </c>
      <c r="Y53" s="107" t="s">
        <v>30</v>
      </c>
      <c r="Z53" s="107" t="s">
        <v>31</v>
      </c>
    </row>
    <row r="54" spans="1:26" x14ac:dyDescent="0.25">
      <c r="A54" s="113"/>
      <c r="B54" s="113"/>
      <c r="C54" s="106"/>
      <c r="D54" s="106"/>
      <c r="E54" s="112"/>
      <c r="F54" s="106"/>
      <c r="G54" s="106"/>
      <c r="H54" s="106"/>
      <c r="I54" s="112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10"/>
      <c r="V54" s="111"/>
      <c r="W54" s="107"/>
      <c r="X54" s="107"/>
      <c r="Y54" s="107"/>
      <c r="Z54" s="107"/>
    </row>
    <row r="55" spans="1:26" x14ac:dyDescent="0.25">
      <c r="A55" s="113"/>
      <c r="B55" s="113"/>
      <c r="C55" s="106"/>
      <c r="D55" s="106"/>
      <c r="E55" s="112"/>
      <c r="F55" s="106"/>
      <c r="G55" s="39">
        <v>1</v>
      </c>
      <c r="H55" s="39">
        <v>2</v>
      </c>
      <c r="I55" s="39">
        <v>3</v>
      </c>
      <c r="J55" s="39">
        <v>4</v>
      </c>
      <c r="K55" s="39">
        <v>5</v>
      </c>
      <c r="L55" s="39">
        <v>6</v>
      </c>
      <c r="M55" s="39">
        <v>7</v>
      </c>
      <c r="N55" s="39">
        <v>8</v>
      </c>
      <c r="O55" s="39">
        <v>9</v>
      </c>
      <c r="P55" s="39">
        <v>10</v>
      </c>
      <c r="Q55" s="39">
        <v>11</v>
      </c>
      <c r="R55" s="39">
        <v>12</v>
      </c>
      <c r="S55" s="39">
        <v>13</v>
      </c>
      <c r="T55" s="39">
        <v>14</v>
      </c>
      <c r="U55" s="110"/>
      <c r="V55" s="38">
        <v>15</v>
      </c>
      <c r="W55" s="38">
        <v>16</v>
      </c>
      <c r="X55" s="38">
        <v>17</v>
      </c>
      <c r="Y55" s="38">
        <v>18</v>
      </c>
      <c r="Z55" s="38">
        <v>19</v>
      </c>
    </row>
    <row r="56" spans="1:26" ht="15.75" x14ac:dyDescent="0.25">
      <c r="A56" s="40">
        <v>1</v>
      </c>
      <c r="B56" s="40" t="s">
        <v>59</v>
      </c>
      <c r="C56" s="41" t="s">
        <v>57</v>
      </c>
      <c r="D56" s="41" t="s">
        <v>36</v>
      </c>
      <c r="E56" s="41">
        <f>+JAN!E56+FEB!E56+MAR!E56</f>
        <v>90</v>
      </c>
      <c r="F56" s="41">
        <f>MAR!F56</f>
        <v>30</v>
      </c>
      <c r="G56" s="41">
        <f>'[1]TT Per Ruang'!G83</f>
        <v>13</v>
      </c>
      <c r="H56" s="41">
        <f>+JAN!H56+FEB!H56+MAR!H56</f>
        <v>493</v>
      </c>
      <c r="I56" s="41">
        <f>+JAN!I56+FEB!I56+MAR!I56</f>
        <v>58</v>
      </c>
      <c r="J56" s="42">
        <v>178</v>
      </c>
      <c r="K56" s="41">
        <f>+JAN!K56+FEB!K56+MAR!K56</f>
        <v>258</v>
      </c>
      <c r="L56" s="41">
        <f>+JAN!L56+FEB!L56+MAR!L56</f>
        <v>269</v>
      </c>
      <c r="M56" s="42">
        <v>3</v>
      </c>
      <c r="N56" s="41">
        <f>+JAN!N56+FEB!N56+MAR!N56</f>
        <v>8</v>
      </c>
      <c r="O56" s="41">
        <f>+JAN!O56+FEB!O56+MAR!O56</f>
        <v>1</v>
      </c>
      <c r="P56" s="42">
        <v>163</v>
      </c>
      <c r="Q56" s="41">
        <f>+JAN!Q56+FEB!Q56+MAR!Q56</f>
        <v>1684</v>
      </c>
      <c r="R56" s="41">
        <f>+JAN!R56+FEB!R56+MAR!R56</f>
        <v>4</v>
      </c>
      <c r="S56" s="41">
        <f>+JAN!S56+FEB!S56+MAR!S56</f>
        <v>1763</v>
      </c>
      <c r="T56" s="42">
        <f t="shared" ref="T56:T57" si="14">J56-P56</f>
        <v>15</v>
      </c>
      <c r="U56" s="42">
        <f t="shared" ref="U56:U57" si="15">+L56+M56</f>
        <v>272</v>
      </c>
      <c r="V56" s="43">
        <f t="shared" ref="V56:V57" si="16">$S56/$E56</f>
        <v>19.588888888888889</v>
      </c>
      <c r="W56" s="43">
        <f t="shared" ref="W56:W57" si="17">$V56/$F56*100</f>
        <v>65.296296296296291</v>
      </c>
      <c r="X56" s="43">
        <f t="shared" ref="X56:X57" si="18">$S56/($L56+$M56)</f>
        <v>6.4816176470588234</v>
      </c>
      <c r="Y56" s="44">
        <f t="shared" ref="Y56:Y57" si="19">(($F56-$V56)*$E56)/($L56+$M56)</f>
        <v>3.4448529411764706</v>
      </c>
      <c r="Z56" s="43">
        <f t="shared" ref="Z56:Z57" si="20">($L56+$M56)/$F56</f>
        <v>9.0666666666666664</v>
      </c>
    </row>
    <row r="57" spans="1:26" ht="15.75" x14ac:dyDescent="0.25">
      <c r="A57" s="55" t="s">
        <v>61</v>
      </c>
      <c r="B57" s="56"/>
      <c r="C57" s="56"/>
      <c r="D57" s="56"/>
      <c r="E57" s="41">
        <f>+JAN!E57+FEB!E57+MAR!E57</f>
        <v>90</v>
      </c>
      <c r="F57" s="48">
        <f>SUM(F56)</f>
        <v>30</v>
      </c>
      <c r="G57" s="48">
        <f>SUM(G56)</f>
        <v>13</v>
      </c>
      <c r="H57" s="48">
        <f>SUM(H56)</f>
        <v>493</v>
      </c>
      <c r="I57" s="48">
        <f>SUM(I56)</f>
        <v>58</v>
      </c>
      <c r="J57" s="49">
        <v>178</v>
      </c>
      <c r="K57" s="48">
        <f>SUM(K56)</f>
        <v>258</v>
      </c>
      <c r="L57" s="48">
        <f>SUM(L56)</f>
        <v>269</v>
      </c>
      <c r="M57" s="49">
        <f>+N57+O57</f>
        <v>9</v>
      </c>
      <c r="N57" s="48">
        <f>SUM(N56)</f>
        <v>8</v>
      </c>
      <c r="O57" s="48">
        <f>SUM(O56)</f>
        <v>1</v>
      </c>
      <c r="P57" s="49">
        <v>163</v>
      </c>
      <c r="Q57" s="48">
        <f>SUM(Q56)</f>
        <v>1684</v>
      </c>
      <c r="R57" s="48">
        <f>SUM(R56)</f>
        <v>4</v>
      </c>
      <c r="S57" s="48">
        <f>SUM(S56)</f>
        <v>1763</v>
      </c>
      <c r="T57" s="49">
        <f t="shared" si="14"/>
        <v>15</v>
      </c>
      <c r="U57" s="49">
        <f t="shared" si="15"/>
        <v>278</v>
      </c>
      <c r="V57" s="50">
        <f t="shared" si="16"/>
        <v>19.588888888888889</v>
      </c>
      <c r="W57" s="50">
        <f t="shared" si="17"/>
        <v>65.296296296296291</v>
      </c>
      <c r="X57" s="50">
        <f t="shared" si="18"/>
        <v>6.3417266187050361</v>
      </c>
      <c r="Y57" s="50">
        <f t="shared" si="19"/>
        <v>3.3705035971223021</v>
      </c>
      <c r="Z57" s="50">
        <f t="shared" si="20"/>
        <v>9.2666666666666675</v>
      </c>
    </row>
    <row r="58" spans="1:26" x14ac:dyDescent="0.25">
      <c r="E58" s="17"/>
      <c r="F58" s="17"/>
      <c r="G58" s="17"/>
      <c r="H58" s="17">
        <f>+JAN!H57+FEB!H57</f>
        <v>296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x14ac:dyDescent="0.25">
      <c r="A60" s="113" t="s">
        <v>1</v>
      </c>
      <c r="B60" s="113" t="s">
        <v>2</v>
      </c>
      <c r="C60" s="106" t="s">
        <v>3</v>
      </c>
      <c r="D60" s="106" t="s">
        <v>4</v>
      </c>
      <c r="E60" s="112" t="s">
        <v>5</v>
      </c>
      <c r="F60" s="106" t="s">
        <v>6</v>
      </c>
      <c r="G60" s="106" t="s">
        <v>7</v>
      </c>
      <c r="H60" s="106" t="s">
        <v>8</v>
      </c>
      <c r="I60" s="112" t="s">
        <v>9</v>
      </c>
      <c r="J60" s="106" t="s">
        <v>10</v>
      </c>
      <c r="K60" s="106" t="s">
        <v>11</v>
      </c>
      <c r="L60" s="106" t="s">
        <v>12</v>
      </c>
      <c r="M60" s="106" t="s">
        <v>13</v>
      </c>
      <c r="N60" s="106" t="s">
        <v>14</v>
      </c>
      <c r="O60" s="106" t="s">
        <v>15</v>
      </c>
      <c r="P60" s="106" t="s">
        <v>16</v>
      </c>
      <c r="Q60" s="106" t="s">
        <v>17</v>
      </c>
      <c r="R60" s="106" t="s">
        <v>18</v>
      </c>
      <c r="S60" s="106" t="s">
        <v>19</v>
      </c>
      <c r="T60" s="106" t="s">
        <v>20</v>
      </c>
      <c r="U60" s="110" t="s">
        <v>21</v>
      </c>
      <c r="V60" s="37" t="s">
        <v>22</v>
      </c>
      <c r="W60" s="37" t="s">
        <v>23</v>
      </c>
      <c r="X60" s="37" t="s">
        <v>24</v>
      </c>
      <c r="Y60" s="37" t="s">
        <v>25</v>
      </c>
      <c r="Z60" s="37" t="s">
        <v>26</v>
      </c>
    </row>
    <row r="61" spans="1:26" x14ac:dyDescent="0.25">
      <c r="A61" s="113"/>
      <c r="B61" s="113"/>
      <c r="C61" s="106"/>
      <c r="D61" s="106"/>
      <c r="E61" s="112"/>
      <c r="F61" s="106"/>
      <c r="G61" s="106"/>
      <c r="H61" s="106"/>
      <c r="I61" s="112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10"/>
      <c r="V61" s="107" t="s">
        <v>27</v>
      </c>
      <c r="W61" s="107" t="s">
        <v>28</v>
      </c>
      <c r="X61" s="107" t="s">
        <v>29</v>
      </c>
      <c r="Y61" s="107" t="s">
        <v>30</v>
      </c>
      <c r="Z61" s="107" t="s">
        <v>31</v>
      </c>
    </row>
    <row r="62" spans="1:26" x14ac:dyDescent="0.25">
      <c r="A62" s="113"/>
      <c r="B62" s="113"/>
      <c r="C62" s="106"/>
      <c r="D62" s="106"/>
      <c r="E62" s="112"/>
      <c r="F62" s="106"/>
      <c r="G62" s="106"/>
      <c r="H62" s="106"/>
      <c r="I62" s="112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10"/>
      <c r="V62" s="111"/>
      <c r="W62" s="107"/>
      <c r="X62" s="107"/>
      <c r="Y62" s="107"/>
      <c r="Z62" s="107"/>
    </row>
    <row r="63" spans="1:26" x14ac:dyDescent="0.25">
      <c r="A63" s="113"/>
      <c r="B63" s="113"/>
      <c r="C63" s="106"/>
      <c r="D63" s="106"/>
      <c r="E63" s="112"/>
      <c r="F63" s="106"/>
      <c r="G63" s="39">
        <v>1</v>
      </c>
      <c r="H63" s="39">
        <v>2</v>
      </c>
      <c r="I63" s="39">
        <v>3</v>
      </c>
      <c r="J63" s="39">
        <v>4</v>
      </c>
      <c r="K63" s="39">
        <v>5</v>
      </c>
      <c r="L63" s="39">
        <v>6</v>
      </c>
      <c r="M63" s="39">
        <v>7</v>
      </c>
      <c r="N63" s="39">
        <v>8</v>
      </c>
      <c r="O63" s="39">
        <v>9</v>
      </c>
      <c r="P63" s="39">
        <v>10</v>
      </c>
      <c r="Q63" s="39">
        <v>11</v>
      </c>
      <c r="R63" s="39">
        <v>12</v>
      </c>
      <c r="S63" s="39">
        <v>13</v>
      </c>
      <c r="T63" s="39">
        <v>14</v>
      </c>
      <c r="U63" s="110"/>
      <c r="V63" s="38">
        <v>15</v>
      </c>
      <c r="W63" s="38">
        <v>16</v>
      </c>
      <c r="X63" s="38">
        <v>17</v>
      </c>
      <c r="Y63" s="38">
        <v>18</v>
      </c>
      <c r="Z63" s="38">
        <v>19</v>
      </c>
    </row>
    <row r="64" spans="1:26" ht="15.75" x14ac:dyDescent="0.25">
      <c r="A64" s="108">
        <v>1</v>
      </c>
      <c r="B64" s="117" t="s">
        <v>75</v>
      </c>
      <c r="C64" s="41" t="s">
        <v>54</v>
      </c>
      <c r="D64" s="41" t="s">
        <v>48</v>
      </c>
      <c r="E64" s="41">
        <f>+JAN!E64+FEB!E64+MAR!E64</f>
        <v>90</v>
      </c>
      <c r="F64" s="41">
        <f>MAR!F64</f>
        <v>8</v>
      </c>
      <c r="G64" s="41">
        <f>'[1]TT Per Ruang'!G52</f>
        <v>4</v>
      </c>
      <c r="H64" s="41">
        <f>+JAN!H64+FEB!H64+MAR!H64</f>
        <v>89</v>
      </c>
      <c r="I64" s="41">
        <f>+JAN!I64+FEB!I64+MAR!I64</f>
        <v>9</v>
      </c>
      <c r="J64" s="42">
        <v>37</v>
      </c>
      <c r="K64" s="41">
        <f>+JAN!K64+FEB!K64+MAR!K64</f>
        <v>8</v>
      </c>
      <c r="L64" s="41">
        <f>+JAN!L64+FEB!L64+MAR!L64</f>
        <v>81</v>
      </c>
      <c r="M64" s="42">
        <v>3</v>
      </c>
      <c r="N64" s="41">
        <f>+JAN!N64+FEB!N64+MAR!N64</f>
        <v>1</v>
      </c>
      <c r="O64" s="41">
        <f>+JAN!O64+FEB!O64+MAR!O64</f>
        <v>6</v>
      </c>
      <c r="P64" s="42">
        <v>34</v>
      </c>
      <c r="Q64" s="41">
        <f>+JAN!Q64+FEB!Q64+MAR!Q64</f>
        <v>303</v>
      </c>
      <c r="R64" s="41">
        <f>+JAN!R64+FEB!R64+MAR!R64</f>
        <v>1</v>
      </c>
      <c r="S64" s="41">
        <f>+JAN!S64+FEB!S64+MAR!S64</f>
        <v>329</v>
      </c>
      <c r="T64" s="42">
        <f t="shared" ref="T64:T70" si="21">J64-P64</f>
        <v>3</v>
      </c>
      <c r="U64" s="42">
        <f t="shared" ref="U64:U70" si="22">+L64+M64</f>
        <v>84</v>
      </c>
      <c r="V64" s="43">
        <f t="shared" ref="V64:V70" si="23">$S64/$E64</f>
        <v>3.6555555555555554</v>
      </c>
      <c r="W64" s="43">
        <f t="shared" ref="W64:W70" si="24">$V64/$F64*100</f>
        <v>45.694444444444443</v>
      </c>
      <c r="X64" s="43">
        <f t="shared" ref="X64:X70" si="25">$S64/($L64+$M64)</f>
        <v>3.9166666666666665</v>
      </c>
      <c r="Y64" s="44">
        <f t="shared" ref="Y64:Y70" si="26">(($F64-$V64)*$E64)/($L64+$M64)</f>
        <v>4.6547619047619051</v>
      </c>
      <c r="Z64" s="43">
        <f t="shared" ref="Z64:Z70" si="27">($L64+$M64)/$F64</f>
        <v>10.5</v>
      </c>
    </row>
    <row r="65" spans="1:26" ht="15.75" x14ac:dyDescent="0.25">
      <c r="A65" s="109"/>
      <c r="B65" s="118"/>
      <c r="C65" s="45" t="s">
        <v>54</v>
      </c>
      <c r="D65" s="45" t="s">
        <v>48</v>
      </c>
      <c r="E65" s="41">
        <f>+JAN!E65+FEB!E65+MAR!E65</f>
        <v>90</v>
      </c>
      <c r="F65" s="45">
        <f>SUM(F64)</f>
        <v>8</v>
      </c>
      <c r="G65" s="45">
        <f>SUM(G64)</f>
        <v>4</v>
      </c>
      <c r="H65" s="45">
        <f>SUM(H64)</f>
        <v>89</v>
      </c>
      <c r="I65" s="45">
        <f>SUM(I64)</f>
        <v>9</v>
      </c>
      <c r="J65" s="45">
        <v>37</v>
      </c>
      <c r="K65" s="45">
        <f>SUM(K64)</f>
        <v>8</v>
      </c>
      <c r="L65" s="45">
        <f>SUM(L64)</f>
        <v>81</v>
      </c>
      <c r="M65" s="45">
        <v>3</v>
      </c>
      <c r="N65" s="45">
        <f>SUM(N64)</f>
        <v>1</v>
      </c>
      <c r="O65" s="45">
        <f>SUM(O64)</f>
        <v>6</v>
      </c>
      <c r="P65" s="45">
        <v>34</v>
      </c>
      <c r="Q65" s="45">
        <f>SUM(Q64)</f>
        <v>303</v>
      </c>
      <c r="R65" s="45">
        <f>SUM(R64)</f>
        <v>1</v>
      </c>
      <c r="S65" s="45">
        <f>SUM(S64)</f>
        <v>329</v>
      </c>
      <c r="T65" s="45">
        <f t="shared" si="21"/>
        <v>3</v>
      </c>
      <c r="U65" s="45">
        <f t="shared" si="22"/>
        <v>84</v>
      </c>
      <c r="V65" s="57">
        <f t="shared" si="23"/>
        <v>3.6555555555555554</v>
      </c>
      <c r="W65" s="57">
        <f t="shared" si="24"/>
        <v>45.694444444444443</v>
      </c>
      <c r="X65" s="57">
        <f t="shared" si="25"/>
        <v>3.9166666666666665</v>
      </c>
      <c r="Y65" s="57">
        <f t="shared" si="26"/>
        <v>4.6547619047619051</v>
      </c>
      <c r="Z65" s="57">
        <f t="shared" si="27"/>
        <v>10.5</v>
      </c>
    </row>
    <row r="66" spans="1:26" ht="15.75" x14ac:dyDescent="0.25">
      <c r="A66" s="108">
        <v>2</v>
      </c>
      <c r="B66" s="118"/>
      <c r="C66" s="41" t="s">
        <v>47</v>
      </c>
      <c r="D66" s="41" t="s">
        <v>48</v>
      </c>
      <c r="E66" s="41">
        <f>+JAN!E66+FEB!E66+MAR!E66</f>
        <v>90</v>
      </c>
      <c r="F66" s="41">
        <f>MAR!F66</f>
        <v>2</v>
      </c>
      <c r="G66" s="41">
        <f>'[1]TT Per Ruang'!G45</f>
        <v>0</v>
      </c>
      <c r="H66" s="41">
        <f>+JAN!H66+FEB!H66+MAR!H66</f>
        <v>4</v>
      </c>
      <c r="I66" s="41">
        <f>+JAN!I66+FEB!I66+MAR!I66</f>
        <v>0</v>
      </c>
      <c r="J66" s="42">
        <v>1</v>
      </c>
      <c r="K66" s="41">
        <f>+JAN!K66+FEB!K66+MAR!K66</f>
        <v>2</v>
      </c>
      <c r="L66" s="41">
        <f>+JAN!L66+FEB!L66+MAR!L66</f>
        <v>2</v>
      </c>
      <c r="M66" s="42">
        <v>0</v>
      </c>
      <c r="N66" s="41">
        <f>+JAN!N66+FEB!N66+MAR!N66</f>
        <v>0</v>
      </c>
      <c r="O66" s="41">
        <f>+JAN!O66+FEB!O66+MAR!O66</f>
        <v>0</v>
      </c>
      <c r="P66" s="42">
        <v>1</v>
      </c>
      <c r="Q66" s="41">
        <f>+JAN!Q66+FEB!Q66+MAR!Q66</f>
        <v>8</v>
      </c>
      <c r="R66" s="41">
        <f>+JAN!R66+FEB!R66+MAR!R66</f>
        <v>0</v>
      </c>
      <c r="S66" s="41">
        <f>+JAN!S66+FEB!S66+MAR!S66</f>
        <v>7</v>
      </c>
      <c r="T66" s="42">
        <f t="shared" si="21"/>
        <v>0</v>
      </c>
      <c r="U66" s="42">
        <f t="shared" si="22"/>
        <v>2</v>
      </c>
      <c r="V66" s="43">
        <f t="shared" si="23"/>
        <v>7.7777777777777779E-2</v>
      </c>
      <c r="W66" s="43">
        <f t="shared" si="24"/>
        <v>3.8888888888888888</v>
      </c>
      <c r="X66" s="43">
        <f t="shared" si="25"/>
        <v>3.5</v>
      </c>
      <c r="Y66" s="44">
        <f t="shared" si="26"/>
        <v>86.5</v>
      </c>
      <c r="Z66" s="43">
        <f t="shared" si="27"/>
        <v>1</v>
      </c>
    </row>
    <row r="67" spans="1:26" ht="15.75" x14ac:dyDescent="0.25">
      <c r="A67" s="109"/>
      <c r="B67" s="118"/>
      <c r="C67" s="45" t="s">
        <v>47</v>
      </c>
      <c r="D67" s="45" t="s">
        <v>48</v>
      </c>
      <c r="E67" s="41">
        <f>+JAN!E67+FEB!E67+MAR!E67</f>
        <v>90</v>
      </c>
      <c r="F67" s="45">
        <f>SUM(F66)</f>
        <v>2</v>
      </c>
      <c r="G67" s="45">
        <f>SUM(G66)</f>
        <v>0</v>
      </c>
      <c r="H67" s="45">
        <f>SUM(H66)</f>
        <v>4</v>
      </c>
      <c r="I67" s="45">
        <f>SUM(I66)</f>
        <v>0</v>
      </c>
      <c r="J67" s="45">
        <v>1</v>
      </c>
      <c r="K67" s="45">
        <f>SUM(K66)</f>
        <v>2</v>
      </c>
      <c r="L67" s="45">
        <f>SUM(L66)</f>
        <v>2</v>
      </c>
      <c r="M67" s="45">
        <v>0</v>
      </c>
      <c r="N67" s="45">
        <f>SUM(N66)</f>
        <v>0</v>
      </c>
      <c r="O67" s="45">
        <f>SUM(O66)</f>
        <v>0</v>
      </c>
      <c r="P67" s="45">
        <v>1</v>
      </c>
      <c r="Q67" s="45">
        <f>SUM(Q66)</f>
        <v>8</v>
      </c>
      <c r="R67" s="45">
        <f>SUM(R66)</f>
        <v>0</v>
      </c>
      <c r="S67" s="45">
        <f>SUM(S66)</f>
        <v>7</v>
      </c>
      <c r="T67" s="45">
        <f t="shared" si="21"/>
        <v>0</v>
      </c>
      <c r="U67" s="45">
        <f t="shared" si="22"/>
        <v>2</v>
      </c>
      <c r="V67" s="57">
        <f t="shared" si="23"/>
        <v>7.7777777777777779E-2</v>
      </c>
      <c r="W67" s="57">
        <f t="shared" si="24"/>
        <v>3.8888888888888888</v>
      </c>
      <c r="X67" s="57">
        <f t="shared" si="25"/>
        <v>3.5</v>
      </c>
      <c r="Y67" s="57">
        <f t="shared" si="26"/>
        <v>86.5</v>
      </c>
      <c r="Z67" s="57">
        <f t="shared" si="27"/>
        <v>1</v>
      </c>
    </row>
    <row r="68" spans="1:26" ht="15.75" x14ac:dyDescent="0.25">
      <c r="A68" s="108">
        <v>3</v>
      </c>
      <c r="B68" s="118"/>
      <c r="C68" s="41" t="s">
        <v>42</v>
      </c>
      <c r="D68" s="41" t="s">
        <v>48</v>
      </c>
      <c r="E68" s="41">
        <f>+JAN!E68+FEB!E68+MAR!E68</f>
        <v>90</v>
      </c>
      <c r="F68" s="41">
        <f>MAR!F68</f>
        <v>8</v>
      </c>
      <c r="G68" s="41">
        <f>'[1]TT Per Ruang'!G31</f>
        <v>6</v>
      </c>
      <c r="H68" s="41">
        <f>+JAN!H68+FEB!H68+MAR!H68</f>
        <v>99</v>
      </c>
      <c r="I68" s="41">
        <f>+JAN!I68+FEB!I68+MAR!I68</f>
        <v>29</v>
      </c>
      <c r="J68" s="42">
        <v>48</v>
      </c>
      <c r="K68" s="41">
        <f>+JAN!K68+FEB!K68+MAR!K68</f>
        <v>32</v>
      </c>
      <c r="L68" s="41">
        <f>+JAN!L68+FEB!L68+MAR!L68</f>
        <v>89</v>
      </c>
      <c r="M68" s="42">
        <v>5</v>
      </c>
      <c r="N68" s="41">
        <f>+JAN!N68+FEB!N68+MAR!N68</f>
        <v>4</v>
      </c>
      <c r="O68" s="41">
        <f>+JAN!O68+FEB!O68+MAR!O68</f>
        <v>5</v>
      </c>
      <c r="P68" s="42">
        <v>44</v>
      </c>
      <c r="Q68" s="41">
        <f>+JAN!Q68+FEB!Q68+MAR!Q68</f>
        <v>347</v>
      </c>
      <c r="R68" s="41">
        <f>+JAN!R68+FEB!R68+MAR!R68</f>
        <v>1</v>
      </c>
      <c r="S68" s="41">
        <f>+JAN!S68+FEB!S68+MAR!S68</f>
        <v>337</v>
      </c>
      <c r="T68" s="42">
        <f t="shared" si="21"/>
        <v>4</v>
      </c>
      <c r="U68" s="42">
        <f t="shared" si="22"/>
        <v>94</v>
      </c>
      <c r="V68" s="43">
        <f t="shared" si="23"/>
        <v>3.7444444444444445</v>
      </c>
      <c r="W68" s="43">
        <f t="shared" si="24"/>
        <v>46.805555555555557</v>
      </c>
      <c r="X68" s="43">
        <f t="shared" si="25"/>
        <v>3.5851063829787235</v>
      </c>
      <c r="Y68" s="44">
        <f t="shared" si="26"/>
        <v>4.0744680851063828</v>
      </c>
      <c r="Z68" s="43">
        <f t="shared" si="27"/>
        <v>11.75</v>
      </c>
    </row>
    <row r="69" spans="1:26" ht="15.75" x14ac:dyDescent="0.25">
      <c r="A69" s="109"/>
      <c r="B69" s="118"/>
      <c r="C69" s="45" t="s">
        <v>42</v>
      </c>
      <c r="D69" s="45" t="s">
        <v>48</v>
      </c>
      <c r="E69" s="41">
        <f>+JAN!E69+FEB!E69+MAR!E69</f>
        <v>90</v>
      </c>
      <c r="F69" s="45">
        <f>SUM(F68)</f>
        <v>8</v>
      </c>
      <c r="G69" s="45">
        <f>SUM(G68)</f>
        <v>6</v>
      </c>
      <c r="H69" s="45">
        <f>SUM(H68)</f>
        <v>99</v>
      </c>
      <c r="I69" s="45">
        <f>SUM(I68)</f>
        <v>29</v>
      </c>
      <c r="J69" s="45">
        <v>48</v>
      </c>
      <c r="K69" s="45">
        <f>SUM(K68)</f>
        <v>32</v>
      </c>
      <c r="L69" s="45">
        <f>SUM(L68)</f>
        <v>89</v>
      </c>
      <c r="M69" s="45">
        <v>5</v>
      </c>
      <c r="N69" s="45">
        <f>SUM(N68)</f>
        <v>4</v>
      </c>
      <c r="O69" s="45">
        <f>SUM(O68)</f>
        <v>5</v>
      </c>
      <c r="P69" s="45">
        <v>44</v>
      </c>
      <c r="Q69" s="45">
        <f>SUM(Q68)</f>
        <v>347</v>
      </c>
      <c r="R69" s="45">
        <f>SUM(R68)</f>
        <v>1</v>
      </c>
      <c r="S69" s="45">
        <f>SUM(S68)</f>
        <v>337</v>
      </c>
      <c r="T69" s="45">
        <f t="shared" si="21"/>
        <v>4</v>
      </c>
      <c r="U69" s="45">
        <f t="shared" si="22"/>
        <v>94</v>
      </c>
      <c r="V69" s="57">
        <f t="shared" si="23"/>
        <v>3.7444444444444445</v>
      </c>
      <c r="W69" s="57">
        <f t="shared" si="24"/>
        <v>46.805555555555557</v>
      </c>
      <c r="X69" s="57">
        <f t="shared" si="25"/>
        <v>3.5851063829787235</v>
      </c>
      <c r="Y69" s="57">
        <f t="shared" si="26"/>
        <v>4.0744680851063828</v>
      </c>
      <c r="Z69" s="57">
        <f t="shared" si="27"/>
        <v>11.75</v>
      </c>
    </row>
    <row r="70" spans="1:26" ht="15.75" x14ac:dyDescent="0.25">
      <c r="A70" s="55" t="s">
        <v>75</v>
      </c>
      <c r="B70" s="56"/>
      <c r="C70" s="56"/>
      <c r="D70" s="56" t="s">
        <v>48</v>
      </c>
      <c r="E70" s="41">
        <f>+JAN!E70+FEB!E70+MAR!E70</f>
        <v>90</v>
      </c>
      <c r="F70" s="48">
        <f>+F65+F67+F69</f>
        <v>18</v>
      </c>
      <c r="G70" s="48">
        <f>+G65+G67+G69</f>
        <v>10</v>
      </c>
      <c r="H70" s="48">
        <f>+H65+H67+H69</f>
        <v>192</v>
      </c>
      <c r="I70" s="48">
        <f>+I65+I67+I69</f>
        <v>38</v>
      </c>
      <c r="J70" s="49">
        <v>86</v>
      </c>
      <c r="K70" s="48">
        <f>+K65+K67+K69</f>
        <v>42</v>
      </c>
      <c r="L70" s="48">
        <f>+L65+L67+L69</f>
        <v>172</v>
      </c>
      <c r="M70" s="49">
        <f>+N70+O70</f>
        <v>16</v>
      </c>
      <c r="N70" s="48">
        <f>+N65+N67+N69</f>
        <v>5</v>
      </c>
      <c r="O70" s="48">
        <f>+O65+O67+O69</f>
        <v>11</v>
      </c>
      <c r="P70" s="49">
        <v>79</v>
      </c>
      <c r="Q70" s="48">
        <f>+Q65+Q67+Q69</f>
        <v>658</v>
      </c>
      <c r="R70" s="48">
        <f>+R65+R67+R69</f>
        <v>2</v>
      </c>
      <c r="S70" s="48">
        <f>+S65+S67+S69</f>
        <v>673</v>
      </c>
      <c r="T70" s="49">
        <f t="shared" si="21"/>
        <v>7</v>
      </c>
      <c r="U70" s="49">
        <f t="shared" si="22"/>
        <v>188</v>
      </c>
      <c r="V70" s="50">
        <f t="shared" si="23"/>
        <v>7.4777777777777779</v>
      </c>
      <c r="W70" s="50">
        <f t="shared" si="24"/>
        <v>41.543209876543209</v>
      </c>
      <c r="X70" s="50">
        <f t="shared" si="25"/>
        <v>3.5797872340425534</v>
      </c>
      <c r="Y70" s="50">
        <f t="shared" si="26"/>
        <v>5.0372340425531918</v>
      </c>
      <c r="Z70" s="50">
        <f t="shared" si="27"/>
        <v>10.444444444444445</v>
      </c>
    </row>
    <row r="71" spans="1:26" x14ac:dyDescent="0.25">
      <c r="E71" s="17"/>
      <c r="F71" s="17"/>
      <c r="G71" s="17"/>
      <c r="H71" s="17">
        <f>+JAN!H70+FEB!H70</f>
        <v>119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x14ac:dyDescent="0.25">
      <c r="A73" s="113" t="s">
        <v>1</v>
      </c>
      <c r="B73" s="113" t="s">
        <v>2</v>
      </c>
      <c r="C73" s="106" t="s">
        <v>3</v>
      </c>
      <c r="D73" s="106" t="s">
        <v>4</v>
      </c>
      <c r="E73" s="112" t="s">
        <v>5</v>
      </c>
      <c r="F73" s="106" t="s">
        <v>6</v>
      </c>
      <c r="G73" s="106" t="s">
        <v>7</v>
      </c>
      <c r="H73" s="106" t="s">
        <v>8</v>
      </c>
      <c r="I73" s="112" t="s">
        <v>9</v>
      </c>
      <c r="J73" s="106" t="s">
        <v>10</v>
      </c>
      <c r="K73" s="106" t="s">
        <v>11</v>
      </c>
      <c r="L73" s="106" t="s">
        <v>12</v>
      </c>
      <c r="M73" s="106" t="s">
        <v>13</v>
      </c>
      <c r="N73" s="106" t="s">
        <v>14</v>
      </c>
      <c r="O73" s="106" t="s">
        <v>15</v>
      </c>
      <c r="P73" s="106" t="s">
        <v>16</v>
      </c>
      <c r="Q73" s="106" t="s">
        <v>17</v>
      </c>
      <c r="R73" s="106" t="s">
        <v>18</v>
      </c>
      <c r="S73" s="106" t="s">
        <v>19</v>
      </c>
      <c r="T73" s="106" t="s">
        <v>20</v>
      </c>
      <c r="U73" s="110" t="s">
        <v>21</v>
      </c>
      <c r="V73" s="37" t="s">
        <v>22</v>
      </c>
      <c r="W73" s="37" t="s">
        <v>23</v>
      </c>
      <c r="X73" s="37" t="s">
        <v>24</v>
      </c>
      <c r="Y73" s="37" t="s">
        <v>25</v>
      </c>
      <c r="Z73" s="37" t="s">
        <v>26</v>
      </c>
    </row>
    <row r="74" spans="1:26" x14ac:dyDescent="0.25">
      <c r="A74" s="113"/>
      <c r="B74" s="113"/>
      <c r="C74" s="106"/>
      <c r="D74" s="106"/>
      <c r="E74" s="112"/>
      <c r="F74" s="106"/>
      <c r="G74" s="106"/>
      <c r="H74" s="106"/>
      <c r="I74" s="112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10"/>
      <c r="V74" s="107" t="s">
        <v>27</v>
      </c>
      <c r="W74" s="107" t="s">
        <v>28</v>
      </c>
      <c r="X74" s="107" t="s">
        <v>29</v>
      </c>
      <c r="Y74" s="107" t="s">
        <v>30</v>
      </c>
      <c r="Z74" s="107" t="s">
        <v>31</v>
      </c>
    </row>
    <row r="75" spans="1:26" x14ac:dyDescent="0.25">
      <c r="A75" s="113"/>
      <c r="B75" s="113"/>
      <c r="C75" s="106"/>
      <c r="D75" s="106"/>
      <c r="E75" s="112"/>
      <c r="F75" s="106"/>
      <c r="G75" s="106"/>
      <c r="H75" s="106"/>
      <c r="I75" s="112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10"/>
      <c r="V75" s="111"/>
      <c r="W75" s="107"/>
      <c r="X75" s="107"/>
      <c r="Y75" s="107"/>
      <c r="Z75" s="107"/>
    </row>
    <row r="76" spans="1:26" x14ac:dyDescent="0.25">
      <c r="A76" s="113"/>
      <c r="B76" s="113"/>
      <c r="C76" s="106"/>
      <c r="D76" s="106"/>
      <c r="E76" s="112"/>
      <c r="F76" s="106"/>
      <c r="G76" s="39">
        <v>1</v>
      </c>
      <c r="H76" s="39">
        <v>2</v>
      </c>
      <c r="I76" s="39">
        <v>3</v>
      </c>
      <c r="J76" s="39">
        <v>4</v>
      </c>
      <c r="K76" s="39">
        <v>5</v>
      </c>
      <c r="L76" s="39">
        <v>6</v>
      </c>
      <c r="M76" s="39">
        <v>7</v>
      </c>
      <c r="N76" s="39">
        <v>8</v>
      </c>
      <c r="O76" s="39">
        <v>9</v>
      </c>
      <c r="P76" s="39">
        <v>10</v>
      </c>
      <c r="Q76" s="39">
        <v>11</v>
      </c>
      <c r="R76" s="39">
        <v>12</v>
      </c>
      <c r="S76" s="39">
        <v>13</v>
      </c>
      <c r="T76" s="39">
        <v>14</v>
      </c>
      <c r="U76" s="110"/>
      <c r="V76" s="38">
        <v>15</v>
      </c>
      <c r="W76" s="38">
        <v>16</v>
      </c>
      <c r="X76" s="38">
        <v>17</v>
      </c>
      <c r="Y76" s="38">
        <v>18</v>
      </c>
      <c r="Z76" s="38">
        <v>19</v>
      </c>
    </row>
    <row r="77" spans="1:26" ht="15.75" x14ac:dyDescent="0.25">
      <c r="A77" s="108">
        <v>1</v>
      </c>
      <c r="B77" s="117" t="s">
        <v>76</v>
      </c>
      <c r="C77" s="41" t="s">
        <v>44</v>
      </c>
      <c r="D77" s="41" t="s">
        <v>43</v>
      </c>
      <c r="E77" s="41">
        <f>+JAN!E77+FEB!E77+MAR!E77</f>
        <v>90</v>
      </c>
      <c r="F77" s="41">
        <f>MAR!F77</f>
        <v>2</v>
      </c>
      <c r="G77" s="41">
        <f>'[1]TT Per Ruang'!G34</f>
        <v>3</v>
      </c>
      <c r="H77" s="41">
        <f>+JAN!H77+FEB!H77+MAR!H77</f>
        <v>39</v>
      </c>
      <c r="I77" s="41">
        <f>+JAN!I77+FEB!I77+MAR!I77</f>
        <v>9</v>
      </c>
      <c r="J77" s="42">
        <v>20</v>
      </c>
      <c r="K77" s="41">
        <f>+JAN!K77+FEB!K77+MAR!K77</f>
        <v>4</v>
      </c>
      <c r="L77" s="41">
        <f>+JAN!L77+FEB!L77+MAR!L77</f>
        <v>42</v>
      </c>
      <c r="M77" s="42">
        <v>1</v>
      </c>
      <c r="N77" s="41">
        <f>+JAN!N77+FEB!N77+MAR!N77</f>
        <v>1</v>
      </c>
      <c r="O77" s="41">
        <f>+JAN!O77+FEB!O77+MAR!O77</f>
        <v>2</v>
      </c>
      <c r="P77" s="42">
        <v>17</v>
      </c>
      <c r="Q77" s="41">
        <f>+JAN!Q77+FEB!Q77+MAR!Q77</f>
        <v>170</v>
      </c>
      <c r="R77" s="41">
        <f>+JAN!R77+FEB!R77+MAR!R77</f>
        <v>0</v>
      </c>
      <c r="S77" s="41">
        <f>+JAN!S77+FEB!S77+MAR!S77</f>
        <v>185</v>
      </c>
      <c r="T77" s="42">
        <f t="shared" ref="T77:T88" si="28">J77-P77</f>
        <v>3</v>
      </c>
      <c r="U77" s="42">
        <f t="shared" ref="U77:U88" si="29">+L77+M77</f>
        <v>43</v>
      </c>
      <c r="V77" s="43">
        <f t="shared" ref="V77:V88" si="30">$S77/$E77</f>
        <v>2.0555555555555554</v>
      </c>
      <c r="W77" s="43">
        <f t="shared" ref="W77:W88" si="31">$V77/$F77*100</f>
        <v>102.77777777777777</v>
      </c>
      <c r="X77" s="43">
        <f t="shared" ref="X77:X88" si="32">$S77/($L77+$M77)</f>
        <v>4.3023255813953485</v>
      </c>
      <c r="Y77" s="44">
        <f t="shared" ref="Y77:Y88" si="33">(($F77-$V77)*$E77)/($L77+$M77)</f>
        <v>-0.11627906976744144</v>
      </c>
      <c r="Z77" s="43">
        <f t="shared" ref="Z77:Z88" si="34">($L77+$M77)/$F77</f>
        <v>21.5</v>
      </c>
    </row>
    <row r="78" spans="1:26" ht="15.75" x14ac:dyDescent="0.25">
      <c r="A78" s="109"/>
      <c r="B78" s="118"/>
      <c r="C78" s="45" t="s">
        <v>44</v>
      </c>
      <c r="D78" s="45" t="s">
        <v>43</v>
      </c>
      <c r="E78" s="41">
        <f>+JAN!E78+FEB!E78+MAR!E78</f>
        <v>90</v>
      </c>
      <c r="F78" s="45">
        <f>SUM(F77)</f>
        <v>2</v>
      </c>
      <c r="G78" s="45">
        <f>SUM(G77)</f>
        <v>3</v>
      </c>
      <c r="H78" s="45">
        <f>SUM(H77)</f>
        <v>39</v>
      </c>
      <c r="I78" s="45">
        <f>SUM(I77)</f>
        <v>9</v>
      </c>
      <c r="J78" s="45">
        <v>20</v>
      </c>
      <c r="K78" s="45">
        <f>SUM(K77)</f>
        <v>4</v>
      </c>
      <c r="L78" s="45">
        <f>SUM(L77)</f>
        <v>42</v>
      </c>
      <c r="M78" s="45">
        <v>1</v>
      </c>
      <c r="N78" s="45">
        <f>SUM(N77)</f>
        <v>1</v>
      </c>
      <c r="O78" s="45">
        <f>SUM(O77)</f>
        <v>2</v>
      </c>
      <c r="P78" s="45">
        <v>17</v>
      </c>
      <c r="Q78" s="45">
        <f>SUM(Q77)</f>
        <v>170</v>
      </c>
      <c r="R78" s="45">
        <f>SUM(R77)</f>
        <v>0</v>
      </c>
      <c r="S78" s="45">
        <f>SUM(S77)</f>
        <v>185</v>
      </c>
      <c r="T78" s="45">
        <f t="shared" si="28"/>
        <v>3</v>
      </c>
      <c r="U78" s="45">
        <f t="shared" si="29"/>
        <v>43</v>
      </c>
      <c r="V78" s="57">
        <f t="shared" si="30"/>
        <v>2.0555555555555554</v>
      </c>
      <c r="W78" s="57">
        <f t="shared" si="31"/>
        <v>102.77777777777777</v>
      </c>
      <c r="X78" s="57">
        <f t="shared" si="32"/>
        <v>4.3023255813953485</v>
      </c>
      <c r="Y78" s="57">
        <f t="shared" si="33"/>
        <v>-0.11627906976744144</v>
      </c>
      <c r="Z78" s="57">
        <f t="shared" si="34"/>
        <v>21.5</v>
      </c>
    </row>
    <row r="79" spans="1:26" ht="15.75" x14ac:dyDescent="0.25">
      <c r="A79" s="108">
        <v>2</v>
      </c>
      <c r="B79" s="118"/>
      <c r="C79" s="41" t="s">
        <v>47</v>
      </c>
      <c r="D79" s="41" t="s">
        <v>43</v>
      </c>
      <c r="E79" s="41">
        <f>+JAN!E79+FEB!E79+MAR!E79</f>
        <v>90</v>
      </c>
      <c r="F79" s="41">
        <f>MAR!F79</f>
        <v>13</v>
      </c>
      <c r="G79" s="41">
        <f>'[1]TT Per Ruang'!G44</f>
        <v>14</v>
      </c>
      <c r="H79" s="41">
        <f>+JAN!H79+FEB!H79+MAR!H79</f>
        <v>303</v>
      </c>
      <c r="I79" s="41">
        <f>+JAN!I79+FEB!I79+MAR!I79</f>
        <v>44</v>
      </c>
      <c r="J79" s="42">
        <v>135</v>
      </c>
      <c r="K79" s="41">
        <f>+JAN!K79+FEB!K79+MAR!K79</f>
        <v>24</v>
      </c>
      <c r="L79" s="41">
        <f>+JAN!L79+FEB!L79+MAR!L79</f>
        <v>301</v>
      </c>
      <c r="M79" s="42">
        <v>7</v>
      </c>
      <c r="N79" s="41">
        <f>+JAN!N79+FEB!N79+MAR!N79</f>
        <v>8</v>
      </c>
      <c r="O79" s="41">
        <f>+JAN!O79+FEB!O79+MAR!O79</f>
        <v>14</v>
      </c>
      <c r="P79" s="42">
        <v>128</v>
      </c>
      <c r="Q79" s="41">
        <f>+JAN!Q79+FEB!Q79+MAR!Q79</f>
        <v>1072</v>
      </c>
      <c r="R79" s="41">
        <f>+JAN!R79+FEB!R79+MAR!R79</f>
        <v>0</v>
      </c>
      <c r="S79" s="41">
        <f>+JAN!S79+FEB!S79+MAR!S79</f>
        <v>1046</v>
      </c>
      <c r="T79" s="42">
        <f t="shared" si="28"/>
        <v>7</v>
      </c>
      <c r="U79" s="42">
        <f t="shared" si="29"/>
        <v>308</v>
      </c>
      <c r="V79" s="43">
        <f t="shared" si="30"/>
        <v>11.622222222222222</v>
      </c>
      <c r="W79" s="43">
        <f t="shared" si="31"/>
        <v>89.401709401709397</v>
      </c>
      <c r="X79" s="43">
        <f t="shared" si="32"/>
        <v>3.3961038961038961</v>
      </c>
      <c r="Y79" s="44">
        <f t="shared" si="33"/>
        <v>0.40259740259740273</v>
      </c>
      <c r="Z79" s="43">
        <f t="shared" si="34"/>
        <v>23.692307692307693</v>
      </c>
    </row>
    <row r="80" spans="1:26" ht="15.75" x14ac:dyDescent="0.25">
      <c r="A80" s="109"/>
      <c r="B80" s="118"/>
      <c r="C80" s="45" t="s">
        <v>47</v>
      </c>
      <c r="D80" s="45" t="s">
        <v>43</v>
      </c>
      <c r="E80" s="41">
        <f>+JAN!E80+FEB!E80+MAR!E80</f>
        <v>90</v>
      </c>
      <c r="F80" s="45">
        <f>SUM(F79)</f>
        <v>13</v>
      </c>
      <c r="G80" s="45">
        <f>SUM(G79)</f>
        <v>14</v>
      </c>
      <c r="H80" s="45">
        <f>SUM(H79)</f>
        <v>303</v>
      </c>
      <c r="I80" s="45">
        <f>SUM(I79)</f>
        <v>44</v>
      </c>
      <c r="J80" s="45">
        <v>135</v>
      </c>
      <c r="K80" s="45">
        <f>SUM(K79)</f>
        <v>24</v>
      </c>
      <c r="L80" s="45">
        <f>SUM(L79)</f>
        <v>301</v>
      </c>
      <c r="M80" s="45">
        <v>7</v>
      </c>
      <c r="N80" s="45">
        <f>SUM(N79)</f>
        <v>8</v>
      </c>
      <c r="O80" s="45">
        <f>SUM(O79)</f>
        <v>14</v>
      </c>
      <c r="P80" s="45">
        <v>128</v>
      </c>
      <c r="Q80" s="45">
        <f>SUM(Q79)</f>
        <v>1072</v>
      </c>
      <c r="R80" s="45">
        <f>SUM(R79)</f>
        <v>0</v>
      </c>
      <c r="S80" s="45">
        <f>SUM(S79)</f>
        <v>1046</v>
      </c>
      <c r="T80" s="45">
        <f t="shared" si="28"/>
        <v>7</v>
      </c>
      <c r="U80" s="45">
        <f t="shared" si="29"/>
        <v>308</v>
      </c>
      <c r="V80" s="57">
        <f t="shared" si="30"/>
        <v>11.622222222222222</v>
      </c>
      <c r="W80" s="57">
        <f t="shared" si="31"/>
        <v>89.401709401709397</v>
      </c>
      <c r="X80" s="57">
        <f t="shared" si="32"/>
        <v>3.3961038961038961</v>
      </c>
      <c r="Y80" s="57">
        <f t="shared" si="33"/>
        <v>0.40259740259740273</v>
      </c>
      <c r="Z80" s="57">
        <f t="shared" si="34"/>
        <v>23.692307692307693</v>
      </c>
    </row>
    <row r="81" spans="1:26" ht="15.75" x14ac:dyDescent="0.25">
      <c r="A81" s="108">
        <v>3</v>
      </c>
      <c r="B81" s="118"/>
      <c r="C81" s="41" t="s">
        <v>56</v>
      </c>
      <c r="D81" s="41" t="s">
        <v>43</v>
      </c>
      <c r="E81" s="41">
        <f>+JAN!E81+FEB!E81+MAR!E81</f>
        <v>90</v>
      </c>
      <c r="F81" s="41">
        <f>MAR!F81</f>
        <v>3</v>
      </c>
      <c r="G81" s="41">
        <f>'[1]TT Per Ruang'!G58</f>
        <v>0</v>
      </c>
      <c r="H81" s="41">
        <f>+JAN!H81+FEB!H81+MAR!H81</f>
        <v>35</v>
      </c>
      <c r="I81" s="41">
        <f>+JAN!I81+FEB!I81+MAR!I81</f>
        <v>40</v>
      </c>
      <c r="J81" s="42">
        <v>17</v>
      </c>
      <c r="K81" s="41">
        <f>+JAN!K81+FEB!K81+MAR!K81</f>
        <v>42</v>
      </c>
      <c r="L81" s="41">
        <f>+JAN!L81+FEB!L81+MAR!L81</f>
        <v>29</v>
      </c>
      <c r="M81" s="42">
        <v>0</v>
      </c>
      <c r="N81" s="41">
        <f>+JAN!N81+FEB!N81+MAR!N81</f>
        <v>0</v>
      </c>
      <c r="O81" s="41">
        <f>+JAN!O81+FEB!O81+MAR!O81</f>
        <v>0</v>
      </c>
      <c r="P81" s="42">
        <v>16</v>
      </c>
      <c r="Q81" s="41">
        <f>+JAN!Q81+FEB!Q81+MAR!Q81</f>
        <v>75</v>
      </c>
      <c r="R81" s="41">
        <f>+JAN!R81+FEB!R81+MAR!R81</f>
        <v>0</v>
      </c>
      <c r="S81" s="41">
        <f>+JAN!S81+FEB!S81+MAR!S81</f>
        <v>79</v>
      </c>
      <c r="T81" s="42">
        <f t="shared" si="28"/>
        <v>1</v>
      </c>
      <c r="U81" s="42">
        <f t="shared" si="29"/>
        <v>29</v>
      </c>
      <c r="V81" s="43">
        <f t="shared" si="30"/>
        <v>0.87777777777777777</v>
      </c>
      <c r="W81" s="43">
        <f t="shared" si="31"/>
        <v>29.259259259259256</v>
      </c>
      <c r="X81" s="43">
        <f t="shared" si="32"/>
        <v>2.7241379310344827</v>
      </c>
      <c r="Y81" s="44">
        <f t="shared" si="33"/>
        <v>6.5862068965517242</v>
      </c>
      <c r="Z81" s="43">
        <f t="shared" si="34"/>
        <v>9.6666666666666661</v>
      </c>
    </row>
    <row r="82" spans="1:26" ht="15.75" x14ac:dyDescent="0.25">
      <c r="A82" s="120"/>
      <c r="B82" s="118"/>
      <c r="C82" s="41" t="s">
        <v>60</v>
      </c>
      <c r="D82" s="41" t="s">
        <v>43</v>
      </c>
      <c r="E82" s="41">
        <f>+JAN!E82+FEB!E82+MAR!E82</f>
        <v>90</v>
      </c>
      <c r="F82" s="41">
        <f>MAR!F82</f>
        <v>0</v>
      </c>
      <c r="G82" s="41">
        <f>'[1]TT Per Ruang'!G86</f>
        <v>0</v>
      </c>
      <c r="H82" s="41">
        <f>+JAN!H82+FEB!H82+MAR!H82</f>
        <v>0</v>
      </c>
      <c r="I82" s="41">
        <f>+JAN!I82+FEB!I82+MAR!I82</f>
        <v>5</v>
      </c>
      <c r="J82" s="42">
        <v>3</v>
      </c>
      <c r="K82" s="41">
        <f>+JAN!K82+FEB!K82+MAR!K82</f>
        <v>0</v>
      </c>
      <c r="L82" s="41">
        <f>+JAN!L82+FEB!L82+MAR!L82</f>
        <v>5</v>
      </c>
      <c r="M82" s="42">
        <v>0</v>
      </c>
      <c r="N82" s="41">
        <f>+JAN!N82+FEB!N82+MAR!N82</f>
        <v>0</v>
      </c>
      <c r="O82" s="41">
        <f>+JAN!O82+FEB!O82+MAR!O82</f>
        <v>0</v>
      </c>
      <c r="P82" s="42">
        <v>2</v>
      </c>
      <c r="Q82" s="41">
        <f>+JAN!Q82+FEB!Q82+MAR!Q82</f>
        <v>8</v>
      </c>
      <c r="R82" s="41">
        <f>+JAN!R82+FEB!R82+MAR!R82</f>
        <v>0</v>
      </c>
      <c r="S82" s="41">
        <f>+JAN!S82+FEB!S82+MAR!S82</f>
        <v>5</v>
      </c>
      <c r="T82" s="42">
        <f t="shared" si="28"/>
        <v>1</v>
      </c>
      <c r="U82" s="42">
        <f t="shared" si="29"/>
        <v>5</v>
      </c>
      <c r="V82" s="43">
        <f t="shared" si="30"/>
        <v>5.5555555555555552E-2</v>
      </c>
      <c r="W82" s="43" t="e">
        <f t="shared" si="31"/>
        <v>#DIV/0!</v>
      </c>
      <c r="X82" s="43">
        <f t="shared" si="32"/>
        <v>1</v>
      </c>
      <c r="Y82" s="44">
        <f t="shared" si="33"/>
        <v>-1</v>
      </c>
      <c r="Z82" s="43" t="e">
        <f t="shared" si="34"/>
        <v>#DIV/0!</v>
      </c>
    </row>
    <row r="83" spans="1:26" ht="15.75" x14ac:dyDescent="0.25">
      <c r="A83" s="109"/>
      <c r="B83" s="118"/>
      <c r="C83" s="45" t="s">
        <v>77</v>
      </c>
      <c r="D83" s="45" t="s">
        <v>43</v>
      </c>
      <c r="E83" s="41">
        <f>+JAN!E83+FEB!E83+MAR!E83</f>
        <v>90</v>
      </c>
      <c r="F83" s="45">
        <f>SUM(F81:F82)</f>
        <v>3</v>
      </c>
      <c r="G83" s="45">
        <f>SUM(G81:G82)</f>
        <v>0</v>
      </c>
      <c r="H83" s="45">
        <f>SUM(H81:H82)</f>
        <v>35</v>
      </c>
      <c r="I83" s="45">
        <f>SUM(I81:I82)</f>
        <v>45</v>
      </c>
      <c r="J83" s="45">
        <v>20</v>
      </c>
      <c r="K83" s="45">
        <f>SUM(K81:K82)</f>
        <v>42</v>
      </c>
      <c r="L83" s="45">
        <f>SUM(L81:L82)</f>
        <v>34</v>
      </c>
      <c r="M83" s="45">
        <v>0</v>
      </c>
      <c r="N83" s="45">
        <f>SUM(N81:N82)</f>
        <v>0</v>
      </c>
      <c r="O83" s="45">
        <f>SUM(O81:O82)</f>
        <v>0</v>
      </c>
      <c r="P83" s="45">
        <v>18</v>
      </c>
      <c r="Q83" s="45">
        <f>SUM(Q81:Q82)</f>
        <v>83</v>
      </c>
      <c r="R83" s="45">
        <f>SUM(R81:R82)</f>
        <v>0</v>
      </c>
      <c r="S83" s="45">
        <f>SUM(S81:S82)</f>
        <v>84</v>
      </c>
      <c r="T83" s="45">
        <f t="shared" si="28"/>
        <v>2</v>
      </c>
      <c r="U83" s="45">
        <f t="shared" si="29"/>
        <v>34</v>
      </c>
      <c r="V83" s="57">
        <f t="shared" si="30"/>
        <v>0.93333333333333335</v>
      </c>
      <c r="W83" s="57">
        <f t="shared" si="31"/>
        <v>31.111111111111111</v>
      </c>
      <c r="X83" s="57">
        <f t="shared" si="32"/>
        <v>2.4705882352941178</v>
      </c>
      <c r="Y83" s="57">
        <f t="shared" si="33"/>
        <v>5.4705882352941169</v>
      </c>
      <c r="Z83" s="57">
        <f t="shared" si="34"/>
        <v>11.333333333333334</v>
      </c>
    </row>
    <row r="84" spans="1:26" ht="15.75" x14ac:dyDescent="0.25">
      <c r="A84" s="108">
        <v>4</v>
      </c>
      <c r="B84" s="118"/>
      <c r="C84" s="42" t="s">
        <v>42</v>
      </c>
      <c r="D84" s="42" t="s">
        <v>43</v>
      </c>
      <c r="E84" s="41">
        <f>+JAN!E84+FEB!E84+MAR!E84</f>
        <v>90</v>
      </c>
      <c r="F84" s="41">
        <f>MAR!F84</f>
        <v>3</v>
      </c>
      <c r="G84" s="42">
        <f>'[1]TT Per Ruang'!G30</f>
        <v>4</v>
      </c>
      <c r="H84" s="41">
        <f>+JAN!H84+FEB!H84+MAR!H84</f>
        <v>83</v>
      </c>
      <c r="I84" s="41">
        <f>+JAN!I84+FEB!I84+MAR!I84</f>
        <v>31</v>
      </c>
      <c r="J84" s="42">
        <v>46</v>
      </c>
      <c r="K84" s="41">
        <f>+JAN!K84+FEB!K84+MAR!K84</f>
        <v>19</v>
      </c>
      <c r="L84" s="41">
        <f>+JAN!L84+FEB!L84+MAR!L84</f>
        <v>94</v>
      </c>
      <c r="M84" s="42">
        <v>3</v>
      </c>
      <c r="N84" s="41">
        <f>+JAN!N84+FEB!N84+MAR!N84</f>
        <v>2</v>
      </c>
      <c r="O84" s="41">
        <f>+JAN!O84+FEB!O84+MAR!O84</f>
        <v>1</v>
      </c>
      <c r="P84" s="42">
        <v>44</v>
      </c>
      <c r="Q84" s="41">
        <f>+JAN!Q84+FEB!Q84+MAR!Q84</f>
        <v>319</v>
      </c>
      <c r="R84" s="41">
        <f>+JAN!R84+FEB!R84+MAR!R84</f>
        <v>2</v>
      </c>
      <c r="S84" s="41">
        <f>+JAN!S84+FEB!S84+MAR!S84</f>
        <v>320</v>
      </c>
      <c r="T84" s="42">
        <f t="shared" si="28"/>
        <v>2</v>
      </c>
      <c r="U84" s="42">
        <f t="shared" si="29"/>
        <v>97</v>
      </c>
      <c r="V84" s="43">
        <f t="shared" si="30"/>
        <v>3.5555555555555554</v>
      </c>
      <c r="W84" s="43">
        <f t="shared" si="31"/>
        <v>118.5185185185185</v>
      </c>
      <c r="X84" s="43">
        <f t="shared" si="32"/>
        <v>3.2989690721649483</v>
      </c>
      <c r="Y84" s="44">
        <f t="shared" si="33"/>
        <v>-0.51546391752577303</v>
      </c>
      <c r="Z84" s="43">
        <f t="shared" si="34"/>
        <v>32.333333333333336</v>
      </c>
    </row>
    <row r="85" spans="1:26" ht="15.75" x14ac:dyDescent="0.25">
      <c r="A85" s="109"/>
      <c r="B85" s="118"/>
      <c r="C85" s="45" t="s">
        <v>42</v>
      </c>
      <c r="D85" s="45" t="s">
        <v>43</v>
      </c>
      <c r="E85" s="41">
        <f>+JAN!E85+FEB!E85+MAR!E85</f>
        <v>90</v>
      </c>
      <c r="F85" s="45">
        <f>SUM(F84)</f>
        <v>3</v>
      </c>
      <c r="G85" s="45">
        <f>SUM(G84)</f>
        <v>4</v>
      </c>
      <c r="H85" s="45">
        <f>SUM(H84)</f>
        <v>83</v>
      </c>
      <c r="I85" s="45">
        <f>SUM(I84)</f>
        <v>31</v>
      </c>
      <c r="J85" s="45">
        <v>46</v>
      </c>
      <c r="K85" s="45">
        <f>SUM(K84)</f>
        <v>19</v>
      </c>
      <c r="L85" s="45">
        <f>SUM(L84)</f>
        <v>94</v>
      </c>
      <c r="M85" s="45">
        <v>3</v>
      </c>
      <c r="N85" s="45">
        <f>SUM(N84)</f>
        <v>2</v>
      </c>
      <c r="O85" s="45">
        <f>SUM(O84)</f>
        <v>1</v>
      </c>
      <c r="P85" s="45">
        <v>44</v>
      </c>
      <c r="Q85" s="45">
        <f>SUM(Q84)</f>
        <v>319</v>
      </c>
      <c r="R85" s="45">
        <f>SUM(R84)</f>
        <v>2</v>
      </c>
      <c r="S85" s="45">
        <f>SUM(S84)</f>
        <v>320</v>
      </c>
      <c r="T85" s="45">
        <f t="shared" si="28"/>
        <v>2</v>
      </c>
      <c r="U85" s="45">
        <f t="shared" si="29"/>
        <v>97</v>
      </c>
      <c r="V85" s="57">
        <f t="shared" si="30"/>
        <v>3.5555555555555554</v>
      </c>
      <c r="W85" s="57">
        <f t="shared" si="31"/>
        <v>118.5185185185185</v>
      </c>
      <c r="X85" s="57">
        <f t="shared" si="32"/>
        <v>3.2989690721649483</v>
      </c>
      <c r="Y85" s="57">
        <f t="shared" si="33"/>
        <v>-0.51546391752577303</v>
      </c>
      <c r="Z85" s="57">
        <f t="shared" si="34"/>
        <v>32.333333333333336</v>
      </c>
    </row>
    <row r="86" spans="1:26" ht="15.75" x14ac:dyDescent="0.25">
      <c r="A86" s="108">
        <v>5</v>
      </c>
      <c r="B86" s="118"/>
      <c r="C86" s="42" t="s">
        <v>46</v>
      </c>
      <c r="D86" s="42" t="s">
        <v>43</v>
      </c>
      <c r="E86" s="41">
        <f>+JAN!E86+FEB!E86+MAR!E86</f>
        <v>90</v>
      </c>
      <c r="F86" s="41">
        <f>MAR!F86</f>
        <v>14</v>
      </c>
      <c r="G86" s="42">
        <f>'[1]TT Per Ruang'!G40</f>
        <v>8</v>
      </c>
      <c r="H86" s="41">
        <f>+JAN!H86+FEB!H86+MAR!H86</f>
        <v>206</v>
      </c>
      <c r="I86" s="41">
        <f>+JAN!I86+FEB!I86+MAR!I86</f>
        <v>28</v>
      </c>
      <c r="J86" s="42">
        <v>92</v>
      </c>
      <c r="K86" s="41">
        <f>+JAN!K86+FEB!K86+MAR!K86</f>
        <v>30</v>
      </c>
      <c r="L86" s="41">
        <f>+JAN!L86+FEB!L86+MAR!L86</f>
        <v>183</v>
      </c>
      <c r="M86" s="42">
        <v>3</v>
      </c>
      <c r="N86" s="41">
        <f>+JAN!N86+FEB!N86+MAR!N86</f>
        <v>10</v>
      </c>
      <c r="O86" s="41">
        <f>+JAN!O86+FEB!O86+MAR!O86</f>
        <v>5</v>
      </c>
      <c r="P86" s="42">
        <v>90</v>
      </c>
      <c r="Q86" s="41">
        <f>+JAN!Q86+FEB!Q86+MAR!Q86</f>
        <v>672</v>
      </c>
      <c r="R86" s="41">
        <f>+JAN!R86+FEB!R86+MAR!R86</f>
        <v>4</v>
      </c>
      <c r="S86" s="41">
        <f>+JAN!S86+FEB!S86+MAR!S86</f>
        <v>672</v>
      </c>
      <c r="T86" s="42">
        <f t="shared" si="28"/>
        <v>2</v>
      </c>
      <c r="U86" s="42">
        <f t="shared" si="29"/>
        <v>186</v>
      </c>
      <c r="V86" s="43">
        <f t="shared" si="30"/>
        <v>7.4666666666666668</v>
      </c>
      <c r="W86" s="43">
        <f t="shared" si="31"/>
        <v>53.333333333333336</v>
      </c>
      <c r="X86" s="43">
        <f t="shared" si="32"/>
        <v>3.6129032258064515</v>
      </c>
      <c r="Y86" s="44">
        <f t="shared" si="33"/>
        <v>3.161290322580645</v>
      </c>
      <c r="Z86" s="43">
        <f t="shared" si="34"/>
        <v>13.285714285714286</v>
      </c>
    </row>
    <row r="87" spans="1:26" ht="15.75" x14ac:dyDescent="0.25">
      <c r="A87" s="109"/>
      <c r="B87" s="118"/>
      <c r="C87" s="45" t="s">
        <v>46</v>
      </c>
      <c r="D87" s="45" t="s">
        <v>43</v>
      </c>
      <c r="E87" s="41">
        <f>+JAN!E87+FEB!E87+MAR!E87</f>
        <v>90</v>
      </c>
      <c r="F87" s="45">
        <f>SUM(F86)</f>
        <v>14</v>
      </c>
      <c r="G87" s="45">
        <f>SUM(G86)</f>
        <v>8</v>
      </c>
      <c r="H87" s="45">
        <f>SUM(H86)</f>
        <v>206</v>
      </c>
      <c r="I87" s="45">
        <f>SUM(I86)</f>
        <v>28</v>
      </c>
      <c r="J87" s="45">
        <v>92</v>
      </c>
      <c r="K87" s="45">
        <f>SUM(K86)</f>
        <v>30</v>
      </c>
      <c r="L87" s="45">
        <f>SUM(L86)</f>
        <v>183</v>
      </c>
      <c r="M87" s="45">
        <v>3</v>
      </c>
      <c r="N87" s="45">
        <f>SUM(N86)</f>
        <v>10</v>
      </c>
      <c r="O87" s="45">
        <f>SUM(O86)</f>
        <v>5</v>
      </c>
      <c r="P87" s="45">
        <v>90</v>
      </c>
      <c r="Q87" s="45">
        <f>SUM(Q86)</f>
        <v>672</v>
      </c>
      <c r="R87" s="45">
        <f>SUM(R86)</f>
        <v>4</v>
      </c>
      <c r="S87" s="45">
        <f>SUM(S86)</f>
        <v>672</v>
      </c>
      <c r="T87" s="45">
        <f t="shared" si="28"/>
        <v>2</v>
      </c>
      <c r="U87" s="45">
        <f t="shared" si="29"/>
        <v>186</v>
      </c>
      <c r="V87" s="57">
        <f t="shared" si="30"/>
        <v>7.4666666666666668</v>
      </c>
      <c r="W87" s="57">
        <f t="shared" si="31"/>
        <v>53.333333333333336</v>
      </c>
      <c r="X87" s="57">
        <f t="shared" si="32"/>
        <v>3.6129032258064515</v>
      </c>
      <c r="Y87" s="57">
        <f t="shared" si="33"/>
        <v>3.161290322580645</v>
      </c>
      <c r="Z87" s="57">
        <f t="shared" si="34"/>
        <v>13.285714285714286</v>
      </c>
    </row>
    <row r="88" spans="1:26" ht="15.75" x14ac:dyDescent="0.25">
      <c r="A88" s="114" t="s">
        <v>86</v>
      </c>
      <c r="B88" s="115"/>
      <c r="C88" s="115"/>
      <c r="D88" s="116"/>
      <c r="E88" s="41">
        <f>+JAN!E88+FEB!E88+MAR!E88</f>
        <v>90</v>
      </c>
      <c r="F88" s="48">
        <f>+F78+F80+F83+F85+F87</f>
        <v>35</v>
      </c>
      <c r="G88" s="48">
        <f>+G78+G80+G83+G85+G87</f>
        <v>29</v>
      </c>
      <c r="H88" s="48">
        <f>+H78+H80+H83+H85+H87</f>
        <v>666</v>
      </c>
      <c r="I88" s="48">
        <f>+I78+I80+I83+I85+I87</f>
        <v>157</v>
      </c>
      <c r="J88" s="49">
        <v>313</v>
      </c>
      <c r="K88" s="48">
        <f>+K78+K80+K83+K85+K87</f>
        <v>119</v>
      </c>
      <c r="L88" s="48">
        <f>+L78+L80+L83+L85+L87</f>
        <v>654</v>
      </c>
      <c r="M88" s="49">
        <f>+N88+O88</f>
        <v>43</v>
      </c>
      <c r="N88" s="48">
        <f>+N78+N80+N83+N85+N87</f>
        <v>21</v>
      </c>
      <c r="O88" s="48">
        <f>+O78+O80+O83+O85+O87</f>
        <v>22</v>
      </c>
      <c r="P88" s="49">
        <v>297</v>
      </c>
      <c r="Q88" s="48">
        <f>+Q78+Q80+Q83+Q85+Q87</f>
        <v>2316</v>
      </c>
      <c r="R88" s="48">
        <f>+R78+R80+R83+R85+R87</f>
        <v>6</v>
      </c>
      <c r="S88" s="48">
        <f>+S78+S80+S83+S85+S87</f>
        <v>2307</v>
      </c>
      <c r="T88" s="49">
        <f t="shared" si="28"/>
        <v>16</v>
      </c>
      <c r="U88" s="49">
        <f t="shared" si="29"/>
        <v>697</v>
      </c>
      <c r="V88" s="50">
        <f t="shared" si="30"/>
        <v>25.633333333333333</v>
      </c>
      <c r="W88" s="50">
        <f t="shared" si="31"/>
        <v>73.238095238095241</v>
      </c>
      <c r="X88" s="50">
        <f t="shared" si="32"/>
        <v>3.3098995695839313</v>
      </c>
      <c r="Y88" s="50">
        <f t="shared" si="33"/>
        <v>1.2094691535150646</v>
      </c>
      <c r="Z88" s="50">
        <f t="shared" si="34"/>
        <v>19.914285714285715</v>
      </c>
    </row>
    <row r="89" spans="1:26" x14ac:dyDescent="0.25">
      <c r="E89" s="17"/>
      <c r="F89" s="17"/>
      <c r="G89" s="17"/>
      <c r="H89" s="17">
        <f>+JAN!H88+FEB!H88</f>
        <v>450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x14ac:dyDescent="0.25"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x14ac:dyDescent="0.25">
      <c r="A91" s="113" t="s">
        <v>1</v>
      </c>
      <c r="B91" s="113" t="s">
        <v>2</v>
      </c>
      <c r="C91" s="106" t="s">
        <v>3</v>
      </c>
      <c r="D91" s="106" t="s">
        <v>4</v>
      </c>
      <c r="E91" s="112" t="s">
        <v>5</v>
      </c>
      <c r="F91" s="106" t="s">
        <v>6</v>
      </c>
      <c r="G91" s="106" t="s">
        <v>7</v>
      </c>
      <c r="H91" s="106" t="s">
        <v>8</v>
      </c>
      <c r="I91" s="112" t="s">
        <v>9</v>
      </c>
      <c r="J91" s="106" t="s">
        <v>10</v>
      </c>
      <c r="K91" s="106" t="s">
        <v>11</v>
      </c>
      <c r="L91" s="106" t="s">
        <v>12</v>
      </c>
      <c r="M91" s="106" t="s">
        <v>13</v>
      </c>
      <c r="N91" s="106" t="s">
        <v>14</v>
      </c>
      <c r="O91" s="106" t="s">
        <v>15</v>
      </c>
      <c r="P91" s="106" t="s">
        <v>16</v>
      </c>
      <c r="Q91" s="106" t="s">
        <v>17</v>
      </c>
      <c r="R91" s="106" t="s">
        <v>18</v>
      </c>
      <c r="S91" s="106" t="s">
        <v>19</v>
      </c>
      <c r="T91" s="106" t="s">
        <v>20</v>
      </c>
      <c r="U91" s="110" t="s">
        <v>21</v>
      </c>
      <c r="V91" s="37" t="s">
        <v>22</v>
      </c>
      <c r="W91" s="37" t="s">
        <v>23</v>
      </c>
      <c r="X91" s="37" t="s">
        <v>24</v>
      </c>
      <c r="Y91" s="37" t="s">
        <v>25</v>
      </c>
      <c r="Z91" s="37" t="s">
        <v>26</v>
      </c>
    </row>
    <row r="92" spans="1:26" x14ac:dyDescent="0.25">
      <c r="A92" s="113"/>
      <c r="B92" s="113"/>
      <c r="C92" s="106"/>
      <c r="D92" s="106"/>
      <c r="E92" s="112"/>
      <c r="F92" s="106"/>
      <c r="G92" s="106"/>
      <c r="H92" s="106"/>
      <c r="I92" s="112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10"/>
      <c r="V92" s="107" t="s">
        <v>27</v>
      </c>
      <c r="W92" s="107" t="s">
        <v>28</v>
      </c>
      <c r="X92" s="107" t="s">
        <v>29</v>
      </c>
      <c r="Y92" s="107" t="s">
        <v>30</v>
      </c>
      <c r="Z92" s="107" t="s">
        <v>31</v>
      </c>
    </row>
    <row r="93" spans="1:26" x14ac:dyDescent="0.25">
      <c r="A93" s="113"/>
      <c r="B93" s="113"/>
      <c r="C93" s="106"/>
      <c r="D93" s="106"/>
      <c r="E93" s="112"/>
      <c r="F93" s="106"/>
      <c r="G93" s="106"/>
      <c r="H93" s="106"/>
      <c r="I93" s="112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10"/>
      <c r="V93" s="111"/>
      <c r="W93" s="107"/>
      <c r="X93" s="107"/>
      <c r="Y93" s="107"/>
      <c r="Z93" s="107"/>
    </row>
    <row r="94" spans="1:26" x14ac:dyDescent="0.25">
      <c r="A94" s="113"/>
      <c r="B94" s="113"/>
      <c r="C94" s="106"/>
      <c r="D94" s="106"/>
      <c r="E94" s="112"/>
      <c r="F94" s="106"/>
      <c r="G94" s="39">
        <v>1</v>
      </c>
      <c r="H94" s="39">
        <v>2</v>
      </c>
      <c r="I94" s="39">
        <v>3</v>
      </c>
      <c r="J94" s="39">
        <v>4</v>
      </c>
      <c r="K94" s="39">
        <v>5</v>
      </c>
      <c r="L94" s="39">
        <v>6</v>
      </c>
      <c r="M94" s="39">
        <v>7</v>
      </c>
      <c r="N94" s="39">
        <v>8</v>
      </c>
      <c r="O94" s="39">
        <v>9</v>
      </c>
      <c r="P94" s="39">
        <v>10</v>
      </c>
      <c r="Q94" s="39">
        <v>11</v>
      </c>
      <c r="R94" s="39">
        <v>12</v>
      </c>
      <c r="S94" s="39">
        <v>13</v>
      </c>
      <c r="T94" s="39">
        <v>14</v>
      </c>
      <c r="U94" s="110"/>
      <c r="V94" s="38">
        <v>15</v>
      </c>
      <c r="W94" s="38">
        <v>16</v>
      </c>
      <c r="X94" s="38">
        <v>17</v>
      </c>
      <c r="Y94" s="38">
        <v>18</v>
      </c>
      <c r="Z94" s="38">
        <v>19</v>
      </c>
    </row>
    <row r="95" spans="1:26" ht="15.75" x14ac:dyDescent="0.25">
      <c r="A95" s="108">
        <v>1</v>
      </c>
      <c r="B95" s="117" t="s">
        <v>78</v>
      </c>
      <c r="C95" s="41" t="s">
        <v>44</v>
      </c>
      <c r="D95" s="41" t="s">
        <v>36</v>
      </c>
      <c r="E95" s="41">
        <f>+JAN!E95+FEB!E95+MAR!E95</f>
        <v>90</v>
      </c>
      <c r="F95" s="41">
        <f>MAR!F95</f>
        <v>4</v>
      </c>
      <c r="G95" s="41">
        <f>'[1]TT Per Ruang'!G35</f>
        <v>4</v>
      </c>
      <c r="H95" s="41">
        <f>+JAN!H95+FEB!H95+MAR!H95</f>
        <v>65</v>
      </c>
      <c r="I95" s="41">
        <f>+JAN!I95+FEB!I95+MAR!I95</f>
        <v>11</v>
      </c>
      <c r="J95" s="42">
        <v>33</v>
      </c>
      <c r="K95" s="41">
        <f>+JAN!K95+FEB!K95+MAR!K95</f>
        <v>3</v>
      </c>
      <c r="L95" s="41">
        <f>+JAN!L95+FEB!L95+MAR!L95</f>
        <v>69</v>
      </c>
      <c r="M95" s="42">
        <v>2</v>
      </c>
      <c r="N95" s="41">
        <f>+JAN!N95+FEB!N95+MAR!N95</f>
        <v>3</v>
      </c>
      <c r="O95" s="41">
        <f>+JAN!O95+FEB!O95+MAR!O95</f>
        <v>1</v>
      </c>
      <c r="P95" s="42">
        <v>29</v>
      </c>
      <c r="Q95" s="41">
        <f>+JAN!Q95+FEB!Q95+MAR!Q95</f>
        <v>288</v>
      </c>
      <c r="R95" s="41">
        <f>+JAN!R95+FEB!R95+MAR!R95</f>
        <v>2</v>
      </c>
      <c r="S95" s="41">
        <f>+JAN!S95+FEB!S95+MAR!S95</f>
        <v>293</v>
      </c>
      <c r="T95" s="42">
        <f t="shared" ref="T95:T104" si="35">J95-P95</f>
        <v>4</v>
      </c>
      <c r="U95" s="42">
        <f t="shared" ref="U95:U104" si="36">+L95+M95</f>
        <v>71</v>
      </c>
      <c r="V95" s="43">
        <f t="shared" ref="V95:V104" si="37">$S95/$E95</f>
        <v>3.2555555555555555</v>
      </c>
      <c r="W95" s="43">
        <f t="shared" ref="W95:W104" si="38">$V95/$F95*100</f>
        <v>81.388888888888886</v>
      </c>
      <c r="X95" s="43">
        <f t="shared" ref="X95:X104" si="39">$S95/($L95+$M95)</f>
        <v>4.126760563380282</v>
      </c>
      <c r="Y95" s="44">
        <f t="shared" ref="Y95:Y104" si="40">(($F95-$V95)*$E95)/($L95+$M95)</f>
        <v>0.94366197183098588</v>
      </c>
      <c r="Z95" s="43">
        <f t="shared" ref="Z95:Z104" si="41">($L95+$M95)/$F95</f>
        <v>17.75</v>
      </c>
    </row>
    <row r="96" spans="1:26" ht="15.75" x14ac:dyDescent="0.25">
      <c r="A96" s="109"/>
      <c r="B96" s="118"/>
      <c r="C96" s="45" t="s">
        <v>44</v>
      </c>
      <c r="D96" s="45" t="s">
        <v>36</v>
      </c>
      <c r="E96" s="41">
        <f>+JAN!E96+FEB!E96+MAR!E96</f>
        <v>90</v>
      </c>
      <c r="F96" s="45">
        <f>SUM(F95)</f>
        <v>4</v>
      </c>
      <c r="G96" s="45">
        <f>SUM(G95)</f>
        <v>4</v>
      </c>
      <c r="H96" s="45">
        <f>SUM(H95)</f>
        <v>65</v>
      </c>
      <c r="I96" s="45">
        <f>SUM(I95)</f>
        <v>11</v>
      </c>
      <c r="J96" s="45">
        <v>33</v>
      </c>
      <c r="K96" s="45">
        <f>SUM(K95)</f>
        <v>3</v>
      </c>
      <c r="L96" s="45">
        <f>SUM(L95)</f>
        <v>69</v>
      </c>
      <c r="M96" s="45">
        <v>2</v>
      </c>
      <c r="N96" s="45">
        <f>SUM(N95)</f>
        <v>3</v>
      </c>
      <c r="O96" s="45">
        <f>SUM(O95)</f>
        <v>1</v>
      </c>
      <c r="P96" s="45">
        <v>29</v>
      </c>
      <c r="Q96" s="45">
        <f>SUM(Q95)</f>
        <v>288</v>
      </c>
      <c r="R96" s="45">
        <f>SUM(R95)</f>
        <v>2</v>
      </c>
      <c r="S96" s="45">
        <f>SUM(S95)</f>
        <v>293</v>
      </c>
      <c r="T96" s="45">
        <f t="shared" si="35"/>
        <v>4</v>
      </c>
      <c r="U96" s="45">
        <f t="shared" si="36"/>
        <v>71</v>
      </c>
      <c r="V96" s="57">
        <f t="shared" si="37"/>
        <v>3.2555555555555555</v>
      </c>
      <c r="W96" s="57">
        <f t="shared" si="38"/>
        <v>81.388888888888886</v>
      </c>
      <c r="X96" s="57">
        <f t="shared" si="39"/>
        <v>4.126760563380282</v>
      </c>
      <c r="Y96" s="57">
        <f t="shared" si="40"/>
        <v>0.94366197183098588</v>
      </c>
      <c r="Z96" s="57">
        <f t="shared" si="41"/>
        <v>17.75</v>
      </c>
    </row>
    <row r="97" spans="1:26" ht="15.75" x14ac:dyDescent="0.25">
      <c r="A97" s="108">
        <v>2</v>
      </c>
      <c r="B97" s="118"/>
      <c r="C97" s="41" t="s">
        <v>45</v>
      </c>
      <c r="D97" s="41" t="s">
        <v>36</v>
      </c>
      <c r="E97" s="41">
        <f>+JAN!E97+FEB!E97+MAR!E97</f>
        <v>90</v>
      </c>
      <c r="F97" s="41">
        <f>MAR!F97</f>
        <v>8</v>
      </c>
      <c r="G97" s="41">
        <f>'[1]TT Per Ruang'!G39</f>
        <v>4</v>
      </c>
      <c r="H97" s="41">
        <f>+JAN!H97+FEB!H97+MAR!H97</f>
        <v>146</v>
      </c>
      <c r="I97" s="41">
        <f>+JAN!I97+FEB!I97+MAR!I97</f>
        <v>39</v>
      </c>
      <c r="J97" s="42">
        <v>60</v>
      </c>
      <c r="K97" s="41">
        <f>+JAN!K97+FEB!K97+MAR!K97</f>
        <v>20</v>
      </c>
      <c r="L97" s="41">
        <f>+JAN!L97+FEB!L97+MAR!L97</f>
        <v>145</v>
      </c>
      <c r="M97" s="42">
        <v>2</v>
      </c>
      <c r="N97" s="41">
        <f>+JAN!N97+FEB!N97+MAR!N97</f>
        <v>3</v>
      </c>
      <c r="O97" s="41">
        <f>+JAN!O97+FEB!O97+MAR!O97</f>
        <v>8</v>
      </c>
      <c r="P97" s="42">
        <v>56</v>
      </c>
      <c r="Q97" s="41">
        <f>+JAN!Q97+FEB!Q97+MAR!Q97</f>
        <v>479</v>
      </c>
      <c r="R97" s="41">
        <f>+JAN!R97+FEB!R97+MAR!R97</f>
        <v>3</v>
      </c>
      <c r="S97" s="41">
        <f>+JAN!S97+FEB!S97+MAR!S97</f>
        <v>420</v>
      </c>
      <c r="T97" s="42">
        <f t="shared" si="35"/>
        <v>4</v>
      </c>
      <c r="U97" s="42">
        <f t="shared" si="36"/>
        <v>147</v>
      </c>
      <c r="V97" s="43">
        <f t="shared" si="37"/>
        <v>4.666666666666667</v>
      </c>
      <c r="W97" s="43">
        <f t="shared" si="38"/>
        <v>58.333333333333336</v>
      </c>
      <c r="X97" s="43">
        <f t="shared" si="39"/>
        <v>2.8571428571428572</v>
      </c>
      <c r="Y97" s="44">
        <f t="shared" si="40"/>
        <v>2.0408163265306123</v>
      </c>
      <c r="Z97" s="43">
        <f t="shared" si="41"/>
        <v>18.375</v>
      </c>
    </row>
    <row r="98" spans="1:26" ht="15.75" x14ac:dyDescent="0.25">
      <c r="A98" s="109"/>
      <c r="B98" s="118"/>
      <c r="C98" s="45" t="s">
        <v>45</v>
      </c>
      <c r="D98" s="45" t="s">
        <v>36</v>
      </c>
      <c r="E98" s="41">
        <f>+JAN!E98+FEB!E98+MAR!E98</f>
        <v>90</v>
      </c>
      <c r="F98" s="45">
        <f>SUM(F97)</f>
        <v>8</v>
      </c>
      <c r="G98" s="45">
        <f>SUM(G97)</f>
        <v>4</v>
      </c>
      <c r="H98" s="45">
        <f>SUM(H97)</f>
        <v>146</v>
      </c>
      <c r="I98" s="45">
        <f>SUM(I97)</f>
        <v>39</v>
      </c>
      <c r="J98" s="45">
        <v>60</v>
      </c>
      <c r="K98" s="45">
        <f>SUM(K97)</f>
        <v>20</v>
      </c>
      <c r="L98" s="45">
        <f>SUM(L97)</f>
        <v>145</v>
      </c>
      <c r="M98" s="45">
        <v>2</v>
      </c>
      <c r="N98" s="45">
        <f>SUM(N97)</f>
        <v>3</v>
      </c>
      <c r="O98" s="45">
        <f>SUM(O97)</f>
        <v>8</v>
      </c>
      <c r="P98" s="45">
        <v>56</v>
      </c>
      <c r="Q98" s="45">
        <f>SUM(Q97)</f>
        <v>479</v>
      </c>
      <c r="R98" s="45">
        <f>SUM(R97)</f>
        <v>3</v>
      </c>
      <c r="S98" s="45">
        <f>SUM(S97)</f>
        <v>420</v>
      </c>
      <c r="T98" s="45">
        <f t="shared" si="35"/>
        <v>4</v>
      </c>
      <c r="U98" s="45">
        <f t="shared" si="36"/>
        <v>147</v>
      </c>
      <c r="V98" s="57">
        <f t="shared" si="37"/>
        <v>4.666666666666667</v>
      </c>
      <c r="W98" s="57">
        <f t="shared" si="38"/>
        <v>58.333333333333336</v>
      </c>
      <c r="X98" s="57">
        <f t="shared" si="39"/>
        <v>2.8571428571428572</v>
      </c>
      <c r="Y98" s="57">
        <f t="shared" si="40"/>
        <v>2.0408163265306123</v>
      </c>
      <c r="Z98" s="57">
        <f t="shared" si="41"/>
        <v>18.375</v>
      </c>
    </row>
    <row r="99" spans="1:26" ht="15.75" x14ac:dyDescent="0.25">
      <c r="A99" s="108">
        <v>3</v>
      </c>
      <c r="B99" s="118"/>
      <c r="C99" s="41" t="s">
        <v>56</v>
      </c>
      <c r="D99" s="41" t="s">
        <v>36</v>
      </c>
      <c r="E99" s="41">
        <f>+JAN!E99+FEB!E99+MAR!E99</f>
        <v>90</v>
      </c>
      <c r="F99" s="41">
        <f>MAR!F99</f>
        <v>8</v>
      </c>
      <c r="G99" s="41">
        <f>'[1]TT Per Ruang'!G59</f>
        <v>7</v>
      </c>
      <c r="H99" s="41">
        <f>+JAN!H99+FEB!H99+MAR!H99</f>
        <v>118</v>
      </c>
      <c r="I99" s="41">
        <f>+JAN!I99+FEB!I99+MAR!I99</f>
        <v>351</v>
      </c>
      <c r="J99" s="42">
        <v>160</v>
      </c>
      <c r="K99" s="41">
        <f>+JAN!K99+FEB!K99+MAR!K99</f>
        <v>395</v>
      </c>
      <c r="L99" s="41">
        <f>+JAN!L99+FEB!L99+MAR!L99</f>
        <v>69</v>
      </c>
      <c r="M99" s="42">
        <v>1</v>
      </c>
      <c r="N99" s="41">
        <f>+JAN!N99+FEB!N99+MAR!N99</f>
        <v>1</v>
      </c>
      <c r="O99" s="41">
        <f>+JAN!O99+FEB!O99+MAR!O99</f>
        <v>2</v>
      </c>
      <c r="P99" s="42">
        <v>158</v>
      </c>
      <c r="Q99" s="41">
        <f>+JAN!Q99+FEB!Q99+MAR!Q99</f>
        <v>181</v>
      </c>
      <c r="R99" s="41">
        <f>+JAN!R99+FEB!R99+MAR!R99</f>
        <v>3</v>
      </c>
      <c r="S99" s="41">
        <f>+JAN!S99+FEB!S99+MAR!S99</f>
        <v>499</v>
      </c>
      <c r="T99" s="42">
        <f t="shared" si="35"/>
        <v>2</v>
      </c>
      <c r="U99" s="42">
        <f t="shared" si="36"/>
        <v>70</v>
      </c>
      <c r="V99" s="43">
        <f t="shared" si="37"/>
        <v>5.5444444444444443</v>
      </c>
      <c r="W99" s="43">
        <f t="shared" si="38"/>
        <v>69.305555555555557</v>
      </c>
      <c r="X99" s="43">
        <f t="shared" si="39"/>
        <v>7.128571428571429</v>
      </c>
      <c r="Y99" s="44">
        <f t="shared" si="40"/>
        <v>3.157142857142857</v>
      </c>
      <c r="Z99" s="43">
        <f t="shared" si="41"/>
        <v>8.75</v>
      </c>
    </row>
    <row r="100" spans="1:26" ht="15.75" x14ac:dyDescent="0.25">
      <c r="A100" s="120"/>
      <c r="B100" s="118"/>
      <c r="C100" s="41" t="s">
        <v>60</v>
      </c>
      <c r="D100" s="41" t="s">
        <v>36</v>
      </c>
      <c r="E100" s="41">
        <f>+JAN!E100+FEB!E100+MAR!E100</f>
        <v>90</v>
      </c>
      <c r="F100" s="41">
        <f>MAR!F100</f>
        <v>0</v>
      </c>
      <c r="G100" s="41">
        <f>'[1]TT Per Ruang'!G87</f>
        <v>2</v>
      </c>
      <c r="H100" s="41">
        <f>+JAN!H100+FEB!H100+MAR!H100</f>
        <v>1</v>
      </c>
      <c r="I100" s="41">
        <f>+JAN!I100+FEB!I100+MAR!I100</f>
        <v>115</v>
      </c>
      <c r="J100" s="42">
        <v>61</v>
      </c>
      <c r="K100" s="41">
        <f>+JAN!K100+FEB!K100+MAR!K100</f>
        <v>108</v>
      </c>
      <c r="L100" s="41">
        <f>+JAN!L100+FEB!L100+MAR!L100</f>
        <v>10</v>
      </c>
      <c r="M100" s="42">
        <v>0</v>
      </c>
      <c r="N100" s="41">
        <f>+JAN!N100+FEB!N100+MAR!N100</f>
        <v>0</v>
      </c>
      <c r="O100" s="41">
        <f>+JAN!O100+FEB!O100+MAR!O100</f>
        <v>0</v>
      </c>
      <c r="P100" s="42">
        <v>61</v>
      </c>
      <c r="Q100" s="41">
        <f>+JAN!Q100+FEB!Q100+MAR!Q100</f>
        <v>16</v>
      </c>
      <c r="R100" s="41">
        <f>+JAN!R100+FEB!R100+MAR!R100</f>
        <v>0</v>
      </c>
      <c r="S100" s="41">
        <f>+JAN!S100+FEB!S100+MAR!S100</f>
        <v>118</v>
      </c>
      <c r="T100" s="42">
        <f t="shared" si="35"/>
        <v>0</v>
      </c>
      <c r="U100" s="42">
        <f t="shared" si="36"/>
        <v>10</v>
      </c>
      <c r="V100" s="43">
        <f t="shared" si="37"/>
        <v>1.3111111111111111</v>
      </c>
      <c r="W100" s="43" t="e">
        <f t="shared" si="38"/>
        <v>#DIV/0!</v>
      </c>
      <c r="X100" s="43">
        <f t="shared" si="39"/>
        <v>11.8</v>
      </c>
      <c r="Y100" s="44">
        <f t="shared" si="40"/>
        <v>-11.8</v>
      </c>
      <c r="Z100" s="43" t="e">
        <f t="shared" si="41"/>
        <v>#DIV/0!</v>
      </c>
    </row>
    <row r="101" spans="1:26" ht="15.75" x14ac:dyDescent="0.25">
      <c r="A101" s="109"/>
      <c r="B101" s="118"/>
      <c r="C101" s="45" t="s">
        <v>77</v>
      </c>
      <c r="D101" s="45" t="s">
        <v>36</v>
      </c>
      <c r="E101" s="41">
        <f>+JAN!E101+FEB!E101+MAR!E101</f>
        <v>90</v>
      </c>
      <c r="F101" s="45">
        <f>SUM(F99:F100)</f>
        <v>8</v>
      </c>
      <c r="G101" s="45">
        <f>SUM(G99:G100)</f>
        <v>9</v>
      </c>
      <c r="H101" s="45">
        <f>SUM(H99:H100)</f>
        <v>119</v>
      </c>
      <c r="I101" s="45">
        <f>SUM(I99:I100)</f>
        <v>466</v>
      </c>
      <c r="J101" s="45">
        <v>221</v>
      </c>
      <c r="K101" s="45">
        <f>SUM(K99:K100)</f>
        <v>503</v>
      </c>
      <c r="L101" s="45">
        <f>SUM(L99:L100)</f>
        <v>79</v>
      </c>
      <c r="M101" s="45">
        <v>1</v>
      </c>
      <c r="N101" s="45">
        <f>SUM(N99:N100)</f>
        <v>1</v>
      </c>
      <c r="O101" s="45">
        <f>SUM(O99:O100)</f>
        <v>2</v>
      </c>
      <c r="P101" s="45">
        <v>219</v>
      </c>
      <c r="Q101" s="45">
        <f>SUM(Q99:Q100)</f>
        <v>197</v>
      </c>
      <c r="R101" s="45">
        <f>SUM(R99:R100)</f>
        <v>3</v>
      </c>
      <c r="S101" s="45">
        <f>SUM(S99:S100)</f>
        <v>617</v>
      </c>
      <c r="T101" s="45">
        <f t="shared" si="35"/>
        <v>2</v>
      </c>
      <c r="U101" s="45">
        <f t="shared" si="36"/>
        <v>80</v>
      </c>
      <c r="V101" s="57">
        <f t="shared" si="37"/>
        <v>6.8555555555555552</v>
      </c>
      <c r="W101" s="57">
        <f t="shared" si="38"/>
        <v>85.694444444444443</v>
      </c>
      <c r="X101" s="57">
        <f t="shared" si="39"/>
        <v>7.7125000000000004</v>
      </c>
      <c r="Y101" s="57">
        <f t="shared" si="40"/>
        <v>1.2875000000000003</v>
      </c>
      <c r="Z101" s="57">
        <f t="shared" si="41"/>
        <v>10</v>
      </c>
    </row>
    <row r="102" spans="1:26" ht="15.75" x14ac:dyDescent="0.25">
      <c r="A102" s="108">
        <v>4</v>
      </c>
      <c r="B102" s="118"/>
      <c r="C102" s="42" t="s">
        <v>37</v>
      </c>
      <c r="D102" s="42" t="s">
        <v>36</v>
      </c>
      <c r="E102" s="41">
        <f>+JAN!E102+FEB!E102+MAR!E102</f>
        <v>90</v>
      </c>
      <c r="F102" s="41">
        <f>MAR!F102</f>
        <v>2</v>
      </c>
      <c r="G102" s="42">
        <f>'[1]TT Per Ruang'!G14</f>
        <v>2</v>
      </c>
      <c r="H102" s="41">
        <f>+JAN!H102+FEB!H102+MAR!H102</f>
        <v>43</v>
      </c>
      <c r="I102" s="41">
        <f>+JAN!I102+FEB!I102+MAR!I102</f>
        <v>17</v>
      </c>
      <c r="J102" s="42">
        <v>22</v>
      </c>
      <c r="K102" s="41">
        <f>+JAN!K102+FEB!K102+MAR!K102</f>
        <v>29</v>
      </c>
      <c r="L102" s="41">
        <f>+JAN!L102+FEB!L102+MAR!L102</f>
        <v>32</v>
      </c>
      <c r="M102" s="42">
        <v>0</v>
      </c>
      <c r="N102" s="41">
        <f>+JAN!N102+FEB!N102+MAR!N102</f>
        <v>0</v>
      </c>
      <c r="O102" s="41">
        <f>+JAN!O102+FEB!O102+MAR!O102</f>
        <v>0</v>
      </c>
      <c r="P102" s="42">
        <v>21</v>
      </c>
      <c r="Q102" s="41">
        <f>+JAN!Q102+FEB!Q102+MAR!Q102</f>
        <v>106</v>
      </c>
      <c r="R102" s="41">
        <f>+JAN!R102+FEB!R102+MAR!R102</f>
        <v>0</v>
      </c>
      <c r="S102" s="41">
        <f>+JAN!S102+FEB!S102+MAR!S102</f>
        <v>111</v>
      </c>
      <c r="T102" s="42">
        <f t="shared" si="35"/>
        <v>1</v>
      </c>
      <c r="U102" s="42">
        <f t="shared" si="36"/>
        <v>32</v>
      </c>
      <c r="V102" s="43">
        <f t="shared" si="37"/>
        <v>1.2333333333333334</v>
      </c>
      <c r="W102" s="43">
        <f t="shared" si="38"/>
        <v>61.666666666666671</v>
      </c>
      <c r="X102" s="43">
        <f t="shared" si="39"/>
        <v>3.46875</v>
      </c>
      <c r="Y102" s="44">
        <f t="shared" si="40"/>
        <v>2.15625</v>
      </c>
      <c r="Z102" s="43">
        <f t="shared" si="41"/>
        <v>16</v>
      </c>
    </row>
    <row r="103" spans="1:26" ht="15.75" x14ac:dyDescent="0.25">
      <c r="A103" s="109"/>
      <c r="B103" s="118"/>
      <c r="C103" s="45" t="s">
        <v>37</v>
      </c>
      <c r="D103" s="45" t="s">
        <v>36</v>
      </c>
      <c r="E103" s="41">
        <f>+JAN!E103+FEB!E103+MAR!E103</f>
        <v>90</v>
      </c>
      <c r="F103" s="45">
        <f>SUM(F102)</f>
        <v>2</v>
      </c>
      <c r="G103" s="45">
        <f>SUM(G102)</f>
        <v>2</v>
      </c>
      <c r="H103" s="45">
        <f>SUM(H102)</f>
        <v>43</v>
      </c>
      <c r="I103" s="45">
        <f>SUM(I102)</f>
        <v>17</v>
      </c>
      <c r="J103" s="45">
        <v>22</v>
      </c>
      <c r="K103" s="45">
        <f>SUM(K102)</f>
        <v>29</v>
      </c>
      <c r="L103" s="45">
        <f>SUM(L102)</f>
        <v>32</v>
      </c>
      <c r="M103" s="45">
        <v>0</v>
      </c>
      <c r="N103" s="45">
        <f>SUM(N102)</f>
        <v>0</v>
      </c>
      <c r="O103" s="45">
        <f>SUM(O102)</f>
        <v>0</v>
      </c>
      <c r="P103" s="45">
        <v>21</v>
      </c>
      <c r="Q103" s="45">
        <f>SUM(Q102)</f>
        <v>106</v>
      </c>
      <c r="R103" s="45">
        <f>SUM(R102)</f>
        <v>0</v>
      </c>
      <c r="S103" s="45">
        <f>SUM(S102)</f>
        <v>111</v>
      </c>
      <c r="T103" s="45">
        <f t="shared" si="35"/>
        <v>1</v>
      </c>
      <c r="U103" s="45">
        <f t="shared" si="36"/>
        <v>32</v>
      </c>
      <c r="V103" s="57">
        <f t="shared" si="37"/>
        <v>1.2333333333333334</v>
      </c>
      <c r="W103" s="57">
        <f t="shared" si="38"/>
        <v>61.666666666666671</v>
      </c>
      <c r="X103" s="57">
        <f t="shared" si="39"/>
        <v>3.46875</v>
      </c>
      <c r="Y103" s="57">
        <f t="shared" si="40"/>
        <v>2.15625</v>
      </c>
      <c r="Z103" s="57">
        <f t="shared" si="41"/>
        <v>16</v>
      </c>
    </row>
    <row r="104" spans="1:26" ht="15.75" x14ac:dyDescent="0.25">
      <c r="A104" s="114" t="s">
        <v>83</v>
      </c>
      <c r="B104" s="115"/>
      <c r="C104" s="115"/>
      <c r="D104" s="116"/>
      <c r="E104" s="41">
        <f>+JAN!E104+FEB!E104+MAR!E104</f>
        <v>90</v>
      </c>
      <c r="F104" s="48">
        <f>+F96+F98+F101+F103</f>
        <v>22</v>
      </c>
      <c r="G104" s="48">
        <f>+G96+G98+G101+G103</f>
        <v>19</v>
      </c>
      <c r="H104" s="48">
        <f>+H96+H98+H101+H103</f>
        <v>373</v>
      </c>
      <c r="I104" s="48">
        <f>+I96+I98+I101+I103</f>
        <v>533</v>
      </c>
      <c r="J104" s="49">
        <v>336</v>
      </c>
      <c r="K104" s="48">
        <f>+K96+K98+K101+K103</f>
        <v>555</v>
      </c>
      <c r="L104" s="48">
        <f>+L96+L98+L101+L103</f>
        <v>325</v>
      </c>
      <c r="M104" s="49">
        <f>+N104+O104</f>
        <v>18</v>
      </c>
      <c r="N104" s="48">
        <f>+N96+N98+N101+N103</f>
        <v>7</v>
      </c>
      <c r="O104" s="48">
        <f>+O96+O98+O101+O103</f>
        <v>11</v>
      </c>
      <c r="P104" s="49">
        <v>325</v>
      </c>
      <c r="Q104" s="48">
        <f>+Q96+Q98+Q101+Q103</f>
        <v>1070</v>
      </c>
      <c r="R104" s="48">
        <f>+R96+R98+R101+R103</f>
        <v>8</v>
      </c>
      <c r="S104" s="48">
        <f>+S96+S98+S101+S103</f>
        <v>1441</v>
      </c>
      <c r="T104" s="49">
        <f t="shared" si="35"/>
        <v>11</v>
      </c>
      <c r="U104" s="49">
        <f t="shared" si="36"/>
        <v>343</v>
      </c>
      <c r="V104" s="50">
        <f t="shared" si="37"/>
        <v>16.011111111111113</v>
      </c>
      <c r="W104" s="50">
        <f t="shared" si="38"/>
        <v>72.777777777777786</v>
      </c>
      <c r="X104" s="50">
        <f t="shared" si="39"/>
        <v>4.2011661807580172</v>
      </c>
      <c r="Y104" s="50">
        <f t="shared" si="40"/>
        <v>1.5714285714285712</v>
      </c>
      <c r="Z104" s="50">
        <f t="shared" si="41"/>
        <v>15.590909090909092</v>
      </c>
    </row>
    <row r="105" spans="1:26" x14ac:dyDescent="0.25">
      <c r="E105" s="17"/>
      <c r="F105" s="17"/>
      <c r="G105" s="17"/>
      <c r="H105" s="17">
        <f>+JAN!H104+FEB!H104</f>
        <v>218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x14ac:dyDescent="0.25"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x14ac:dyDescent="0.25">
      <c r="A107" s="113" t="s">
        <v>1</v>
      </c>
      <c r="B107" s="113" t="s">
        <v>2</v>
      </c>
      <c r="C107" s="106" t="s">
        <v>3</v>
      </c>
      <c r="D107" s="106" t="s">
        <v>4</v>
      </c>
      <c r="E107" s="112" t="s">
        <v>5</v>
      </c>
      <c r="F107" s="106" t="s">
        <v>6</v>
      </c>
      <c r="G107" s="106" t="s">
        <v>7</v>
      </c>
      <c r="H107" s="106" t="s">
        <v>8</v>
      </c>
      <c r="I107" s="112" t="s">
        <v>9</v>
      </c>
      <c r="J107" s="106" t="s">
        <v>10</v>
      </c>
      <c r="K107" s="106" t="s">
        <v>11</v>
      </c>
      <c r="L107" s="106" t="s">
        <v>12</v>
      </c>
      <c r="M107" s="106" t="s">
        <v>13</v>
      </c>
      <c r="N107" s="106" t="s">
        <v>14</v>
      </c>
      <c r="O107" s="106" t="s">
        <v>15</v>
      </c>
      <c r="P107" s="106" t="s">
        <v>16</v>
      </c>
      <c r="Q107" s="106" t="s">
        <v>17</v>
      </c>
      <c r="R107" s="106" t="s">
        <v>18</v>
      </c>
      <c r="S107" s="106" t="s">
        <v>19</v>
      </c>
      <c r="T107" s="106" t="s">
        <v>20</v>
      </c>
      <c r="U107" s="110" t="s">
        <v>21</v>
      </c>
      <c r="V107" s="37" t="s">
        <v>22</v>
      </c>
      <c r="W107" s="37" t="s">
        <v>23</v>
      </c>
      <c r="X107" s="37" t="s">
        <v>24</v>
      </c>
      <c r="Y107" s="37" t="s">
        <v>25</v>
      </c>
      <c r="Z107" s="37" t="s">
        <v>26</v>
      </c>
    </row>
    <row r="108" spans="1:26" x14ac:dyDescent="0.25">
      <c r="A108" s="113"/>
      <c r="B108" s="113"/>
      <c r="C108" s="106"/>
      <c r="D108" s="106"/>
      <c r="E108" s="112"/>
      <c r="F108" s="106"/>
      <c r="G108" s="106"/>
      <c r="H108" s="106"/>
      <c r="I108" s="112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10"/>
      <c r="V108" s="107" t="s">
        <v>27</v>
      </c>
      <c r="W108" s="107" t="s">
        <v>28</v>
      </c>
      <c r="X108" s="107" t="s">
        <v>29</v>
      </c>
      <c r="Y108" s="107" t="s">
        <v>30</v>
      </c>
      <c r="Z108" s="107" t="s">
        <v>31</v>
      </c>
    </row>
    <row r="109" spans="1:26" x14ac:dyDescent="0.25">
      <c r="A109" s="113"/>
      <c r="B109" s="113"/>
      <c r="C109" s="106"/>
      <c r="D109" s="106"/>
      <c r="E109" s="112"/>
      <c r="F109" s="106"/>
      <c r="G109" s="106"/>
      <c r="H109" s="106"/>
      <c r="I109" s="112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10"/>
      <c r="V109" s="111"/>
      <c r="W109" s="107"/>
      <c r="X109" s="107"/>
      <c r="Y109" s="107"/>
      <c r="Z109" s="107"/>
    </row>
    <row r="110" spans="1:26" x14ac:dyDescent="0.25">
      <c r="A110" s="113"/>
      <c r="B110" s="113"/>
      <c r="C110" s="106"/>
      <c r="D110" s="106"/>
      <c r="E110" s="112"/>
      <c r="F110" s="106"/>
      <c r="G110" s="39">
        <v>1</v>
      </c>
      <c r="H110" s="39">
        <v>2</v>
      </c>
      <c r="I110" s="39">
        <v>3</v>
      </c>
      <c r="J110" s="39">
        <v>4</v>
      </c>
      <c r="K110" s="39">
        <v>5</v>
      </c>
      <c r="L110" s="39">
        <v>6</v>
      </c>
      <c r="M110" s="39">
        <v>7</v>
      </c>
      <c r="N110" s="39">
        <v>8</v>
      </c>
      <c r="O110" s="39">
        <v>9</v>
      </c>
      <c r="P110" s="39">
        <v>10</v>
      </c>
      <c r="Q110" s="39">
        <v>11</v>
      </c>
      <c r="R110" s="39">
        <v>12</v>
      </c>
      <c r="S110" s="39">
        <v>13</v>
      </c>
      <c r="T110" s="39">
        <v>14</v>
      </c>
      <c r="U110" s="110"/>
      <c r="V110" s="38">
        <v>15</v>
      </c>
      <c r="W110" s="38">
        <v>16</v>
      </c>
      <c r="X110" s="38">
        <v>17</v>
      </c>
      <c r="Y110" s="38">
        <v>18</v>
      </c>
      <c r="Z110" s="38">
        <v>19</v>
      </c>
    </row>
    <row r="111" spans="1:26" ht="15.75" x14ac:dyDescent="0.25">
      <c r="A111" s="108">
        <v>1</v>
      </c>
      <c r="B111" s="121" t="s">
        <v>79</v>
      </c>
      <c r="C111" s="41" t="s">
        <v>44</v>
      </c>
      <c r="D111" s="41" t="s">
        <v>32</v>
      </c>
      <c r="E111" s="41">
        <f>+JAN!E111+FEB!E111+MAR!E111</f>
        <v>90</v>
      </c>
      <c r="F111" s="41">
        <f>MAR!F111</f>
        <v>12</v>
      </c>
      <c r="G111" s="41">
        <f>'[1]TT Per Ruang'!G36</f>
        <v>7</v>
      </c>
      <c r="H111" s="41">
        <f>+JAN!H111+FEB!H111+MAR!H111</f>
        <v>217</v>
      </c>
      <c r="I111" s="41">
        <f>+JAN!I111+FEB!I111+MAR!I111</f>
        <v>25</v>
      </c>
      <c r="J111" s="42">
        <v>91</v>
      </c>
      <c r="K111" s="41">
        <f>+JAN!K111+FEB!K111+MAR!K111</f>
        <v>6</v>
      </c>
      <c r="L111" s="41">
        <f>+JAN!L111+FEB!L111+MAR!L111</f>
        <v>214</v>
      </c>
      <c r="M111" s="42">
        <v>4</v>
      </c>
      <c r="N111" s="41">
        <f>+JAN!N111+FEB!N111+MAR!N111</f>
        <v>6</v>
      </c>
      <c r="O111" s="41">
        <f>+JAN!O111+FEB!O111+MAR!O111</f>
        <v>11</v>
      </c>
      <c r="P111" s="42">
        <v>82</v>
      </c>
      <c r="Q111" s="41">
        <f>+JAN!Q111+FEB!Q111+MAR!Q111</f>
        <v>867</v>
      </c>
      <c r="R111" s="41">
        <f>+JAN!R111+FEB!R111+MAR!R111</f>
        <v>2</v>
      </c>
      <c r="S111" s="41">
        <f>+JAN!S111+FEB!S111+MAR!S111</f>
        <v>855</v>
      </c>
      <c r="T111" s="42">
        <f t="shared" ref="T111:T135" si="42">J111-P111</f>
        <v>9</v>
      </c>
      <c r="U111" s="42">
        <f t="shared" ref="U111:U134" si="43">+L111+M111</f>
        <v>218</v>
      </c>
      <c r="V111" s="43">
        <f t="shared" ref="V111:V135" si="44">$S111/$E111</f>
        <v>9.5</v>
      </c>
      <c r="W111" s="43">
        <f t="shared" ref="W111:W135" si="45">$V111/$F111*100</f>
        <v>79.166666666666657</v>
      </c>
      <c r="X111" s="43">
        <f t="shared" ref="X111:X135" si="46">$S111/($L111+$M111)</f>
        <v>3.9220183486238533</v>
      </c>
      <c r="Y111" s="44">
        <f t="shared" ref="Y111:Y135" si="47">(($F111-$V111)*$E111)/($L111+$M111)</f>
        <v>1.0321100917431192</v>
      </c>
      <c r="Z111" s="43">
        <f t="shared" ref="Z111:Z135" si="48">($L111+$M111)/$F111</f>
        <v>18.166666666666668</v>
      </c>
    </row>
    <row r="112" spans="1:26" ht="15.75" x14ac:dyDescent="0.25">
      <c r="A112" s="109"/>
      <c r="B112" s="122"/>
      <c r="C112" s="45" t="s">
        <v>44</v>
      </c>
      <c r="D112" s="41" t="s">
        <v>32</v>
      </c>
      <c r="E112" s="41">
        <f>+JAN!E112+FEB!E112+MAR!E112</f>
        <v>90</v>
      </c>
      <c r="F112" s="45">
        <f>SUM(F111)</f>
        <v>12</v>
      </c>
      <c r="G112" s="45">
        <f>SUM(G111)</f>
        <v>7</v>
      </c>
      <c r="H112" s="45">
        <f>SUM(H111)</f>
        <v>217</v>
      </c>
      <c r="I112" s="45">
        <f>SUM(I111)</f>
        <v>25</v>
      </c>
      <c r="J112" s="45">
        <v>91</v>
      </c>
      <c r="K112" s="45">
        <f>SUM(K111)</f>
        <v>6</v>
      </c>
      <c r="L112" s="45">
        <f>SUM(L111)</f>
        <v>214</v>
      </c>
      <c r="M112" s="45">
        <v>4</v>
      </c>
      <c r="N112" s="45">
        <f>SUM(N111)</f>
        <v>6</v>
      </c>
      <c r="O112" s="45">
        <f>SUM(O111)</f>
        <v>11</v>
      </c>
      <c r="P112" s="45">
        <v>82</v>
      </c>
      <c r="Q112" s="45">
        <f>SUM(Q111)</f>
        <v>867</v>
      </c>
      <c r="R112" s="45">
        <f>SUM(R111)</f>
        <v>2</v>
      </c>
      <c r="S112" s="45">
        <f>SUM(S111)</f>
        <v>855</v>
      </c>
      <c r="T112" s="45">
        <f t="shared" si="42"/>
        <v>9</v>
      </c>
      <c r="U112" s="45">
        <f t="shared" si="43"/>
        <v>218</v>
      </c>
      <c r="V112" s="57">
        <f t="shared" si="44"/>
        <v>9.5</v>
      </c>
      <c r="W112" s="57">
        <f t="shared" si="45"/>
        <v>79.166666666666657</v>
      </c>
      <c r="X112" s="57">
        <f t="shared" si="46"/>
        <v>3.9220183486238533</v>
      </c>
      <c r="Y112" s="57">
        <f t="shared" si="47"/>
        <v>1.0321100917431192</v>
      </c>
      <c r="Z112" s="57">
        <f t="shared" si="48"/>
        <v>18.166666666666668</v>
      </c>
    </row>
    <row r="113" spans="1:26" ht="15.75" x14ac:dyDescent="0.25">
      <c r="A113" s="108">
        <v>2</v>
      </c>
      <c r="B113" s="122"/>
      <c r="C113" s="41" t="s">
        <v>55</v>
      </c>
      <c r="D113" s="41" t="s">
        <v>32</v>
      </c>
      <c r="E113" s="41">
        <f>+JAN!E113+FEB!E113+MAR!E113</f>
        <v>90</v>
      </c>
      <c r="F113" s="41">
        <f>MAR!F113</f>
        <v>14</v>
      </c>
      <c r="G113" s="41">
        <f>'[1]TT Per Ruang'!G55</f>
        <v>17</v>
      </c>
      <c r="H113" s="41">
        <f>+JAN!H113+FEB!H113+MAR!H113</f>
        <v>370</v>
      </c>
      <c r="I113" s="41">
        <f>+JAN!I113+FEB!I113+MAR!I113</f>
        <v>39</v>
      </c>
      <c r="J113" s="42">
        <v>163</v>
      </c>
      <c r="K113" s="41">
        <f>+JAN!K113+FEB!K113+MAR!K113</f>
        <v>37</v>
      </c>
      <c r="L113" s="41">
        <f>+JAN!L113+FEB!L113+MAR!L113</f>
        <v>335</v>
      </c>
      <c r="M113" s="42">
        <v>9</v>
      </c>
      <c r="N113" s="41">
        <f>+JAN!N113+FEB!N113+MAR!N113</f>
        <v>19</v>
      </c>
      <c r="O113" s="41">
        <f>+JAN!O113+FEB!O113+MAR!O113</f>
        <v>19</v>
      </c>
      <c r="P113" s="42">
        <v>148</v>
      </c>
      <c r="Q113" s="41">
        <f>+JAN!Q113+FEB!Q113+MAR!Q113</f>
        <v>1336</v>
      </c>
      <c r="R113" s="41">
        <f>+JAN!R113+FEB!R113+MAR!R113</f>
        <v>3</v>
      </c>
      <c r="S113" s="41">
        <f>+JAN!S113+FEB!S113+MAR!S113</f>
        <v>1336</v>
      </c>
      <c r="T113" s="42">
        <f t="shared" si="42"/>
        <v>15</v>
      </c>
      <c r="U113" s="42">
        <f t="shared" si="43"/>
        <v>344</v>
      </c>
      <c r="V113" s="43">
        <f t="shared" si="44"/>
        <v>14.844444444444445</v>
      </c>
      <c r="W113" s="43">
        <f t="shared" si="45"/>
        <v>106.03174603174604</v>
      </c>
      <c r="X113" s="43">
        <f t="shared" si="46"/>
        <v>3.8837209302325579</v>
      </c>
      <c r="Y113" s="44">
        <f t="shared" si="47"/>
        <v>-0.22093023255813971</v>
      </c>
      <c r="Z113" s="43">
        <f t="shared" si="48"/>
        <v>24.571428571428573</v>
      </c>
    </row>
    <row r="114" spans="1:26" ht="15.75" x14ac:dyDescent="0.25">
      <c r="A114" s="109"/>
      <c r="B114" s="122"/>
      <c r="C114" s="45" t="s">
        <v>55</v>
      </c>
      <c r="D114" s="41" t="s">
        <v>32</v>
      </c>
      <c r="E114" s="41">
        <f>+JAN!E114+FEB!E114+MAR!E114</f>
        <v>90</v>
      </c>
      <c r="F114" s="45">
        <f>SUM(F113)</f>
        <v>14</v>
      </c>
      <c r="G114" s="45">
        <f>SUM(G113)</f>
        <v>17</v>
      </c>
      <c r="H114" s="45">
        <f>SUM(H113)</f>
        <v>370</v>
      </c>
      <c r="I114" s="45">
        <f>SUM(I113)</f>
        <v>39</v>
      </c>
      <c r="J114" s="45">
        <v>163</v>
      </c>
      <c r="K114" s="45">
        <f>SUM(K113)</f>
        <v>37</v>
      </c>
      <c r="L114" s="45">
        <f>SUM(L113)</f>
        <v>335</v>
      </c>
      <c r="M114" s="45">
        <v>9</v>
      </c>
      <c r="N114" s="45">
        <f>SUM(N113)</f>
        <v>19</v>
      </c>
      <c r="O114" s="45">
        <f>SUM(O113)</f>
        <v>19</v>
      </c>
      <c r="P114" s="45">
        <v>148</v>
      </c>
      <c r="Q114" s="45">
        <f>SUM(Q113)</f>
        <v>1336</v>
      </c>
      <c r="R114" s="45">
        <f>SUM(R113)</f>
        <v>3</v>
      </c>
      <c r="S114" s="45">
        <f>SUM(S113)</f>
        <v>1336</v>
      </c>
      <c r="T114" s="45">
        <f t="shared" si="42"/>
        <v>15</v>
      </c>
      <c r="U114" s="45">
        <f t="shared" si="43"/>
        <v>344</v>
      </c>
      <c r="V114" s="57">
        <f t="shared" si="44"/>
        <v>14.844444444444445</v>
      </c>
      <c r="W114" s="57">
        <f t="shared" si="45"/>
        <v>106.03174603174604</v>
      </c>
      <c r="X114" s="57">
        <f t="shared" si="46"/>
        <v>3.8837209302325579</v>
      </c>
      <c r="Y114" s="57">
        <f t="shared" si="47"/>
        <v>-0.22093023255813971</v>
      </c>
      <c r="Z114" s="57">
        <f t="shared" si="48"/>
        <v>24.571428571428573</v>
      </c>
    </row>
    <row r="115" spans="1:26" ht="15.75" x14ac:dyDescent="0.25">
      <c r="A115" s="108">
        <v>3</v>
      </c>
      <c r="B115" s="122"/>
      <c r="C115" s="41" t="s">
        <v>74</v>
      </c>
      <c r="D115" s="41" t="s">
        <v>32</v>
      </c>
      <c r="E115" s="41">
        <f>+JAN!E115+FEB!E115+MAR!E115</f>
        <v>90</v>
      </c>
      <c r="F115" s="41">
        <f>MAR!F115</f>
        <v>15</v>
      </c>
      <c r="G115" s="41">
        <f>'[1]TT Per Ruang'!G19</f>
        <v>21</v>
      </c>
      <c r="H115" s="41">
        <f>+JAN!H115+FEB!H115+MAR!H115</f>
        <v>387</v>
      </c>
      <c r="I115" s="41">
        <f>+JAN!I115+FEB!I115+MAR!I115</f>
        <v>23</v>
      </c>
      <c r="J115" s="42">
        <v>169</v>
      </c>
      <c r="K115" s="41">
        <f>+JAN!K115+FEB!K115+MAR!K115</f>
        <v>38</v>
      </c>
      <c r="L115" s="41">
        <f>+JAN!L115+FEB!L115+MAR!L115</f>
        <v>299</v>
      </c>
      <c r="M115" s="42">
        <v>21</v>
      </c>
      <c r="N115" s="41">
        <f>+JAN!N115+FEB!N115+MAR!N115</f>
        <v>42</v>
      </c>
      <c r="O115" s="41">
        <f>+JAN!O115+FEB!O115+MAR!O115</f>
        <v>35</v>
      </c>
      <c r="P115" s="42">
        <v>149</v>
      </c>
      <c r="Q115" s="41">
        <f>+JAN!Q115+FEB!Q115+MAR!Q115</f>
        <v>1528</v>
      </c>
      <c r="R115" s="41">
        <f>+JAN!R115+FEB!R115+MAR!R115</f>
        <v>7</v>
      </c>
      <c r="S115" s="41">
        <f>+JAN!S115+FEB!S115+MAR!S115</f>
        <v>1573</v>
      </c>
      <c r="T115" s="42">
        <f t="shared" si="42"/>
        <v>20</v>
      </c>
      <c r="U115" s="42">
        <f t="shared" si="43"/>
        <v>320</v>
      </c>
      <c r="V115" s="43">
        <f t="shared" si="44"/>
        <v>17.477777777777778</v>
      </c>
      <c r="W115" s="43">
        <f t="shared" si="45"/>
        <v>116.5185185185185</v>
      </c>
      <c r="X115" s="43">
        <f t="shared" si="46"/>
        <v>4.9156250000000004</v>
      </c>
      <c r="Y115" s="44">
        <f t="shared" si="47"/>
        <v>-0.69687500000000002</v>
      </c>
      <c r="Z115" s="43">
        <f t="shared" si="48"/>
        <v>21.333333333333332</v>
      </c>
    </row>
    <row r="116" spans="1:26" ht="15.75" x14ac:dyDescent="0.25">
      <c r="A116" s="109"/>
      <c r="B116" s="122"/>
      <c r="C116" s="45" t="s">
        <v>74</v>
      </c>
      <c r="D116" s="41" t="s">
        <v>32</v>
      </c>
      <c r="E116" s="41">
        <f>+JAN!E116+FEB!E116+MAR!E116</f>
        <v>90</v>
      </c>
      <c r="F116" s="45">
        <f>SUM(F115)</f>
        <v>15</v>
      </c>
      <c r="G116" s="45">
        <f>SUM(G115)</f>
        <v>21</v>
      </c>
      <c r="H116" s="45">
        <f>SUM(H115)</f>
        <v>387</v>
      </c>
      <c r="I116" s="45">
        <f>SUM(I115)</f>
        <v>23</v>
      </c>
      <c r="J116" s="45">
        <v>169</v>
      </c>
      <c r="K116" s="45">
        <f>SUM(K115)</f>
        <v>38</v>
      </c>
      <c r="L116" s="45">
        <f>SUM(L115)</f>
        <v>299</v>
      </c>
      <c r="M116" s="45">
        <v>21</v>
      </c>
      <c r="N116" s="45">
        <f>SUM(N115)</f>
        <v>42</v>
      </c>
      <c r="O116" s="45">
        <f>SUM(O115)</f>
        <v>35</v>
      </c>
      <c r="P116" s="45">
        <v>149</v>
      </c>
      <c r="Q116" s="45">
        <f>SUM(Q115)</f>
        <v>1528</v>
      </c>
      <c r="R116" s="45">
        <f>SUM(R115)</f>
        <v>7</v>
      </c>
      <c r="S116" s="45">
        <f>SUM(S115)</f>
        <v>1573</v>
      </c>
      <c r="T116" s="45">
        <f t="shared" si="42"/>
        <v>20</v>
      </c>
      <c r="U116" s="45">
        <f t="shared" si="43"/>
        <v>320</v>
      </c>
      <c r="V116" s="57">
        <f t="shared" si="44"/>
        <v>17.477777777777778</v>
      </c>
      <c r="W116" s="57">
        <f t="shared" si="45"/>
        <v>116.5185185185185</v>
      </c>
      <c r="X116" s="57">
        <f t="shared" si="46"/>
        <v>4.9156250000000004</v>
      </c>
      <c r="Y116" s="57">
        <f t="shared" si="47"/>
        <v>-0.69687500000000002</v>
      </c>
      <c r="Z116" s="57">
        <f t="shared" si="48"/>
        <v>21.333333333333332</v>
      </c>
    </row>
    <row r="117" spans="1:26" ht="15.75" x14ac:dyDescent="0.25">
      <c r="A117" s="108">
        <v>4</v>
      </c>
      <c r="B117" s="122"/>
      <c r="C117" s="42" t="s">
        <v>39</v>
      </c>
      <c r="D117" s="41" t="s">
        <v>32</v>
      </c>
      <c r="E117" s="41">
        <f>+JAN!E117+FEB!E117+MAR!E117</f>
        <v>90</v>
      </c>
      <c r="F117" s="41">
        <f>MAR!F117</f>
        <v>24</v>
      </c>
      <c r="G117" s="42">
        <f>'[1]TT Per Ruang'!G22</f>
        <v>18</v>
      </c>
      <c r="H117" s="41">
        <f>+JAN!H117+FEB!H117+MAR!H117</f>
        <v>456</v>
      </c>
      <c r="I117" s="41">
        <f>+JAN!I117+FEB!I117+MAR!I117</f>
        <v>32</v>
      </c>
      <c r="J117" s="42">
        <v>194</v>
      </c>
      <c r="K117" s="41">
        <f>+JAN!K117+FEB!K117+MAR!K117</f>
        <v>31</v>
      </c>
      <c r="L117" s="41">
        <f>+JAN!L117+FEB!L117+MAR!L117</f>
        <v>436</v>
      </c>
      <c r="M117" s="42">
        <v>1</v>
      </c>
      <c r="N117" s="41">
        <f>+JAN!N117+FEB!N117+MAR!N117</f>
        <v>7</v>
      </c>
      <c r="O117" s="41">
        <f>+JAN!O117+FEB!O117+MAR!O117</f>
        <v>8</v>
      </c>
      <c r="P117" s="42">
        <v>180</v>
      </c>
      <c r="Q117" s="41">
        <f>+JAN!Q117+FEB!Q117+MAR!Q117</f>
        <v>1430</v>
      </c>
      <c r="R117" s="41">
        <f>+JAN!R117+FEB!R117+MAR!R117</f>
        <v>4</v>
      </c>
      <c r="S117" s="41">
        <f>+JAN!S117+FEB!S117+MAR!S117</f>
        <v>1524</v>
      </c>
      <c r="T117" s="42">
        <f t="shared" si="42"/>
        <v>14</v>
      </c>
      <c r="U117" s="42">
        <f t="shared" si="43"/>
        <v>437</v>
      </c>
      <c r="V117" s="43">
        <f t="shared" si="44"/>
        <v>16.933333333333334</v>
      </c>
      <c r="W117" s="43">
        <f t="shared" si="45"/>
        <v>70.555555555555557</v>
      </c>
      <c r="X117" s="43">
        <f t="shared" si="46"/>
        <v>3.4874141876430205</v>
      </c>
      <c r="Y117" s="44">
        <f t="shared" si="47"/>
        <v>1.4553775743707094</v>
      </c>
      <c r="Z117" s="43">
        <f t="shared" si="48"/>
        <v>18.208333333333332</v>
      </c>
    </row>
    <row r="118" spans="1:26" ht="15.75" x14ac:dyDescent="0.25">
      <c r="A118" s="109"/>
      <c r="B118" s="122"/>
      <c r="C118" s="45" t="s">
        <v>39</v>
      </c>
      <c r="D118" s="41" t="s">
        <v>32</v>
      </c>
      <c r="E118" s="41">
        <f>+JAN!E118+FEB!E118+MAR!E118</f>
        <v>90</v>
      </c>
      <c r="F118" s="45">
        <f>SUM(F117)</f>
        <v>24</v>
      </c>
      <c r="G118" s="45">
        <f>SUM(G117)</f>
        <v>18</v>
      </c>
      <c r="H118" s="45">
        <f>SUM(H117)</f>
        <v>456</v>
      </c>
      <c r="I118" s="45">
        <f>SUM(I117)</f>
        <v>32</v>
      </c>
      <c r="J118" s="45">
        <v>194</v>
      </c>
      <c r="K118" s="45">
        <f>SUM(K117)</f>
        <v>31</v>
      </c>
      <c r="L118" s="45">
        <f>SUM(L117)</f>
        <v>436</v>
      </c>
      <c r="M118" s="45">
        <v>1</v>
      </c>
      <c r="N118" s="45">
        <f>SUM(N117)</f>
        <v>7</v>
      </c>
      <c r="O118" s="45">
        <f>SUM(O117)</f>
        <v>8</v>
      </c>
      <c r="P118" s="45">
        <v>180</v>
      </c>
      <c r="Q118" s="45">
        <f>SUM(Q117)</f>
        <v>1430</v>
      </c>
      <c r="R118" s="45">
        <f>SUM(R117)</f>
        <v>4</v>
      </c>
      <c r="S118" s="45">
        <f>SUM(S117)</f>
        <v>1524</v>
      </c>
      <c r="T118" s="45">
        <f t="shared" si="42"/>
        <v>14</v>
      </c>
      <c r="U118" s="45">
        <f t="shared" si="43"/>
        <v>437</v>
      </c>
      <c r="V118" s="57">
        <f t="shared" si="44"/>
        <v>16.933333333333334</v>
      </c>
      <c r="W118" s="57">
        <f t="shared" si="45"/>
        <v>70.555555555555557</v>
      </c>
      <c r="X118" s="57">
        <f t="shared" si="46"/>
        <v>3.4874141876430205</v>
      </c>
      <c r="Y118" s="57">
        <f t="shared" si="47"/>
        <v>1.4553775743707094</v>
      </c>
      <c r="Z118" s="57">
        <f t="shared" si="48"/>
        <v>18.208333333333332</v>
      </c>
    </row>
    <row r="119" spans="1:26" ht="15.75" x14ac:dyDescent="0.25">
      <c r="A119" s="108">
        <v>5</v>
      </c>
      <c r="B119" s="122"/>
      <c r="C119" s="42" t="s">
        <v>41</v>
      </c>
      <c r="D119" s="41" t="s">
        <v>32</v>
      </c>
      <c r="E119" s="41">
        <f>+JAN!E119+FEB!E119+MAR!E119</f>
        <v>90</v>
      </c>
      <c r="F119" s="41">
        <f>MAR!F119</f>
        <v>20</v>
      </c>
      <c r="G119" s="42">
        <f>'[1]TT Per Ruang'!G27</f>
        <v>17</v>
      </c>
      <c r="H119" s="41">
        <f>+JAN!H119+FEB!H119+MAR!H119</f>
        <v>454</v>
      </c>
      <c r="I119" s="41">
        <f>+JAN!I119+FEB!I119+MAR!I119</f>
        <v>18</v>
      </c>
      <c r="J119" s="42">
        <v>178</v>
      </c>
      <c r="K119" s="41">
        <f>+JAN!K119+FEB!K119+MAR!K119</f>
        <v>31</v>
      </c>
      <c r="L119" s="41">
        <f>+JAN!L119+FEB!L119+MAR!L119</f>
        <v>417</v>
      </c>
      <c r="M119" s="42">
        <v>10</v>
      </c>
      <c r="N119" s="41">
        <f>+JAN!N119+FEB!N119+MAR!N119</f>
        <v>15</v>
      </c>
      <c r="O119" s="41">
        <f>+JAN!O119+FEB!O119+MAR!O119</f>
        <v>6</v>
      </c>
      <c r="P119" s="42">
        <v>164</v>
      </c>
      <c r="Q119" s="41">
        <f>+JAN!Q119+FEB!Q119+MAR!Q119</f>
        <v>1390</v>
      </c>
      <c r="R119" s="41">
        <f>+JAN!R119+FEB!R119+MAR!R119</f>
        <v>5</v>
      </c>
      <c r="S119" s="41">
        <f>+JAN!S119+FEB!S119+MAR!S119</f>
        <v>1397</v>
      </c>
      <c r="T119" s="42">
        <f t="shared" si="42"/>
        <v>14</v>
      </c>
      <c r="U119" s="42">
        <f t="shared" si="43"/>
        <v>427</v>
      </c>
      <c r="V119" s="43">
        <f t="shared" si="44"/>
        <v>15.522222222222222</v>
      </c>
      <c r="W119" s="43">
        <f t="shared" si="45"/>
        <v>77.611111111111114</v>
      </c>
      <c r="X119" s="43">
        <f t="shared" si="46"/>
        <v>3.271662763466042</v>
      </c>
      <c r="Y119" s="44">
        <f t="shared" si="47"/>
        <v>0.94379391100702581</v>
      </c>
      <c r="Z119" s="43">
        <f t="shared" si="48"/>
        <v>21.35</v>
      </c>
    </row>
    <row r="120" spans="1:26" ht="15.75" x14ac:dyDescent="0.25">
      <c r="A120" s="109"/>
      <c r="B120" s="122"/>
      <c r="C120" s="45" t="s">
        <v>41</v>
      </c>
      <c r="D120" s="41" t="s">
        <v>32</v>
      </c>
      <c r="E120" s="41">
        <f>+JAN!E120+FEB!E120+MAR!E120</f>
        <v>90</v>
      </c>
      <c r="F120" s="45">
        <f>SUM(F119)</f>
        <v>20</v>
      </c>
      <c r="G120" s="45">
        <f>SUM(G119)</f>
        <v>17</v>
      </c>
      <c r="H120" s="45">
        <f>SUM(H119)</f>
        <v>454</v>
      </c>
      <c r="I120" s="45">
        <f>SUM(I119)</f>
        <v>18</v>
      </c>
      <c r="J120" s="45">
        <v>178</v>
      </c>
      <c r="K120" s="45">
        <f>SUM(K119)</f>
        <v>31</v>
      </c>
      <c r="L120" s="45">
        <f>SUM(L119)</f>
        <v>417</v>
      </c>
      <c r="M120" s="45">
        <v>10</v>
      </c>
      <c r="N120" s="45">
        <f>SUM(N119)</f>
        <v>15</v>
      </c>
      <c r="O120" s="45">
        <f>SUM(O119)</f>
        <v>6</v>
      </c>
      <c r="P120" s="45">
        <v>164</v>
      </c>
      <c r="Q120" s="45">
        <f>SUM(Q119)</f>
        <v>1390</v>
      </c>
      <c r="R120" s="45">
        <f>SUM(R119)</f>
        <v>5</v>
      </c>
      <c r="S120" s="45">
        <f>SUM(S119)</f>
        <v>1397</v>
      </c>
      <c r="T120" s="45">
        <f t="shared" si="42"/>
        <v>14</v>
      </c>
      <c r="U120" s="45">
        <f t="shared" si="43"/>
        <v>427</v>
      </c>
      <c r="V120" s="57">
        <f t="shared" si="44"/>
        <v>15.522222222222222</v>
      </c>
      <c r="W120" s="57">
        <f t="shared" si="45"/>
        <v>77.611111111111114</v>
      </c>
      <c r="X120" s="57">
        <f t="shared" si="46"/>
        <v>3.271662763466042</v>
      </c>
      <c r="Y120" s="57">
        <f t="shared" si="47"/>
        <v>0.94379391100702581</v>
      </c>
      <c r="Z120" s="57">
        <f t="shared" si="48"/>
        <v>21.35</v>
      </c>
    </row>
    <row r="121" spans="1:26" ht="15.75" x14ac:dyDescent="0.25">
      <c r="A121" s="108">
        <v>6</v>
      </c>
      <c r="B121" s="122"/>
      <c r="C121" s="42" t="s">
        <v>35</v>
      </c>
      <c r="D121" s="41" t="s">
        <v>32</v>
      </c>
      <c r="E121" s="41">
        <f>+JAN!E121+FEB!E121+MAR!E121</f>
        <v>90</v>
      </c>
      <c r="F121" s="41">
        <f>MAR!F121</f>
        <v>12</v>
      </c>
      <c r="G121" s="42">
        <f>'[1]TT Per Ruang'!G12</f>
        <v>10</v>
      </c>
      <c r="H121" s="41">
        <f>+JAN!H121+FEB!H121+MAR!H121</f>
        <v>259</v>
      </c>
      <c r="I121" s="41">
        <f>+JAN!I121+FEB!I121+MAR!I121</f>
        <v>12</v>
      </c>
      <c r="J121" s="42">
        <v>104</v>
      </c>
      <c r="K121" s="41">
        <f>+JAN!K121+FEB!K121+MAR!K121</f>
        <v>16</v>
      </c>
      <c r="L121" s="41">
        <f>+JAN!L121+FEB!L121+MAR!L121</f>
        <v>236</v>
      </c>
      <c r="M121" s="42">
        <v>3</v>
      </c>
      <c r="N121" s="41">
        <f>+JAN!N121+FEB!N121+MAR!N121</f>
        <v>8</v>
      </c>
      <c r="O121" s="41">
        <f>+JAN!O121+FEB!O121+MAR!O121</f>
        <v>9</v>
      </c>
      <c r="P121" s="42">
        <v>96</v>
      </c>
      <c r="Q121" s="41">
        <f>+JAN!Q121+FEB!Q121+MAR!Q121</f>
        <v>847</v>
      </c>
      <c r="R121" s="41">
        <f>+JAN!R121+FEB!R121+MAR!R121</f>
        <v>3</v>
      </c>
      <c r="S121" s="41">
        <f>+JAN!S121+FEB!S121+MAR!S121</f>
        <v>808</v>
      </c>
      <c r="T121" s="42">
        <f t="shared" si="42"/>
        <v>8</v>
      </c>
      <c r="U121" s="42">
        <f t="shared" si="43"/>
        <v>239</v>
      </c>
      <c r="V121" s="43">
        <f t="shared" si="44"/>
        <v>8.9777777777777779</v>
      </c>
      <c r="W121" s="43">
        <f t="shared" si="45"/>
        <v>74.81481481481481</v>
      </c>
      <c r="X121" s="43">
        <f t="shared" si="46"/>
        <v>3.3807531380753137</v>
      </c>
      <c r="Y121" s="44">
        <f t="shared" si="47"/>
        <v>1.1380753138075315</v>
      </c>
      <c r="Z121" s="43">
        <f t="shared" si="48"/>
        <v>19.916666666666668</v>
      </c>
    </row>
    <row r="122" spans="1:26" ht="15.75" x14ac:dyDescent="0.25">
      <c r="A122" s="109"/>
      <c r="B122" s="122"/>
      <c r="C122" s="45" t="s">
        <v>35</v>
      </c>
      <c r="D122" s="41" t="s">
        <v>32</v>
      </c>
      <c r="E122" s="41">
        <f>+JAN!E122+FEB!E122+MAR!E122</f>
        <v>90</v>
      </c>
      <c r="F122" s="45">
        <f>SUM(F121)</f>
        <v>12</v>
      </c>
      <c r="G122" s="45">
        <f>SUM(G121)</f>
        <v>10</v>
      </c>
      <c r="H122" s="45">
        <f>SUM(H121)</f>
        <v>259</v>
      </c>
      <c r="I122" s="45">
        <f>SUM(I121)</f>
        <v>12</v>
      </c>
      <c r="J122" s="45">
        <v>104</v>
      </c>
      <c r="K122" s="45">
        <f>SUM(K121)</f>
        <v>16</v>
      </c>
      <c r="L122" s="45">
        <f>SUM(L121)</f>
        <v>236</v>
      </c>
      <c r="M122" s="45">
        <v>3</v>
      </c>
      <c r="N122" s="45">
        <f>SUM(N121)</f>
        <v>8</v>
      </c>
      <c r="O122" s="45">
        <f>SUM(O121)</f>
        <v>9</v>
      </c>
      <c r="P122" s="45">
        <v>96</v>
      </c>
      <c r="Q122" s="45">
        <f>SUM(Q121)</f>
        <v>847</v>
      </c>
      <c r="R122" s="45">
        <f>SUM(R121)</f>
        <v>3</v>
      </c>
      <c r="S122" s="45">
        <f>SUM(S121)</f>
        <v>808</v>
      </c>
      <c r="T122" s="45">
        <f t="shared" si="42"/>
        <v>8</v>
      </c>
      <c r="U122" s="45">
        <f t="shared" si="43"/>
        <v>239</v>
      </c>
      <c r="V122" s="57">
        <f t="shared" si="44"/>
        <v>8.9777777777777779</v>
      </c>
      <c r="W122" s="57">
        <f t="shared" si="45"/>
        <v>74.81481481481481</v>
      </c>
      <c r="X122" s="57">
        <f t="shared" si="46"/>
        <v>3.3807531380753137</v>
      </c>
      <c r="Y122" s="57">
        <f t="shared" si="47"/>
        <v>1.1380753138075315</v>
      </c>
      <c r="Z122" s="57">
        <f t="shared" si="48"/>
        <v>19.916666666666668</v>
      </c>
    </row>
    <row r="123" spans="1:26" ht="15.75" x14ac:dyDescent="0.25">
      <c r="A123" s="108">
        <v>7</v>
      </c>
      <c r="B123" s="122"/>
      <c r="C123" s="42" t="s">
        <v>34</v>
      </c>
      <c r="D123" s="41" t="s">
        <v>32</v>
      </c>
      <c r="E123" s="41">
        <f>+JAN!E123+FEB!E123+MAR!E123</f>
        <v>90</v>
      </c>
      <c r="F123" s="41">
        <f>MAR!F123</f>
        <v>16</v>
      </c>
      <c r="G123" s="42">
        <f>'[1]TT Per Ruang'!G9</f>
        <v>14</v>
      </c>
      <c r="H123" s="41">
        <f>+JAN!H123+FEB!H123+MAR!H123</f>
        <v>272</v>
      </c>
      <c r="I123" s="41">
        <f>+JAN!I123+FEB!I123+MAR!I123</f>
        <v>108</v>
      </c>
      <c r="J123" s="42">
        <v>144</v>
      </c>
      <c r="K123" s="41">
        <f>+JAN!K123+FEB!K123+MAR!K123</f>
        <v>9</v>
      </c>
      <c r="L123" s="41">
        <f>+JAN!L123+FEB!L123+MAR!L123</f>
        <v>320</v>
      </c>
      <c r="M123" s="42">
        <v>18</v>
      </c>
      <c r="N123" s="41">
        <f>+JAN!N123+FEB!N123+MAR!N123</f>
        <v>20</v>
      </c>
      <c r="O123" s="41">
        <f>+JAN!O123+FEB!O123+MAR!O123</f>
        <v>29</v>
      </c>
      <c r="P123" s="42">
        <v>130</v>
      </c>
      <c r="Q123" s="41">
        <f>+JAN!Q123+FEB!Q123+MAR!Q123</f>
        <v>1380</v>
      </c>
      <c r="R123" s="41">
        <f>+JAN!R123+FEB!R123+MAR!R123</f>
        <v>4</v>
      </c>
      <c r="S123" s="41">
        <f>+JAN!S123+FEB!S123+MAR!S123</f>
        <v>1282</v>
      </c>
      <c r="T123" s="42">
        <f t="shared" si="42"/>
        <v>14</v>
      </c>
      <c r="U123" s="42">
        <f t="shared" si="43"/>
        <v>338</v>
      </c>
      <c r="V123" s="43">
        <f t="shared" si="44"/>
        <v>14.244444444444444</v>
      </c>
      <c r="W123" s="43">
        <f t="shared" si="45"/>
        <v>89.027777777777771</v>
      </c>
      <c r="X123" s="43">
        <f t="shared" si="46"/>
        <v>3.7928994082840237</v>
      </c>
      <c r="Y123" s="44">
        <f t="shared" si="47"/>
        <v>0.46745562130177543</v>
      </c>
      <c r="Z123" s="43">
        <f t="shared" si="48"/>
        <v>21.125</v>
      </c>
    </row>
    <row r="124" spans="1:26" ht="15.75" x14ac:dyDescent="0.25">
      <c r="A124" s="109"/>
      <c r="B124" s="122"/>
      <c r="C124" s="45" t="s">
        <v>34</v>
      </c>
      <c r="D124" s="41" t="s">
        <v>32</v>
      </c>
      <c r="E124" s="41">
        <f>+JAN!E124+FEB!E124+MAR!E124</f>
        <v>90</v>
      </c>
      <c r="F124" s="45">
        <f>SUM(F123)</f>
        <v>16</v>
      </c>
      <c r="G124" s="45">
        <f>SUM(G123)</f>
        <v>14</v>
      </c>
      <c r="H124" s="45">
        <f>SUM(H123)</f>
        <v>272</v>
      </c>
      <c r="I124" s="45">
        <f>SUM(I123)</f>
        <v>108</v>
      </c>
      <c r="J124" s="45">
        <v>144</v>
      </c>
      <c r="K124" s="45">
        <f>SUM(K123)</f>
        <v>9</v>
      </c>
      <c r="L124" s="45">
        <f>SUM(L123)</f>
        <v>320</v>
      </c>
      <c r="M124" s="45">
        <v>18</v>
      </c>
      <c r="N124" s="45">
        <f>SUM(N123)</f>
        <v>20</v>
      </c>
      <c r="O124" s="45">
        <f>SUM(O123)</f>
        <v>29</v>
      </c>
      <c r="P124" s="45">
        <v>130</v>
      </c>
      <c r="Q124" s="45">
        <f>SUM(Q123)</f>
        <v>1380</v>
      </c>
      <c r="R124" s="45">
        <f>SUM(R123)</f>
        <v>4</v>
      </c>
      <c r="S124" s="45">
        <f>SUM(S123)</f>
        <v>1282</v>
      </c>
      <c r="T124" s="45">
        <f t="shared" si="42"/>
        <v>14</v>
      </c>
      <c r="U124" s="45">
        <f t="shared" si="43"/>
        <v>338</v>
      </c>
      <c r="V124" s="57">
        <f t="shared" si="44"/>
        <v>14.244444444444444</v>
      </c>
      <c r="W124" s="57">
        <f t="shared" si="45"/>
        <v>89.027777777777771</v>
      </c>
      <c r="X124" s="57">
        <f t="shared" si="46"/>
        <v>3.7928994082840237</v>
      </c>
      <c r="Y124" s="57">
        <f t="shared" si="47"/>
        <v>0.46745562130177543</v>
      </c>
      <c r="Z124" s="57">
        <f t="shared" si="48"/>
        <v>21.125</v>
      </c>
    </row>
    <row r="125" spans="1:26" ht="15.75" x14ac:dyDescent="0.25">
      <c r="A125" s="108">
        <v>8</v>
      </c>
      <c r="B125" s="122"/>
      <c r="C125" s="42" t="s">
        <v>37</v>
      </c>
      <c r="D125" s="41" t="s">
        <v>32</v>
      </c>
      <c r="E125" s="41">
        <f>+JAN!E125+FEB!E125+MAR!E125</f>
        <v>90</v>
      </c>
      <c r="F125" s="41">
        <f>MAR!F125</f>
        <v>17</v>
      </c>
      <c r="G125" s="42">
        <f>'[1]TT Per Ruang'!G15</f>
        <v>15</v>
      </c>
      <c r="H125" s="41">
        <f>+JAN!H125+FEB!H125+MAR!H125</f>
        <v>353</v>
      </c>
      <c r="I125" s="41">
        <f>+JAN!I125+FEB!I125+MAR!I125</f>
        <v>46</v>
      </c>
      <c r="J125" s="42">
        <v>159</v>
      </c>
      <c r="K125" s="41">
        <f>+JAN!K125+FEB!K125+MAR!K125</f>
        <v>60</v>
      </c>
      <c r="L125" s="41">
        <f>+JAN!L125+FEB!L125+MAR!L125</f>
        <v>330</v>
      </c>
      <c r="M125" s="42">
        <v>5</v>
      </c>
      <c r="N125" s="41">
        <f>+JAN!N125+FEB!N125+MAR!N125</f>
        <v>6</v>
      </c>
      <c r="O125" s="41">
        <f>+JAN!O125+FEB!O125+MAR!O125</f>
        <v>5</v>
      </c>
      <c r="P125" s="42">
        <v>146</v>
      </c>
      <c r="Q125" s="41">
        <f>+JAN!Q125+FEB!Q125+MAR!Q125</f>
        <v>1252</v>
      </c>
      <c r="R125" s="41">
        <f>+JAN!R125+FEB!R125+MAR!R125</f>
        <v>4</v>
      </c>
      <c r="S125" s="41">
        <f>+JAN!S125+FEB!S125+MAR!S125</f>
        <v>1257</v>
      </c>
      <c r="T125" s="42">
        <f t="shared" si="42"/>
        <v>13</v>
      </c>
      <c r="U125" s="42">
        <f t="shared" si="43"/>
        <v>335</v>
      </c>
      <c r="V125" s="43">
        <f t="shared" si="44"/>
        <v>13.966666666666667</v>
      </c>
      <c r="W125" s="43">
        <f t="shared" si="45"/>
        <v>82.156862745098039</v>
      </c>
      <c r="X125" s="43">
        <f t="shared" si="46"/>
        <v>3.7522388059701495</v>
      </c>
      <c r="Y125" s="44">
        <f t="shared" si="47"/>
        <v>0.81492537313432833</v>
      </c>
      <c r="Z125" s="43">
        <f t="shared" si="48"/>
        <v>19.705882352941178</v>
      </c>
    </row>
    <row r="126" spans="1:26" ht="15.75" x14ac:dyDescent="0.25">
      <c r="A126" s="109"/>
      <c r="B126" s="122"/>
      <c r="C126" s="45" t="s">
        <v>37</v>
      </c>
      <c r="D126" s="41" t="s">
        <v>32</v>
      </c>
      <c r="E126" s="41">
        <f>+JAN!E126+FEB!E126+MAR!E126</f>
        <v>90</v>
      </c>
      <c r="F126" s="45">
        <f>SUM(F125)</f>
        <v>17</v>
      </c>
      <c r="G126" s="45">
        <f>SUM(G125)</f>
        <v>15</v>
      </c>
      <c r="H126" s="45">
        <f>SUM(H125)</f>
        <v>353</v>
      </c>
      <c r="I126" s="45">
        <f>SUM(I125)</f>
        <v>46</v>
      </c>
      <c r="J126" s="45">
        <v>159</v>
      </c>
      <c r="K126" s="45">
        <f>SUM(K125)</f>
        <v>60</v>
      </c>
      <c r="L126" s="45">
        <f>SUM(L125)</f>
        <v>330</v>
      </c>
      <c r="M126" s="45">
        <v>5</v>
      </c>
      <c r="N126" s="45">
        <f>SUM(N125)</f>
        <v>6</v>
      </c>
      <c r="O126" s="45">
        <f>SUM(O125)</f>
        <v>5</v>
      </c>
      <c r="P126" s="45">
        <v>146</v>
      </c>
      <c r="Q126" s="45">
        <f>SUM(Q125)</f>
        <v>1252</v>
      </c>
      <c r="R126" s="45">
        <f>SUM(R125)</f>
        <v>4</v>
      </c>
      <c r="S126" s="45">
        <f>SUM(S125)</f>
        <v>1257</v>
      </c>
      <c r="T126" s="45">
        <f t="shared" si="42"/>
        <v>13</v>
      </c>
      <c r="U126" s="45">
        <f t="shared" si="43"/>
        <v>335</v>
      </c>
      <c r="V126" s="57">
        <f t="shared" si="44"/>
        <v>13.966666666666667</v>
      </c>
      <c r="W126" s="57">
        <f t="shared" si="45"/>
        <v>82.156862745098039</v>
      </c>
      <c r="X126" s="57">
        <f t="shared" si="46"/>
        <v>3.7522388059701495</v>
      </c>
      <c r="Y126" s="57">
        <f t="shared" si="47"/>
        <v>0.81492537313432833</v>
      </c>
      <c r="Z126" s="57">
        <f t="shared" si="48"/>
        <v>19.705882352941178</v>
      </c>
    </row>
    <row r="127" spans="1:26" ht="15.75" x14ac:dyDescent="0.25">
      <c r="A127" s="108">
        <v>9</v>
      </c>
      <c r="B127" s="122"/>
      <c r="C127" s="42" t="s">
        <v>33</v>
      </c>
      <c r="D127" s="41" t="s">
        <v>32</v>
      </c>
      <c r="E127" s="41">
        <f>+JAN!E127+FEB!E127+MAR!E127</f>
        <v>90</v>
      </c>
      <c r="F127" s="41">
        <f>MAR!F127</f>
        <v>20</v>
      </c>
      <c r="G127" s="42">
        <f>'[1]TT Per Ruang'!G7</f>
        <v>22</v>
      </c>
      <c r="H127" s="41">
        <f>+JAN!H127+FEB!H127+MAR!H127</f>
        <v>406</v>
      </c>
      <c r="I127" s="41">
        <f>+JAN!I127+FEB!I127+MAR!I127</f>
        <v>68</v>
      </c>
      <c r="J127" s="42">
        <v>195</v>
      </c>
      <c r="K127" s="41">
        <f>+JAN!K127+FEB!K127+MAR!K127</f>
        <v>30</v>
      </c>
      <c r="L127" s="41">
        <f>+JAN!L127+FEB!L127+MAR!L127</f>
        <v>382</v>
      </c>
      <c r="M127" s="42">
        <v>26</v>
      </c>
      <c r="N127" s="41">
        <f>+JAN!N127+FEB!N127+MAR!N127</f>
        <v>28</v>
      </c>
      <c r="O127" s="41">
        <f>+JAN!O127+FEB!O127+MAR!O127</f>
        <v>33</v>
      </c>
      <c r="P127" s="42">
        <v>181</v>
      </c>
      <c r="Q127" s="41">
        <f>+JAN!Q127+FEB!Q127+MAR!Q127</f>
        <v>1601</v>
      </c>
      <c r="R127" s="41">
        <f>+JAN!R127+FEB!R127+MAR!R127</f>
        <v>8</v>
      </c>
      <c r="S127" s="41">
        <f>+JAN!S127+FEB!S127+MAR!S127</f>
        <v>1536</v>
      </c>
      <c r="T127" s="42">
        <f t="shared" si="42"/>
        <v>14</v>
      </c>
      <c r="U127" s="42">
        <f t="shared" si="43"/>
        <v>408</v>
      </c>
      <c r="V127" s="43">
        <f t="shared" si="44"/>
        <v>17.066666666666666</v>
      </c>
      <c r="W127" s="43">
        <f t="shared" si="45"/>
        <v>85.333333333333329</v>
      </c>
      <c r="X127" s="43">
        <f t="shared" si="46"/>
        <v>3.7647058823529411</v>
      </c>
      <c r="Y127" s="44">
        <f t="shared" si="47"/>
        <v>0.6470588235294118</v>
      </c>
      <c r="Z127" s="43">
        <f t="shared" si="48"/>
        <v>20.399999999999999</v>
      </c>
    </row>
    <row r="128" spans="1:26" ht="15.75" x14ac:dyDescent="0.25">
      <c r="A128" s="109"/>
      <c r="B128" s="122"/>
      <c r="C128" s="45" t="s">
        <v>33</v>
      </c>
      <c r="D128" s="41" t="s">
        <v>32</v>
      </c>
      <c r="E128" s="41">
        <f>+JAN!E128+FEB!E128+MAR!E128</f>
        <v>90</v>
      </c>
      <c r="F128" s="45">
        <f>SUM(F127)</f>
        <v>20</v>
      </c>
      <c r="G128" s="45">
        <f>SUM(G127)</f>
        <v>22</v>
      </c>
      <c r="H128" s="45">
        <f>SUM(H127)</f>
        <v>406</v>
      </c>
      <c r="I128" s="45">
        <f>SUM(I127)</f>
        <v>68</v>
      </c>
      <c r="J128" s="45">
        <v>195</v>
      </c>
      <c r="K128" s="45">
        <f>SUM(K127)</f>
        <v>30</v>
      </c>
      <c r="L128" s="45">
        <f>SUM(L127)</f>
        <v>382</v>
      </c>
      <c r="M128" s="45">
        <v>26</v>
      </c>
      <c r="N128" s="45">
        <f>SUM(N127)</f>
        <v>28</v>
      </c>
      <c r="O128" s="45">
        <f>SUM(O127)</f>
        <v>33</v>
      </c>
      <c r="P128" s="45">
        <v>181</v>
      </c>
      <c r="Q128" s="45">
        <f>SUM(Q127)</f>
        <v>1601</v>
      </c>
      <c r="R128" s="45">
        <f>SUM(R127)</f>
        <v>8</v>
      </c>
      <c r="S128" s="45">
        <f>SUM(S127)</f>
        <v>1536</v>
      </c>
      <c r="T128" s="45">
        <f t="shared" si="42"/>
        <v>14</v>
      </c>
      <c r="U128" s="45">
        <f t="shared" si="43"/>
        <v>408</v>
      </c>
      <c r="V128" s="57">
        <f t="shared" si="44"/>
        <v>17.066666666666666</v>
      </c>
      <c r="W128" s="57">
        <f t="shared" si="45"/>
        <v>85.333333333333329</v>
      </c>
      <c r="X128" s="57">
        <f t="shared" si="46"/>
        <v>3.7647058823529411</v>
      </c>
      <c r="Y128" s="57">
        <f t="shared" si="47"/>
        <v>0.6470588235294118</v>
      </c>
      <c r="Z128" s="57">
        <f t="shared" si="48"/>
        <v>20.399999999999999</v>
      </c>
    </row>
    <row r="129" spans="1:26" ht="15.75" x14ac:dyDescent="0.25">
      <c r="A129" s="108">
        <v>10</v>
      </c>
      <c r="B129" s="122"/>
      <c r="C129" s="41" t="s">
        <v>40</v>
      </c>
      <c r="D129" s="41" t="s">
        <v>32</v>
      </c>
      <c r="E129" s="41">
        <f>+JAN!E129+FEB!E129+MAR!E129</f>
        <v>90</v>
      </c>
      <c r="F129" s="41">
        <f>MAR!F129</f>
        <v>16</v>
      </c>
      <c r="G129" s="41">
        <f>'[1]TT Per Ruang'!G25</f>
        <v>17</v>
      </c>
      <c r="H129" s="41">
        <f>+JAN!H129+FEB!H129+MAR!H129</f>
        <v>379</v>
      </c>
      <c r="I129" s="41">
        <f>+JAN!I129+FEB!I129+MAR!I129</f>
        <v>37</v>
      </c>
      <c r="J129" s="42">
        <v>155</v>
      </c>
      <c r="K129" s="41">
        <f>+JAN!K129+FEB!K129+MAR!K129</f>
        <v>24</v>
      </c>
      <c r="L129" s="41">
        <f>+JAN!L129+FEB!L129+MAR!L129</f>
        <v>367</v>
      </c>
      <c r="M129" s="42">
        <v>3</v>
      </c>
      <c r="N129" s="41">
        <f>+JAN!N129+FEB!N129+MAR!N129</f>
        <v>10</v>
      </c>
      <c r="O129" s="41">
        <f>+JAN!O129+FEB!O129+MAR!O129</f>
        <v>14</v>
      </c>
      <c r="P129" s="42">
        <v>141</v>
      </c>
      <c r="Q129" s="41">
        <f>+JAN!Q129+FEB!Q129+MAR!Q129</f>
        <v>1399</v>
      </c>
      <c r="R129" s="41">
        <f>+JAN!R129+FEB!R129+MAR!R129</f>
        <v>3</v>
      </c>
      <c r="S129" s="41">
        <f>+JAN!S129+FEB!S129+MAR!S129</f>
        <v>1405</v>
      </c>
      <c r="T129" s="42">
        <f t="shared" si="42"/>
        <v>14</v>
      </c>
      <c r="U129" s="42">
        <f t="shared" si="43"/>
        <v>370</v>
      </c>
      <c r="V129" s="43">
        <f t="shared" si="44"/>
        <v>15.611111111111111</v>
      </c>
      <c r="W129" s="43">
        <f t="shared" si="45"/>
        <v>97.569444444444443</v>
      </c>
      <c r="X129" s="43">
        <f t="shared" si="46"/>
        <v>3.7972972972972974</v>
      </c>
      <c r="Y129" s="44">
        <f t="shared" si="47"/>
        <v>9.4594594594594697E-2</v>
      </c>
      <c r="Z129" s="43">
        <f t="shared" si="48"/>
        <v>23.125</v>
      </c>
    </row>
    <row r="130" spans="1:26" ht="15.75" x14ac:dyDescent="0.25">
      <c r="A130" s="109"/>
      <c r="B130" s="122"/>
      <c r="C130" s="45" t="s">
        <v>40</v>
      </c>
      <c r="D130" s="41" t="s">
        <v>32</v>
      </c>
      <c r="E130" s="41">
        <f>+JAN!E130+FEB!E130+MAR!E130</f>
        <v>90</v>
      </c>
      <c r="F130" s="45">
        <f>SUM(F129)</f>
        <v>16</v>
      </c>
      <c r="G130" s="45">
        <f>SUM(G129)</f>
        <v>17</v>
      </c>
      <c r="H130" s="45">
        <f>SUM(H129)</f>
        <v>379</v>
      </c>
      <c r="I130" s="45">
        <f>SUM(I129)</f>
        <v>37</v>
      </c>
      <c r="J130" s="45">
        <v>155</v>
      </c>
      <c r="K130" s="45">
        <f>SUM(K129)</f>
        <v>24</v>
      </c>
      <c r="L130" s="45">
        <f>SUM(L129)</f>
        <v>367</v>
      </c>
      <c r="M130" s="45">
        <v>3</v>
      </c>
      <c r="N130" s="45">
        <f>SUM(N129)</f>
        <v>10</v>
      </c>
      <c r="O130" s="45">
        <f>SUM(O129)</f>
        <v>14</v>
      </c>
      <c r="P130" s="45">
        <v>141</v>
      </c>
      <c r="Q130" s="45">
        <f>SUM(Q129)</f>
        <v>1399</v>
      </c>
      <c r="R130" s="45">
        <f>SUM(R129)</f>
        <v>3</v>
      </c>
      <c r="S130" s="45">
        <f>SUM(S129)</f>
        <v>1405</v>
      </c>
      <c r="T130" s="45">
        <f t="shared" si="42"/>
        <v>14</v>
      </c>
      <c r="U130" s="45">
        <f t="shared" si="43"/>
        <v>370</v>
      </c>
      <c r="V130" s="57">
        <f t="shared" si="44"/>
        <v>15.611111111111111</v>
      </c>
      <c r="W130" s="57">
        <f t="shared" si="45"/>
        <v>97.569444444444443</v>
      </c>
      <c r="X130" s="57">
        <f t="shared" si="46"/>
        <v>3.7972972972972974</v>
      </c>
      <c r="Y130" s="57">
        <f t="shared" si="47"/>
        <v>9.4594594594594697E-2</v>
      </c>
      <c r="Z130" s="57">
        <f t="shared" si="48"/>
        <v>23.125</v>
      </c>
    </row>
    <row r="131" spans="1:26" ht="15.75" x14ac:dyDescent="0.25">
      <c r="A131" s="124">
        <v>11</v>
      </c>
      <c r="B131" s="122"/>
      <c r="C131" s="41" t="s">
        <v>56</v>
      </c>
      <c r="D131" s="41" t="s">
        <v>32</v>
      </c>
      <c r="E131" s="41">
        <f>+JAN!E131+FEB!E131+MAR!E131</f>
        <v>90</v>
      </c>
      <c r="F131" s="41">
        <f>MAR!F131</f>
        <v>25</v>
      </c>
      <c r="G131" s="41">
        <f>'[1]TT Per Ruang'!G60</f>
        <v>9</v>
      </c>
      <c r="H131" s="41">
        <f>+JAN!H131+FEB!H131+MAR!H131</f>
        <v>546</v>
      </c>
      <c r="I131" s="41">
        <f>+JAN!I131+FEB!I131+MAR!I131</f>
        <v>724</v>
      </c>
      <c r="J131" s="42">
        <v>365</v>
      </c>
      <c r="K131" s="41">
        <f>+JAN!K131+FEB!K131+MAR!K131</f>
        <v>268</v>
      </c>
      <c r="L131" s="41">
        <f>+JAN!L131+FEB!L131+MAR!L131</f>
        <v>984</v>
      </c>
      <c r="M131" s="42">
        <v>0</v>
      </c>
      <c r="N131" s="41">
        <f>+JAN!N131+FEB!N131+MAR!N131</f>
        <v>0</v>
      </c>
      <c r="O131" s="41">
        <f>+JAN!O131+FEB!O131+MAR!O131</f>
        <v>0</v>
      </c>
      <c r="P131" s="42">
        <v>352</v>
      </c>
      <c r="Q131" s="41">
        <f>+JAN!Q131+FEB!Q131+MAR!Q131</f>
        <v>2128</v>
      </c>
      <c r="R131" s="41">
        <f>+JAN!R131+FEB!R131+MAR!R131</f>
        <v>5</v>
      </c>
      <c r="S131" s="41">
        <f>+JAN!S131+FEB!S131+MAR!S131</f>
        <v>1395</v>
      </c>
      <c r="T131" s="42">
        <f t="shared" si="42"/>
        <v>13</v>
      </c>
      <c r="U131" s="42">
        <f t="shared" si="43"/>
        <v>984</v>
      </c>
      <c r="V131" s="43">
        <f t="shared" si="44"/>
        <v>15.5</v>
      </c>
      <c r="W131" s="43">
        <f t="shared" si="45"/>
        <v>62</v>
      </c>
      <c r="X131" s="43">
        <f t="shared" si="46"/>
        <v>1.4176829268292683</v>
      </c>
      <c r="Y131" s="44">
        <f t="shared" si="47"/>
        <v>0.86890243902439024</v>
      </c>
      <c r="Z131" s="43">
        <f t="shared" si="48"/>
        <v>39.36</v>
      </c>
    </row>
    <row r="132" spans="1:26" ht="15.75" x14ac:dyDescent="0.25">
      <c r="A132" s="125"/>
      <c r="B132" s="122"/>
      <c r="C132" s="41" t="s">
        <v>60</v>
      </c>
      <c r="D132" s="41" t="s">
        <v>32</v>
      </c>
      <c r="E132" s="41">
        <f>+JAN!E132+FEB!E132+MAR!E132</f>
        <v>90</v>
      </c>
      <c r="F132" s="41">
        <f>MAR!F132</f>
        <v>0</v>
      </c>
      <c r="G132" s="41">
        <f>'[1]TT Per Ruang'!G88</f>
        <v>2</v>
      </c>
      <c r="H132" s="41">
        <f>+JAN!H132+FEB!H132+MAR!H132</f>
        <v>13</v>
      </c>
      <c r="I132" s="41">
        <f>+JAN!I132+FEB!I132+MAR!I132</f>
        <v>223</v>
      </c>
      <c r="J132" s="42">
        <v>125</v>
      </c>
      <c r="K132" s="41">
        <f>+JAN!K132+FEB!K132+MAR!K132</f>
        <v>14</v>
      </c>
      <c r="L132" s="41">
        <f>+JAN!L132+FEB!L132+MAR!L132</f>
        <v>224</v>
      </c>
      <c r="M132" s="42">
        <v>0</v>
      </c>
      <c r="N132" s="41">
        <f>+JAN!N132+FEB!N132+MAR!N132</f>
        <v>0</v>
      </c>
      <c r="O132" s="41">
        <f>+JAN!O132+FEB!O132+MAR!O132</f>
        <v>0</v>
      </c>
      <c r="P132" s="42">
        <v>121</v>
      </c>
      <c r="Q132" s="41">
        <f>+JAN!Q132+FEB!Q132+MAR!Q132</f>
        <v>346</v>
      </c>
      <c r="R132" s="41">
        <f>+JAN!R132+FEB!R132+MAR!R132</f>
        <v>2</v>
      </c>
      <c r="S132" s="41">
        <f>+JAN!S132+FEB!S132+MAR!S132</f>
        <v>240</v>
      </c>
      <c r="T132" s="42">
        <f t="shared" si="42"/>
        <v>4</v>
      </c>
      <c r="U132" s="42">
        <f t="shared" si="43"/>
        <v>224</v>
      </c>
      <c r="V132" s="43">
        <f t="shared" si="44"/>
        <v>2.6666666666666665</v>
      </c>
      <c r="W132" s="43" t="e">
        <f t="shared" si="45"/>
        <v>#DIV/0!</v>
      </c>
      <c r="X132" s="43">
        <f t="shared" si="46"/>
        <v>1.0714285714285714</v>
      </c>
      <c r="Y132" s="44">
        <f t="shared" si="47"/>
        <v>-1.0714285714285714</v>
      </c>
      <c r="Z132" s="43" t="e">
        <f t="shared" si="48"/>
        <v>#DIV/0!</v>
      </c>
    </row>
    <row r="133" spans="1:26" ht="15.75" x14ac:dyDescent="0.25">
      <c r="A133" s="126"/>
      <c r="B133" s="123"/>
      <c r="C133" s="58"/>
      <c r="D133" s="59"/>
      <c r="E133" s="45">
        <f>+JAN!E133+FEB!E133+MAR!E133</f>
        <v>90</v>
      </c>
      <c r="F133" s="45">
        <f>SUM(F131:F132)</f>
        <v>25</v>
      </c>
      <c r="G133" s="45">
        <f>SUM(G131:G132)</f>
        <v>11</v>
      </c>
      <c r="H133" s="45">
        <f>SUM(H131:H132)</f>
        <v>559</v>
      </c>
      <c r="I133" s="45">
        <f>SUM(I131:I132)</f>
        <v>947</v>
      </c>
      <c r="J133" s="45">
        <v>490</v>
      </c>
      <c r="K133" s="45">
        <f>SUM(K131:K132)</f>
        <v>282</v>
      </c>
      <c r="L133" s="45">
        <f>SUM(L131:L132)</f>
        <v>1208</v>
      </c>
      <c r="M133" s="45">
        <v>0</v>
      </c>
      <c r="N133" s="45">
        <f>SUM(N131:N132)</f>
        <v>0</v>
      </c>
      <c r="O133" s="45">
        <f>SUM(O131:O132)</f>
        <v>0</v>
      </c>
      <c r="P133" s="45">
        <v>473</v>
      </c>
      <c r="Q133" s="45">
        <f>SUM(Q131:Q132)</f>
        <v>2474</v>
      </c>
      <c r="R133" s="45">
        <f>SUM(R131:R132)</f>
        <v>7</v>
      </c>
      <c r="S133" s="45">
        <f>SUM(S131:S132)</f>
        <v>1635</v>
      </c>
      <c r="T133" s="45">
        <f t="shared" si="42"/>
        <v>17</v>
      </c>
      <c r="U133" s="45">
        <f t="shared" si="43"/>
        <v>1208</v>
      </c>
      <c r="V133" s="57">
        <f t="shared" si="44"/>
        <v>18.166666666666668</v>
      </c>
      <c r="W133" s="57">
        <f t="shared" si="45"/>
        <v>72.666666666666671</v>
      </c>
      <c r="X133" s="57">
        <f t="shared" si="46"/>
        <v>1.3534768211920529</v>
      </c>
      <c r="Y133" s="57">
        <f t="shared" si="47"/>
        <v>0.50910596026490051</v>
      </c>
      <c r="Z133" s="57">
        <f t="shared" si="48"/>
        <v>48.32</v>
      </c>
    </row>
    <row r="134" spans="1:26" ht="15.75" x14ac:dyDescent="0.25">
      <c r="A134" s="127" t="s">
        <v>79</v>
      </c>
      <c r="B134" s="127"/>
      <c r="C134" s="127"/>
      <c r="D134" s="127"/>
      <c r="E134" s="49">
        <f>+JAN!E134+FEB!E134+MAR!E134</f>
        <v>90</v>
      </c>
      <c r="F134" s="48">
        <f>+F112+F114+F116+F118+F120+F122+F124+F126+F128+F130+F133</f>
        <v>191</v>
      </c>
      <c r="G134" s="48">
        <f>+G112+G114+G116+G118+G120+G122+G124+G126+G128+G130+G133</f>
        <v>169</v>
      </c>
      <c r="H134" s="48">
        <f>+H112+H114+H116+H118+H120+H122+H124+H126+H128+H130+H133</f>
        <v>4112</v>
      </c>
      <c r="I134" s="48">
        <f>+I112+I114+I116+I118+I120+I122+I124+I126+I128+I130+I133</f>
        <v>1355</v>
      </c>
      <c r="J134" s="49">
        <v>2042</v>
      </c>
      <c r="K134" s="48">
        <f>+K112+K114+K116+K118+K120+K122+K124+K126+K128+K130+K133</f>
        <v>564</v>
      </c>
      <c r="L134" s="48">
        <f>+L112+L114+L116+L118+L120+L122+L124+L126+L128+L130+L133</f>
        <v>4544</v>
      </c>
      <c r="M134" s="49">
        <f>+N134+O134</f>
        <v>330</v>
      </c>
      <c r="N134" s="48">
        <f>+N112+N114+N116+N118+N120+N122+N124+N126+N128+N130+N133</f>
        <v>161</v>
      </c>
      <c r="O134" s="48">
        <f>+O112+O114+O116+O118+O120+O122+O124+O126+O128+O130+O133</f>
        <v>169</v>
      </c>
      <c r="P134" s="49">
        <v>1890</v>
      </c>
      <c r="Q134" s="48">
        <f>+Q112+Q114+Q116+Q118+Q120+Q122+Q124+Q126+Q128+Q130+Q133</f>
        <v>15504</v>
      </c>
      <c r="R134" s="48">
        <f>+R112+R114+R116+R118+R120+R122+R124+R126+R128+R130+R133</f>
        <v>50</v>
      </c>
      <c r="S134" s="48">
        <f>+S112+S114+S116+S118+S120+S122+S124+S126+S128+S130+S133</f>
        <v>14608</v>
      </c>
      <c r="T134" s="49">
        <f t="shared" si="42"/>
        <v>152</v>
      </c>
      <c r="U134" s="49">
        <f t="shared" si="43"/>
        <v>4874</v>
      </c>
      <c r="V134" s="50">
        <f t="shared" si="44"/>
        <v>162.3111111111111</v>
      </c>
      <c r="W134" s="50">
        <f t="shared" si="45"/>
        <v>84.979639325189055</v>
      </c>
      <c r="X134" s="50">
        <f t="shared" si="46"/>
        <v>2.9971276159212148</v>
      </c>
      <c r="Y134" s="50">
        <f t="shared" si="47"/>
        <v>0.52974969224456314</v>
      </c>
      <c r="Z134" s="50">
        <f t="shared" si="48"/>
        <v>25.518324607329841</v>
      </c>
    </row>
    <row r="135" spans="1:26" ht="15.75" x14ac:dyDescent="0.25">
      <c r="A135" s="87" t="s">
        <v>84</v>
      </c>
      <c r="B135" s="88"/>
      <c r="C135" s="88"/>
      <c r="D135" s="89"/>
      <c r="E135" s="63">
        <f>+JAN!E135+FEB!E135+MAR!E135</f>
        <v>90</v>
      </c>
      <c r="F135" s="64">
        <f>+F88+F104+F134</f>
        <v>248</v>
      </c>
      <c r="G135" s="64">
        <f>+G88+G104+G134</f>
        <v>217</v>
      </c>
      <c r="H135" s="64">
        <f>+H88+H104+H134</f>
        <v>5151</v>
      </c>
      <c r="I135" s="64">
        <f>+I88+I104+I134</f>
        <v>2045</v>
      </c>
      <c r="J135" s="63">
        <f t="shared" ref="J135" si="49">+G135+H135+I135</f>
        <v>7413</v>
      </c>
      <c r="K135" s="64">
        <f>+K88+K104+K134</f>
        <v>1238</v>
      </c>
      <c r="L135" s="64">
        <f>+L88+L104+L134</f>
        <v>5523</v>
      </c>
      <c r="M135" s="63">
        <f t="shared" ref="M135" si="50">+N135+O135</f>
        <v>391</v>
      </c>
      <c r="N135" s="64">
        <f>+N88+N104+N134</f>
        <v>189</v>
      </c>
      <c r="O135" s="64">
        <f>+O88+O104+O134</f>
        <v>202</v>
      </c>
      <c r="P135" s="63">
        <f t="shared" ref="P135" si="51">+K135+L135+M135</f>
        <v>7152</v>
      </c>
      <c r="Q135" s="64">
        <f>+Q88+Q104+Q134</f>
        <v>18890</v>
      </c>
      <c r="R135" s="64">
        <f>+R88+R104+R134</f>
        <v>64</v>
      </c>
      <c r="S135" s="64">
        <f>+S88+S104+S134</f>
        <v>18356</v>
      </c>
      <c r="T135" s="63">
        <f t="shared" si="42"/>
        <v>261</v>
      </c>
      <c r="U135" s="63">
        <f t="shared" ref="U135" si="52">L135+M135</f>
        <v>5914</v>
      </c>
      <c r="V135" s="65">
        <f t="shared" si="44"/>
        <v>203.95555555555555</v>
      </c>
      <c r="W135" s="66">
        <f t="shared" si="45"/>
        <v>82.240143369175627</v>
      </c>
      <c r="X135" s="66">
        <f t="shared" si="46"/>
        <v>3.1038214406493068</v>
      </c>
      <c r="Y135" s="66">
        <f t="shared" si="47"/>
        <v>0.67027392627663185</v>
      </c>
      <c r="Z135" s="66">
        <f t="shared" si="48"/>
        <v>23.846774193548388</v>
      </c>
    </row>
    <row r="136" spans="1:26" x14ac:dyDescent="0.25"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x14ac:dyDescent="0.25">
      <c r="A137" s="113" t="s">
        <v>1</v>
      </c>
      <c r="B137" s="113" t="s">
        <v>2</v>
      </c>
      <c r="C137" s="106" t="s">
        <v>3</v>
      </c>
      <c r="D137" s="106" t="s">
        <v>4</v>
      </c>
      <c r="E137" s="112" t="s">
        <v>5</v>
      </c>
      <c r="F137" s="106" t="s">
        <v>6</v>
      </c>
      <c r="G137" s="106" t="s">
        <v>7</v>
      </c>
      <c r="H137" s="106" t="s">
        <v>8</v>
      </c>
      <c r="I137" s="112" t="s">
        <v>9</v>
      </c>
      <c r="J137" s="106" t="s">
        <v>10</v>
      </c>
      <c r="K137" s="106" t="s">
        <v>11</v>
      </c>
      <c r="L137" s="106" t="s">
        <v>12</v>
      </c>
      <c r="M137" s="106" t="s">
        <v>13</v>
      </c>
      <c r="N137" s="106" t="s">
        <v>14</v>
      </c>
      <c r="O137" s="106" t="s">
        <v>15</v>
      </c>
      <c r="P137" s="106" t="s">
        <v>16</v>
      </c>
      <c r="Q137" s="106" t="s">
        <v>17</v>
      </c>
      <c r="R137" s="106" t="s">
        <v>18</v>
      </c>
      <c r="S137" s="106" t="s">
        <v>19</v>
      </c>
      <c r="T137" s="106" t="s">
        <v>20</v>
      </c>
      <c r="U137" s="110" t="s">
        <v>21</v>
      </c>
      <c r="V137" s="37" t="s">
        <v>22</v>
      </c>
      <c r="W137" s="37" t="s">
        <v>23</v>
      </c>
      <c r="X137" s="37" t="s">
        <v>24</v>
      </c>
      <c r="Y137" s="37" t="s">
        <v>25</v>
      </c>
      <c r="Z137" s="37" t="s">
        <v>26</v>
      </c>
    </row>
    <row r="138" spans="1:26" x14ac:dyDescent="0.25">
      <c r="A138" s="113"/>
      <c r="B138" s="113"/>
      <c r="C138" s="106"/>
      <c r="D138" s="106"/>
      <c r="E138" s="112"/>
      <c r="F138" s="106"/>
      <c r="G138" s="106"/>
      <c r="H138" s="106"/>
      <c r="I138" s="112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10"/>
      <c r="V138" s="107" t="s">
        <v>27</v>
      </c>
      <c r="W138" s="107" t="s">
        <v>28</v>
      </c>
      <c r="X138" s="107" t="s">
        <v>29</v>
      </c>
      <c r="Y138" s="107" t="s">
        <v>30</v>
      </c>
      <c r="Z138" s="107" t="s">
        <v>31</v>
      </c>
    </row>
    <row r="139" spans="1:26" x14ac:dyDescent="0.25">
      <c r="A139" s="113"/>
      <c r="B139" s="113"/>
      <c r="C139" s="106"/>
      <c r="D139" s="106"/>
      <c r="E139" s="112"/>
      <c r="F139" s="106"/>
      <c r="G139" s="106"/>
      <c r="H139" s="106"/>
      <c r="I139" s="112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10"/>
      <c r="V139" s="111"/>
      <c r="W139" s="107"/>
      <c r="X139" s="107"/>
      <c r="Y139" s="107"/>
      <c r="Z139" s="107"/>
    </row>
    <row r="140" spans="1:26" x14ac:dyDescent="0.25">
      <c r="A140" s="113"/>
      <c r="B140" s="113"/>
      <c r="C140" s="106"/>
      <c r="D140" s="106"/>
      <c r="E140" s="112"/>
      <c r="F140" s="106"/>
      <c r="G140" s="39">
        <v>1</v>
      </c>
      <c r="H140" s="39">
        <v>2</v>
      </c>
      <c r="I140" s="39">
        <v>3</v>
      </c>
      <c r="J140" s="39">
        <v>4</v>
      </c>
      <c r="K140" s="39">
        <v>5</v>
      </c>
      <c r="L140" s="39">
        <v>6</v>
      </c>
      <c r="M140" s="39">
        <v>7</v>
      </c>
      <c r="N140" s="39">
        <v>8</v>
      </c>
      <c r="O140" s="39">
        <v>9</v>
      </c>
      <c r="P140" s="39">
        <v>10</v>
      </c>
      <c r="Q140" s="39">
        <v>11</v>
      </c>
      <c r="R140" s="39">
        <v>12</v>
      </c>
      <c r="S140" s="39">
        <v>13</v>
      </c>
      <c r="T140" s="39">
        <v>14</v>
      </c>
      <c r="U140" s="110"/>
      <c r="V140" s="38">
        <v>15</v>
      </c>
      <c r="W140" s="38">
        <v>16</v>
      </c>
      <c r="X140" s="38">
        <v>17</v>
      </c>
      <c r="Y140" s="38">
        <v>18</v>
      </c>
      <c r="Z140" s="38">
        <v>19</v>
      </c>
    </row>
    <row r="141" spans="1:26" ht="15.75" x14ac:dyDescent="0.25">
      <c r="A141" s="128">
        <v>1</v>
      </c>
      <c r="B141" s="128" t="s">
        <v>80</v>
      </c>
      <c r="C141" s="42" t="s">
        <v>68</v>
      </c>
      <c r="D141" s="42" t="s">
        <v>36</v>
      </c>
      <c r="E141" s="41">
        <f>+JAN!E141+FEB!E141+MAR!E141</f>
        <v>90</v>
      </c>
      <c r="F141" s="42">
        <f>'[1]TT Per Ruang'!F110</f>
        <v>0</v>
      </c>
      <c r="G141" s="42">
        <f>'[1]TT Per Ruang'!G110</f>
        <v>0</v>
      </c>
      <c r="H141" s="41">
        <f>+JAN!H141+FEB!H141+MAR!H141</f>
        <v>718</v>
      </c>
      <c r="I141" s="41">
        <f>+JAN!I141+FEB!I141+MAR!I141</f>
        <v>13</v>
      </c>
      <c r="J141" s="42">
        <v>219</v>
      </c>
      <c r="K141" s="41">
        <f>+JAN!K141+FEB!K141+MAR!K141</f>
        <v>706</v>
      </c>
      <c r="L141" s="41">
        <f>+JAN!L141+FEB!L141+MAR!L141</f>
        <v>6</v>
      </c>
      <c r="M141" s="42">
        <v>5</v>
      </c>
      <c r="N141" s="41">
        <f>+JAN!N141+FEB!N141+MAR!N141</f>
        <v>13</v>
      </c>
      <c r="O141" s="41">
        <f>+JAN!O141+FEB!O141+MAR!O141</f>
        <v>0</v>
      </c>
      <c r="P141" s="42">
        <v>218</v>
      </c>
      <c r="Q141" s="41">
        <f>+JAN!Q141+FEB!Q141+MAR!Q141</f>
        <v>19</v>
      </c>
      <c r="R141" s="41">
        <f>+JAN!R141+FEB!R141+MAR!R141</f>
        <v>18</v>
      </c>
      <c r="S141" s="41">
        <f>+JAN!S141+FEB!S141+MAR!S141</f>
        <v>331</v>
      </c>
      <c r="T141" s="42">
        <f t="shared" ref="T141:T143" si="53">J141-P141</f>
        <v>1</v>
      </c>
      <c r="U141" s="42">
        <f t="shared" ref="U141:U143" si="54">+L141+M141</f>
        <v>11</v>
      </c>
      <c r="V141" s="43">
        <f t="shared" ref="V141:V143" si="55">$S141/$E141</f>
        <v>3.6777777777777776</v>
      </c>
      <c r="W141" s="43" t="e">
        <f t="shared" ref="W141:W143" si="56">$V141/$F141*100</f>
        <v>#DIV/0!</v>
      </c>
      <c r="X141" s="43">
        <f t="shared" ref="X141:X143" si="57">$S141/($L141+$M141)</f>
        <v>30.09090909090909</v>
      </c>
      <c r="Y141" s="44">
        <f t="shared" ref="Y141:Y143" si="58">(($F141-$V141)*$E141)/($L141+$M141)</f>
        <v>-30.09090909090909</v>
      </c>
      <c r="Z141" s="43" t="e">
        <f t="shared" ref="Z141:Z143" si="59">($L141+$M141)/$F141</f>
        <v>#DIV/0!</v>
      </c>
    </row>
    <row r="142" spans="1:26" ht="15.75" x14ac:dyDescent="0.25">
      <c r="A142" s="128"/>
      <c r="B142" s="128"/>
      <c r="C142" s="45" t="s">
        <v>68</v>
      </c>
      <c r="D142" s="45" t="s">
        <v>36</v>
      </c>
      <c r="E142" s="45">
        <f>+JAN!E142+FEB!E142+MAR!E142</f>
        <v>90</v>
      </c>
      <c r="F142" s="45">
        <f>SUM(F141)</f>
        <v>0</v>
      </c>
      <c r="G142" s="45">
        <f>SUM(G141)</f>
        <v>0</v>
      </c>
      <c r="H142" s="45">
        <f>SUM(H141)</f>
        <v>718</v>
      </c>
      <c r="I142" s="45">
        <f>SUM(I141)</f>
        <v>13</v>
      </c>
      <c r="J142" s="45">
        <v>219</v>
      </c>
      <c r="K142" s="45">
        <f>SUM(K141)</f>
        <v>706</v>
      </c>
      <c r="L142" s="45">
        <f>SUM(L141)</f>
        <v>6</v>
      </c>
      <c r="M142" s="45">
        <v>5</v>
      </c>
      <c r="N142" s="45">
        <f>SUM(N141)</f>
        <v>13</v>
      </c>
      <c r="O142" s="45">
        <f>SUM(O141)</f>
        <v>0</v>
      </c>
      <c r="P142" s="45">
        <v>218</v>
      </c>
      <c r="Q142" s="45">
        <f>SUM(Q141)</f>
        <v>19</v>
      </c>
      <c r="R142" s="45">
        <f>SUM(R141)</f>
        <v>18</v>
      </c>
      <c r="S142" s="45">
        <f>SUM(S141)</f>
        <v>331</v>
      </c>
      <c r="T142" s="45">
        <f t="shared" si="53"/>
        <v>1</v>
      </c>
      <c r="U142" s="45">
        <f t="shared" si="54"/>
        <v>11</v>
      </c>
      <c r="V142" s="57">
        <f t="shared" si="55"/>
        <v>3.6777777777777776</v>
      </c>
      <c r="W142" s="57" t="e">
        <f t="shared" si="56"/>
        <v>#DIV/0!</v>
      </c>
      <c r="X142" s="57">
        <f t="shared" si="57"/>
        <v>30.09090909090909</v>
      </c>
      <c r="Y142" s="57">
        <f t="shared" si="58"/>
        <v>-30.09090909090909</v>
      </c>
      <c r="Z142" s="57" t="e">
        <f t="shared" si="59"/>
        <v>#DIV/0!</v>
      </c>
    </row>
    <row r="143" spans="1:26" ht="15.75" x14ac:dyDescent="0.25">
      <c r="A143" s="129" t="s">
        <v>70</v>
      </c>
      <c r="B143" s="130"/>
      <c r="C143" s="130"/>
      <c r="D143" s="131"/>
      <c r="E143" s="60">
        <f>+JAN!E143+FEB!E143+MAR!E143</f>
        <v>90</v>
      </c>
      <c r="F143" s="60">
        <f>+F21+F49+F57+F70+F88+F104+F134+F142</f>
        <v>388</v>
      </c>
      <c r="G143" s="60">
        <f>+G21+G49+G57+G70+G88+G104+G134+G142</f>
        <v>292</v>
      </c>
      <c r="H143" s="60">
        <f>+H21+H49+H57+H70+H88+H104+H134+H142</f>
        <v>7558</v>
      </c>
      <c r="I143" s="60">
        <f>+I21+I49+I57+I70+I88+I104+I134+I142</f>
        <v>2771</v>
      </c>
      <c r="J143" s="60">
        <f>+G143+H143+I143</f>
        <v>10621</v>
      </c>
      <c r="K143" s="60">
        <f>+K21+K49+K57+K70+K88+K104+K134+K142</f>
        <v>3074</v>
      </c>
      <c r="L143" s="60">
        <f>+L21+L49+L57+L70+L88+L104+L134+L142</f>
        <v>6497</v>
      </c>
      <c r="M143" s="60">
        <f>+N143+O143</f>
        <v>694</v>
      </c>
      <c r="N143" s="60">
        <f>+N21+N49+N57+N70+N88+N104+N134+N142</f>
        <v>341</v>
      </c>
      <c r="O143" s="60">
        <f>+O21+O49+O57+O70+O88+O104+O134+O142</f>
        <v>353</v>
      </c>
      <c r="P143" s="60">
        <f>+K143+L143+M143</f>
        <v>10265</v>
      </c>
      <c r="Q143" s="60">
        <f>+Q21+Q49+Q57+Q70+Q88+Q104+Q134+Q142</f>
        <v>24547</v>
      </c>
      <c r="R143" s="60">
        <f>+R21+R49+R57+R70+R88+R104+R134+R142</f>
        <v>114</v>
      </c>
      <c r="S143" s="60">
        <f>+S21+S49+S57+S70+S88+S104+S134+S142</f>
        <v>25876</v>
      </c>
      <c r="T143" s="60">
        <f t="shared" si="53"/>
        <v>356</v>
      </c>
      <c r="U143" s="60">
        <f t="shared" si="54"/>
        <v>7191</v>
      </c>
      <c r="V143" s="61">
        <f t="shared" si="55"/>
        <v>287.51111111111112</v>
      </c>
      <c r="W143" s="61">
        <f t="shared" si="56"/>
        <v>74.100801832760595</v>
      </c>
      <c r="X143" s="61">
        <f t="shared" si="57"/>
        <v>3.5983868724794883</v>
      </c>
      <c r="Y143" s="61">
        <f t="shared" si="58"/>
        <v>1.2576832151300237</v>
      </c>
      <c r="Z143" s="61">
        <f t="shared" si="59"/>
        <v>18.533505154639176</v>
      </c>
    </row>
    <row r="144" spans="1:26" hidden="1" x14ac:dyDescent="0.25">
      <c r="E144" s="34">
        <v>59</v>
      </c>
      <c r="F144" s="34">
        <v>388</v>
      </c>
      <c r="G144" s="34">
        <v>292</v>
      </c>
      <c r="H144" s="34">
        <v>4793</v>
      </c>
      <c r="I144" s="34">
        <v>1938</v>
      </c>
      <c r="J144" s="34">
        <v>7023</v>
      </c>
      <c r="K144" s="34">
        <v>1967</v>
      </c>
      <c r="L144" s="34">
        <v>4354</v>
      </c>
      <c r="M144" s="34">
        <v>435</v>
      </c>
      <c r="N144" s="34">
        <v>228</v>
      </c>
      <c r="O144" s="34">
        <v>207</v>
      </c>
      <c r="P144" s="34">
        <v>6756</v>
      </c>
      <c r="Q144" s="34">
        <v>16005</v>
      </c>
      <c r="R144" s="34">
        <v>92</v>
      </c>
      <c r="S144" s="34">
        <v>17288</v>
      </c>
      <c r="T144" s="34">
        <v>267</v>
      </c>
      <c r="U144" s="34">
        <v>4789</v>
      </c>
      <c r="V144" s="35">
        <v>293.0169491525424</v>
      </c>
      <c r="W144" s="35">
        <v>75.519832255809888</v>
      </c>
      <c r="X144" s="35">
        <v>3.6099394445604509</v>
      </c>
      <c r="Y144" s="35">
        <v>1.1701816663186466</v>
      </c>
      <c r="Z144" s="35">
        <v>12.342783505154639</v>
      </c>
    </row>
    <row r="145" spans="8:8" x14ac:dyDescent="0.25">
      <c r="H145" s="17"/>
    </row>
  </sheetData>
  <sheetProtection algorithmName="SHA-512" hashValue="42aFgeVtfTqryhk+/9DQYNyfrE2HtZ1NdlthDKEl4rGxN/OMsXlptpaxnAELSJcuz/C7GWUl1sx21JGOIN+QxQ==" saltValue="u7idua25CFNRo+kaIYzp9Q==" spinCount="100000" sheet="1" objects="1" scenarios="1"/>
  <mergeCells count="262">
    <mergeCell ref="A141:A142"/>
    <mergeCell ref="B141:B142"/>
    <mergeCell ref="A143:D143"/>
    <mergeCell ref="R137:R139"/>
    <mergeCell ref="S137:S139"/>
    <mergeCell ref="T137:T139"/>
    <mergeCell ref="U137:U140"/>
    <mergeCell ref="V138:V139"/>
    <mergeCell ref="W138:W139"/>
    <mergeCell ref="X138:X139"/>
    <mergeCell ref="Y138:Y139"/>
    <mergeCell ref="Z138:Z139"/>
    <mergeCell ref="I137:I139"/>
    <mergeCell ref="J137:J139"/>
    <mergeCell ref="K137:K139"/>
    <mergeCell ref="L137:L139"/>
    <mergeCell ref="M137:M139"/>
    <mergeCell ref="N137:N139"/>
    <mergeCell ref="O137:O139"/>
    <mergeCell ref="P137:P139"/>
    <mergeCell ref="Q137:Q139"/>
    <mergeCell ref="A134:D134"/>
    <mergeCell ref="A137:A140"/>
    <mergeCell ref="B137:B140"/>
    <mergeCell ref="C137:C140"/>
    <mergeCell ref="D137:D140"/>
    <mergeCell ref="E137:E140"/>
    <mergeCell ref="F137:F140"/>
    <mergeCell ref="G137:G139"/>
    <mergeCell ref="H137:H139"/>
    <mergeCell ref="A135:D135"/>
    <mergeCell ref="S107:S109"/>
    <mergeCell ref="T107:T109"/>
    <mergeCell ref="U107:U110"/>
    <mergeCell ref="V108:V109"/>
    <mergeCell ref="W108:W109"/>
    <mergeCell ref="X108:X109"/>
    <mergeCell ref="Y108:Y109"/>
    <mergeCell ref="Z108:Z109"/>
    <mergeCell ref="A111:A112"/>
    <mergeCell ref="B111:B133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3"/>
    <mergeCell ref="J107:J109"/>
    <mergeCell ref="K107:K109"/>
    <mergeCell ref="L107:L109"/>
    <mergeCell ref="M107:M109"/>
    <mergeCell ref="N107:N109"/>
    <mergeCell ref="O107:O109"/>
    <mergeCell ref="P107:P109"/>
    <mergeCell ref="Q107:Q109"/>
    <mergeCell ref="R107:R109"/>
    <mergeCell ref="A107:A110"/>
    <mergeCell ref="B107:B110"/>
    <mergeCell ref="C107:C110"/>
    <mergeCell ref="D107:D110"/>
    <mergeCell ref="E107:E110"/>
    <mergeCell ref="F107:F110"/>
    <mergeCell ref="G107:G109"/>
    <mergeCell ref="H107:H109"/>
    <mergeCell ref="I107:I109"/>
    <mergeCell ref="W92:W93"/>
    <mergeCell ref="X92:X93"/>
    <mergeCell ref="Y92:Y93"/>
    <mergeCell ref="Z92:Z93"/>
    <mergeCell ref="A95:A96"/>
    <mergeCell ref="B95:B103"/>
    <mergeCell ref="A99:A101"/>
    <mergeCell ref="A102:A103"/>
    <mergeCell ref="A104:D104"/>
    <mergeCell ref="N91:N93"/>
    <mergeCell ref="O91:O93"/>
    <mergeCell ref="P91:P93"/>
    <mergeCell ref="Q91:Q93"/>
    <mergeCell ref="R91:R93"/>
    <mergeCell ref="S91:S93"/>
    <mergeCell ref="T91:T93"/>
    <mergeCell ref="U91:U94"/>
    <mergeCell ref="V92:V93"/>
    <mergeCell ref="E91:E94"/>
    <mergeCell ref="F91:F94"/>
    <mergeCell ref="G91:G93"/>
    <mergeCell ref="H91:H93"/>
    <mergeCell ref="I91:I93"/>
    <mergeCell ref="J91:J93"/>
    <mergeCell ref="K91:K93"/>
    <mergeCell ref="L91:L93"/>
    <mergeCell ref="M91:M93"/>
    <mergeCell ref="A77:A78"/>
    <mergeCell ref="B77:B87"/>
    <mergeCell ref="A79:A80"/>
    <mergeCell ref="A81:A83"/>
    <mergeCell ref="A84:A85"/>
    <mergeCell ref="A86:A87"/>
    <mergeCell ref="A88:D88"/>
    <mergeCell ref="A91:A94"/>
    <mergeCell ref="B91:B94"/>
    <mergeCell ref="C91:C94"/>
    <mergeCell ref="D91:D94"/>
    <mergeCell ref="K73:K75"/>
    <mergeCell ref="L73:L75"/>
    <mergeCell ref="M73:M75"/>
    <mergeCell ref="N73:N75"/>
    <mergeCell ref="O73:O75"/>
    <mergeCell ref="P73:P75"/>
    <mergeCell ref="Q73:Q75"/>
    <mergeCell ref="R73:R75"/>
    <mergeCell ref="S73:S75"/>
    <mergeCell ref="B73:B76"/>
    <mergeCell ref="C73:C76"/>
    <mergeCell ref="D73:D76"/>
    <mergeCell ref="E73:E76"/>
    <mergeCell ref="F73:F76"/>
    <mergeCell ref="G73:G75"/>
    <mergeCell ref="H73:H75"/>
    <mergeCell ref="I73:I75"/>
    <mergeCell ref="J73:J75"/>
    <mergeCell ref="T52:T54"/>
    <mergeCell ref="U52:U55"/>
    <mergeCell ref="V53:V54"/>
    <mergeCell ref="W53:W54"/>
    <mergeCell ref="X53:X54"/>
    <mergeCell ref="Y53:Y54"/>
    <mergeCell ref="Z53:Z54"/>
    <mergeCell ref="Q60:Q62"/>
    <mergeCell ref="R60:R62"/>
    <mergeCell ref="S60:S62"/>
    <mergeCell ref="T60:T62"/>
    <mergeCell ref="U60:U63"/>
    <mergeCell ref="V61:V62"/>
    <mergeCell ref="W61:W62"/>
    <mergeCell ref="X61:X62"/>
    <mergeCell ref="Y61:Y62"/>
    <mergeCell ref="Z61:Z62"/>
    <mergeCell ref="V25:V26"/>
    <mergeCell ref="W25:W26"/>
    <mergeCell ref="F24:F27"/>
    <mergeCell ref="G24:G26"/>
    <mergeCell ref="A49:D49"/>
    <mergeCell ref="A52:A55"/>
    <mergeCell ref="B52:B55"/>
    <mergeCell ref="C52:C55"/>
    <mergeCell ref="D52:D55"/>
    <mergeCell ref="E52:E55"/>
    <mergeCell ref="F52:F55"/>
    <mergeCell ref="G52:G54"/>
    <mergeCell ref="H52:H54"/>
    <mergeCell ref="I52:I54"/>
    <mergeCell ref="J52:J54"/>
    <mergeCell ref="K52:K54"/>
    <mergeCell ref="L52:L54"/>
    <mergeCell ref="M52:M54"/>
    <mergeCell ref="N52:N54"/>
    <mergeCell ref="O52:O54"/>
    <mergeCell ref="P52:P54"/>
    <mergeCell ref="Q52:Q54"/>
    <mergeCell ref="R52:R54"/>
    <mergeCell ref="S52:S54"/>
    <mergeCell ref="E24:E27"/>
    <mergeCell ref="B7:B20"/>
    <mergeCell ref="A11:A12"/>
    <mergeCell ref="A13:A14"/>
    <mergeCell ref="X25:X26"/>
    <mergeCell ref="Y25:Y26"/>
    <mergeCell ref="Z25:Z26"/>
    <mergeCell ref="A28:A32"/>
    <mergeCell ref="B28:B48"/>
    <mergeCell ref="A33:A34"/>
    <mergeCell ref="A35:A36"/>
    <mergeCell ref="A37:A38"/>
    <mergeCell ref="A39:A40"/>
    <mergeCell ref="A41:A42"/>
    <mergeCell ref="A43:A44"/>
    <mergeCell ref="A45:A46"/>
    <mergeCell ref="A47:A48"/>
    <mergeCell ref="O24:O26"/>
    <mergeCell ref="P24:P26"/>
    <mergeCell ref="Q24:Q26"/>
    <mergeCell ref="R24:R26"/>
    <mergeCell ref="S24:S26"/>
    <mergeCell ref="T24:T26"/>
    <mergeCell ref="U24:U27"/>
    <mergeCell ref="X74:X75"/>
    <mergeCell ref="Y74:Y75"/>
    <mergeCell ref="Z74:Z75"/>
    <mergeCell ref="A60:A63"/>
    <mergeCell ref="B60:B63"/>
    <mergeCell ref="C60:C63"/>
    <mergeCell ref="D60:D63"/>
    <mergeCell ref="E60:E63"/>
    <mergeCell ref="F60:F63"/>
    <mergeCell ref="G60:G62"/>
    <mergeCell ref="H60:H62"/>
    <mergeCell ref="I60:I62"/>
    <mergeCell ref="J60:J62"/>
    <mergeCell ref="K60:K62"/>
    <mergeCell ref="L60:L62"/>
    <mergeCell ref="M60:M62"/>
    <mergeCell ref="N60:N62"/>
    <mergeCell ref="O60:O62"/>
    <mergeCell ref="P60:P62"/>
    <mergeCell ref="A64:A65"/>
    <mergeCell ref="B64:B69"/>
    <mergeCell ref="A66:A67"/>
    <mergeCell ref="A68:A69"/>
    <mergeCell ref="A73:A76"/>
    <mergeCell ref="B3:B6"/>
    <mergeCell ref="C3:C6"/>
    <mergeCell ref="D3:D6"/>
    <mergeCell ref="E3:E6"/>
    <mergeCell ref="A97:A98"/>
    <mergeCell ref="T73:T75"/>
    <mergeCell ref="U73:U76"/>
    <mergeCell ref="V74:V75"/>
    <mergeCell ref="W74:W75"/>
    <mergeCell ref="H24:H26"/>
    <mergeCell ref="I24:I26"/>
    <mergeCell ref="J24:J26"/>
    <mergeCell ref="K24:K26"/>
    <mergeCell ref="L24:L26"/>
    <mergeCell ref="M24:M26"/>
    <mergeCell ref="N24:N26"/>
    <mergeCell ref="A15:A16"/>
    <mergeCell ref="A17:A18"/>
    <mergeCell ref="A19:A20"/>
    <mergeCell ref="A21:D21"/>
    <mergeCell ref="A24:A27"/>
    <mergeCell ref="B24:B27"/>
    <mergeCell ref="C24:C27"/>
    <mergeCell ref="D24:D27"/>
    <mergeCell ref="F3:F6"/>
    <mergeCell ref="O3:O5"/>
    <mergeCell ref="P3:P5"/>
    <mergeCell ref="Q3:Q5"/>
    <mergeCell ref="Y4:Y5"/>
    <mergeCell ref="Z4:Z5"/>
    <mergeCell ref="A7:A8"/>
    <mergeCell ref="A9:A10"/>
    <mergeCell ref="S3:S5"/>
    <mergeCell ref="T3:T5"/>
    <mergeCell ref="U3:U6"/>
    <mergeCell ref="V4:V5"/>
    <mergeCell ref="W4:W5"/>
    <mergeCell ref="X4:X5"/>
    <mergeCell ref="M3:M5"/>
    <mergeCell ref="N3:N5"/>
    <mergeCell ref="R3:R5"/>
    <mergeCell ref="G3:G5"/>
    <mergeCell ref="H3:H5"/>
    <mergeCell ref="I3:I5"/>
    <mergeCell ref="J3:J5"/>
    <mergeCell ref="K3:K5"/>
    <mergeCell ref="L3:L5"/>
    <mergeCell ref="A3:A6"/>
  </mergeCells>
  <printOptions horizontalCentered="1"/>
  <pageMargins left="0.70866141732283472" right="0.70866141732283472" top="0.39370078740157483" bottom="0.39370078740157483" header="0.31496062992125984" footer="0.31496062992125984"/>
  <pageSetup paperSize="5" scale="80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44"/>
  <sheetViews>
    <sheetView zoomScale="60" zoomScaleNormal="60" workbookViewId="0">
      <pane xSplit="5" ySplit="1" topLeftCell="F59" activePane="bottomRight" state="frozen"/>
      <selection activeCell="A60" sqref="A60:XFD60"/>
      <selection pane="topRight" activeCell="A60" sqref="A60:XFD60"/>
      <selection pane="bottomLeft" activeCell="A60" sqref="A60:XFD60"/>
      <selection pane="bottomRight" activeCell="N73" sqref="N73:N75"/>
    </sheetView>
  </sheetViews>
  <sheetFormatPr defaultRowHeight="15" x14ac:dyDescent="0.25"/>
  <cols>
    <col min="1" max="1" width="4.85546875" customWidth="1"/>
    <col min="2" max="2" width="11.5703125" customWidth="1"/>
    <col min="3" max="3" width="14.28515625" customWidth="1"/>
    <col min="4" max="4" width="17.5703125" bestFit="1" customWidth="1"/>
    <col min="5" max="5" width="6.28515625" customWidth="1"/>
    <col min="6" max="6" width="9.85546875" customWidth="1"/>
    <col min="9" max="18" width="9.140625" customWidth="1"/>
  </cols>
  <sheetData>
    <row r="1" spans="1:26" ht="15.75" x14ac:dyDescent="0.25">
      <c r="A1" s="1" t="s">
        <v>0</v>
      </c>
    </row>
    <row r="2" spans="1:26" ht="15.75" x14ac:dyDescent="0.25">
      <c r="A2" s="1" t="s">
        <v>89</v>
      </c>
    </row>
    <row r="3" spans="1:26" x14ac:dyDescent="0.25">
      <c r="A3" s="78" t="s">
        <v>1</v>
      </c>
      <c r="B3" s="78" t="s">
        <v>2</v>
      </c>
      <c r="C3" s="72" t="s">
        <v>3</v>
      </c>
      <c r="D3" s="72" t="s">
        <v>4</v>
      </c>
      <c r="E3" s="75" t="s">
        <v>5</v>
      </c>
      <c r="F3" s="72" t="s">
        <v>6</v>
      </c>
      <c r="G3" s="72" t="s">
        <v>7</v>
      </c>
      <c r="H3" s="72" t="s">
        <v>8</v>
      </c>
      <c r="I3" s="75" t="s">
        <v>9</v>
      </c>
      <c r="J3" s="72" t="s">
        <v>10</v>
      </c>
      <c r="K3" s="72" t="s">
        <v>11</v>
      </c>
      <c r="L3" s="72" t="s">
        <v>12</v>
      </c>
      <c r="M3" s="72" t="s">
        <v>13</v>
      </c>
      <c r="N3" s="72" t="s">
        <v>14</v>
      </c>
      <c r="O3" s="72" t="s">
        <v>15</v>
      </c>
      <c r="P3" s="72" t="s">
        <v>16</v>
      </c>
      <c r="Q3" s="72" t="s">
        <v>17</v>
      </c>
      <c r="R3" s="72" t="s">
        <v>18</v>
      </c>
      <c r="S3" s="72" t="s">
        <v>19</v>
      </c>
      <c r="T3" s="72" t="s">
        <v>20</v>
      </c>
      <c r="U3" s="73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</row>
    <row r="4" spans="1:26" x14ac:dyDescent="0.25">
      <c r="A4" s="78"/>
      <c r="B4" s="78"/>
      <c r="C4" s="72"/>
      <c r="D4" s="72"/>
      <c r="E4" s="75"/>
      <c r="F4" s="72"/>
      <c r="G4" s="72"/>
      <c r="H4" s="72"/>
      <c r="I4" s="75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3"/>
      <c r="V4" s="71" t="s">
        <v>27</v>
      </c>
      <c r="W4" s="71" t="s">
        <v>28</v>
      </c>
      <c r="X4" s="71" t="s">
        <v>29</v>
      </c>
      <c r="Y4" s="71" t="s">
        <v>30</v>
      </c>
      <c r="Z4" s="71" t="s">
        <v>31</v>
      </c>
    </row>
    <row r="5" spans="1:26" x14ac:dyDescent="0.25">
      <c r="A5" s="78"/>
      <c r="B5" s="78"/>
      <c r="C5" s="72"/>
      <c r="D5" s="72"/>
      <c r="E5" s="75"/>
      <c r="F5" s="72"/>
      <c r="G5" s="72"/>
      <c r="H5" s="72"/>
      <c r="I5" s="75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3"/>
      <c r="V5" s="74"/>
      <c r="W5" s="71"/>
      <c r="X5" s="71"/>
      <c r="Y5" s="71"/>
      <c r="Z5" s="71"/>
    </row>
    <row r="6" spans="1:26" x14ac:dyDescent="0.25">
      <c r="A6" s="78"/>
      <c r="B6" s="78"/>
      <c r="C6" s="72"/>
      <c r="D6" s="72"/>
      <c r="E6" s="75"/>
      <c r="F6" s="72"/>
      <c r="G6" s="3">
        <v>1</v>
      </c>
      <c r="H6" s="3">
        <v>2</v>
      </c>
      <c r="I6" s="3">
        <v>3</v>
      </c>
      <c r="J6" s="3">
        <v>4</v>
      </c>
      <c r="K6" s="3">
        <v>5</v>
      </c>
      <c r="L6" s="3">
        <v>6</v>
      </c>
      <c r="M6" s="3">
        <v>7</v>
      </c>
      <c r="N6" s="3">
        <v>8</v>
      </c>
      <c r="O6" s="3">
        <v>9</v>
      </c>
      <c r="P6" s="3">
        <v>10</v>
      </c>
      <c r="Q6" s="3">
        <v>11</v>
      </c>
      <c r="R6" s="3">
        <v>12</v>
      </c>
      <c r="S6" s="3">
        <v>13</v>
      </c>
      <c r="T6" s="3">
        <v>14</v>
      </c>
      <c r="U6" s="73"/>
      <c r="V6" s="16">
        <v>15</v>
      </c>
      <c r="W6" s="16">
        <v>16</v>
      </c>
      <c r="X6" s="16">
        <v>17</v>
      </c>
      <c r="Y6" s="16">
        <v>18</v>
      </c>
      <c r="Z6" s="16">
        <v>19</v>
      </c>
    </row>
    <row r="7" spans="1:26" ht="15.75" x14ac:dyDescent="0.25">
      <c r="A7" s="76">
        <v>1</v>
      </c>
      <c r="B7" s="96" t="s">
        <v>62</v>
      </c>
      <c r="C7" s="4" t="s">
        <v>63</v>
      </c>
      <c r="D7" s="4" t="s">
        <v>43</v>
      </c>
      <c r="E7" s="4">
        <v>30</v>
      </c>
      <c r="F7" s="4">
        <v>14</v>
      </c>
      <c r="G7" s="4">
        <v>10</v>
      </c>
      <c r="H7" s="4">
        <v>11</v>
      </c>
      <c r="I7" s="4">
        <v>111</v>
      </c>
      <c r="J7" s="5">
        <v>132</v>
      </c>
      <c r="K7" s="4">
        <v>103</v>
      </c>
      <c r="L7" s="4">
        <v>0</v>
      </c>
      <c r="M7" s="5">
        <v>18</v>
      </c>
      <c r="N7" s="4">
        <v>5</v>
      </c>
      <c r="O7" s="4">
        <v>13</v>
      </c>
      <c r="P7" s="5">
        <v>121</v>
      </c>
      <c r="Q7" s="4">
        <v>114</v>
      </c>
      <c r="R7" s="4">
        <v>0</v>
      </c>
      <c r="S7" s="4">
        <v>305</v>
      </c>
      <c r="T7" s="5">
        <v>11</v>
      </c>
      <c r="U7" s="5">
        <v>18</v>
      </c>
      <c r="V7" s="7">
        <v>10.166666666666666</v>
      </c>
      <c r="W7" s="7">
        <v>72.61904761904762</v>
      </c>
      <c r="X7" s="7">
        <v>16.944444444444443</v>
      </c>
      <c r="Y7" s="6">
        <v>6.3888888888888893</v>
      </c>
      <c r="Z7" s="7">
        <v>1.2857142857142858</v>
      </c>
    </row>
    <row r="8" spans="1:26" ht="15.75" x14ac:dyDescent="0.25">
      <c r="A8" s="77"/>
      <c r="B8" s="97"/>
      <c r="C8" s="8" t="s">
        <v>63</v>
      </c>
      <c r="D8" s="8" t="s">
        <v>43</v>
      </c>
      <c r="E8" s="4">
        <v>30</v>
      </c>
      <c r="F8" s="8">
        <v>14</v>
      </c>
      <c r="G8" s="8">
        <v>10</v>
      </c>
      <c r="H8" s="8">
        <v>11</v>
      </c>
      <c r="I8" s="8">
        <v>111</v>
      </c>
      <c r="J8" s="8">
        <v>132</v>
      </c>
      <c r="K8" s="8">
        <v>103</v>
      </c>
      <c r="L8" s="8">
        <v>0</v>
      </c>
      <c r="M8" s="8">
        <v>18</v>
      </c>
      <c r="N8" s="8">
        <v>5</v>
      </c>
      <c r="O8" s="8">
        <v>13</v>
      </c>
      <c r="P8" s="8">
        <v>121</v>
      </c>
      <c r="Q8" s="8">
        <v>114</v>
      </c>
      <c r="R8" s="8">
        <v>0</v>
      </c>
      <c r="S8" s="8">
        <v>305</v>
      </c>
      <c r="T8" s="8">
        <v>11</v>
      </c>
      <c r="U8" s="8">
        <v>18</v>
      </c>
      <c r="V8" s="24">
        <v>10.166666666666666</v>
      </c>
      <c r="W8" s="24">
        <v>72.61904761904762</v>
      </c>
      <c r="X8" s="24">
        <v>16.944444444444443</v>
      </c>
      <c r="Y8" s="24">
        <v>6.3888888888888893</v>
      </c>
      <c r="Z8" s="24">
        <v>1.2857142857142858</v>
      </c>
    </row>
    <row r="9" spans="1:26" ht="15.75" x14ac:dyDescent="0.25">
      <c r="A9" s="76">
        <v>2</v>
      </c>
      <c r="B9" s="97"/>
      <c r="C9" s="4" t="s">
        <v>64</v>
      </c>
      <c r="D9" s="4" t="s">
        <v>43</v>
      </c>
      <c r="E9" s="4">
        <v>30</v>
      </c>
      <c r="F9" s="4">
        <v>5</v>
      </c>
      <c r="G9" s="4">
        <v>5</v>
      </c>
      <c r="H9" s="4">
        <v>64</v>
      </c>
      <c r="I9" s="4">
        <v>8</v>
      </c>
      <c r="J9" s="5">
        <v>77</v>
      </c>
      <c r="K9" s="4">
        <v>65</v>
      </c>
      <c r="L9" s="4">
        <v>0</v>
      </c>
      <c r="M9" s="5">
        <v>9</v>
      </c>
      <c r="N9" s="4">
        <v>8</v>
      </c>
      <c r="O9" s="4">
        <v>1</v>
      </c>
      <c r="P9" s="5">
        <v>74</v>
      </c>
      <c r="Q9" s="4">
        <v>13</v>
      </c>
      <c r="R9" s="4">
        <v>3</v>
      </c>
      <c r="S9" s="4">
        <v>105</v>
      </c>
      <c r="T9" s="5">
        <v>3</v>
      </c>
      <c r="U9" s="5">
        <v>9</v>
      </c>
      <c r="V9" s="7">
        <v>3.5</v>
      </c>
      <c r="W9" s="7">
        <v>70</v>
      </c>
      <c r="X9" s="7">
        <v>11.666666666666666</v>
      </c>
      <c r="Y9" s="6">
        <v>5</v>
      </c>
      <c r="Z9" s="7">
        <v>1.8</v>
      </c>
    </row>
    <row r="10" spans="1:26" ht="15.75" x14ac:dyDescent="0.25">
      <c r="A10" s="77"/>
      <c r="B10" s="97"/>
      <c r="C10" s="8" t="s">
        <v>64</v>
      </c>
      <c r="D10" s="8" t="s">
        <v>43</v>
      </c>
      <c r="E10" s="4">
        <v>30</v>
      </c>
      <c r="F10" s="8">
        <v>5</v>
      </c>
      <c r="G10" s="8">
        <v>5</v>
      </c>
      <c r="H10" s="8">
        <v>64</v>
      </c>
      <c r="I10" s="8">
        <v>8</v>
      </c>
      <c r="J10" s="8">
        <v>77</v>
      </c>
      <c r="K10" s="8">
        <v>65</v>
      </c>
      <c r="L10" s="8">
        <v>0</v>
      </c>
      <c r="M10" s="8">
        <v>9</v>
      </c>
      <c r="N10" s="8">
        <v>8</v>
      </c>
      <c r="O10" s="8">
        <v>1</v>
      </c>
      <c r="P10" s="8">
        <v>74</v>
      </c>
      <c r="Q10" s="8">
        <v>13</v>
      </c>
      <c r="R10" s="8">
        <v>3</v>
      </c>
      <c r="S10" s="8">
        <v>105</v>
      </c>
      <c r="T10" s="8">
        <v>3</v>
      </c>
      <c r="U10" s="8">
        <v>9</v>
      </c>
      <c r="V10" s="24">
        <v>3.5</v>
      </c>
      <c r="W10" s="24">
        <v>70</v>
      </c>
      <c r="X10" s="24">
        <v>11.666666666666666</v>
      </c>
      <c r="Y10" s="24">
        <v>5</v>
      </c>
      <c r="Z10" s="24">
        <v>1.8</v>
      </c>
    </row>
    <row r="11" spans="1:26" ht="15.75" x14ac:dyDescent="0.25">
      <c r="A11" s="76">
        <v>3</v>
      </c>
      <c r="B11" s="97"/>
      <c r="C11" s="4" t="s">
        <v>65</v>
      </c>
      <c r="D11" s="4" t="s">
        <v>43</v>
      </c>
      <c r="E11" s="4">
        <v>30</v>
      </c>
      <c r="F11" s="4">
        <v>3</v>
      </c>
      <c r="G11" s="4">
        <v>3</v>
      </c>
      <c r="H11" s="4">
        <v>4</v>
      </c>
      <c r="I11" s="4">
        <v>18</v>
      </c>
      <c r="J11" s="5">
        <v>25</v>
      </c>
      <c r="K11" s="4">
        <v>20</v>
      </c>
      <c r="L11" s="4">
        <v>0</v>
      </c>
      <c r="M11" s="5">
        <v>4</v>
      </c>
      <c r="N11" s="4">
        <v>1</v>
      </c>
      <c r="O11" s="4">
        <v>3</v>
      </c>
      <c r="P11" s="5">
        <v>24</v>
      </c>
      <c r="Q11" s="4">
        <v>23</v>
      </c>
      <c r="R11" s="4">
        <v>0</v>
      </c>
      <c r="S11" s="4">
        <v>67</v>
      </c>
      <c r="T11" s="5">
        <v>1</v>
      </c>
      <c r="U11" s="5">
        <v>4</v>
      </c>
      <c r="V11" s="7">
        <v>2.2333333333333334</v>
      </c>
      <c r="W11" s="7">
        <v>74.444444444444443</v>
      </c>
      <c r="X11" s="7">
        <v>16.75</v>
      </c>
      <c r="Y11" s="6">
        <v>5.75</v>
      </c>
      <c r="Z11" s="7">
        <v>1.3333333333333333</v>
      </c>
    </row>
    <row r="12" spans="1:26" ht="15.75" x14ac:dyDescent="0.25">
      <c r="A12" s="77"/>
      <c r="B12" s="97"/>
      <c r="C12" s="8" t="s">
        <v>65</v>
      </c>
      <c r="D12" s="8" t="s">
        <v>43</v>
      </c>
      <c r="E12" s="4">
        <v>30</v>
      </c>
      <c r="F12" s="8">
        <v>3</v>
      </c>
      <c r="G12" s="8">
        <v>3</v>
      </c>
      <c r="H12" s="8">
        <v>4</v>
      </c>
      <c r="I12" s="8">
        <v>18</v>
      </c>
      <c r="J12" s="8">
        <v>25</v>
      </c>
      <c r="K12" s="8">
        <v>20</v>
      </c>
      <c r="L12" s="8">
        <v>0</v>
      </c>
      <c r="M12" s="8">
        <v>4</v>
      </c>
      <c r="N12" s="8">
        <v>1</v>
      </c>
      <c r="O12" s="8">
        <v>3</v>
      </c>
      <c r="P12" s="8">
        <v>24</v>
      </c>
      <c r="Q12" s="8">
        <v>23</v>
      </c>
      <c r="R12" s="8">
        <v>0</v>
      </c>
      <c r="S12" s="8">
        <v>67</v>
      </c>
      <c r="T12" s="8">
        <v>1</v>
      </c>
      <c r="U12" s="8">
        <v>4</v>
      </c>
      <c r="V12" s="24">
        <v>2.2333333333333334</v>
      </c>
      <c r="W12" s="24">
        <v>74.444444444444443</v>
      </c>
      <c r="X12" s="24">
        <v>16.75</v>
      </c>
      <c r="Y12" s="24">
        <v>5.75</v>
      </c>
      <c r="Z12" s="24">
        <v>1.3333333333333333</v>
      </c>
    </row>
    <row r="13" spans="1:26" ht="15.75" x14ac:dyDescent="0.25">
      <c r="A13" s="76">
        <v>4</v>
      </c>
      <c r="B13" s="97"/>
      <c r="C13" s="5" t="s">
        <v>66</v>
      </c>
      <c r="D13" s="5" t="s">
        <v>43</v>
      </c>
      <c r="E13" s="4">
        <v>30</v>
      </c>
      <c r="F13" s="5">
        <v>5</v>
      </c>
      <c r="G13" s="5">
        <v>5</v>
      </c>
      <c r="H13" s="5">
        <v>17</v>
      </c>
      <c r="I13" s="5">
        <v>18</v>
      </c>
      <c r="J13" s="5">
        <v>40</v>
      </c>
      <c r="K13" s="5">
        <v>21</v>
      </c>
      <c r="L13" s="5">
        <v>0</v>
      </c>
      <c r="M13" s="5">
        <v>15</v>
      </c>
      <c r="N13" s="5">
        <v>7</v>
      </c>
      <c r="O13" s="5">
        <v>8</v>
      </c>
      <c r="P13" s="5">
        <v>36</v>
      </c>
      <c r="Q13" s="5">
        <v>93</v>
      </c>
      <c r="R13" s="5">
        <v>4</v>
      </c>
      <c r="S13" s="5">
        <v>126</v>
      </c>
      <c r="T13" s="5">
        <v>4</v>
      </c>
      <c r="U13" s="5">
        <v>15</v>
      </c>
      <c r="V13" s="7">
        <v>4.2</v>
      </c>
      <c r="W13" s="7">
        <v>84.000000000000014</v>
      </c>
      <c r="X13" s="7">
        <v>8.4</v>
      </c>
      <c r="Y13" s="6">
        <v>1.5999999999999994</v>
      </c>
      <c r="Z13" s="7">
        <v>3</v>
      </c>
    </row>
    <row r="14" spans="1:26" ht="15.75" x14ac:dyDescent="0.25">
      <c r="A14" s="77"/>
      <c r="B14" s="97"/>
      <c r="C14" s="8" t="s">
        <v>66</v>
      </c>
      <c r="D14" s="8" t="s">
        <v>43</v>
      </c>
      <c r="E14" s="4">
        <v>30</v>
      </c>
      <c r="F14" s="8">
        <v>5</v>
      </c>
      <c r="G14" s="8">
        <v>5</v>
      </c>
      <c r="H14" s="8">
        <v>17</v>
      </c>
      <c r="I14" s="8">
        <v>18</v>
      </c>
      <c r="J14" s="8">
        <v>40</v>
      </c>
      <c r="K14" s="8">
        <v>21</v>
      </c>
      <c r="L14" s="8">
        <v>0</v>
      </c>
      <c r="M14" s="8">
        <v>15</v>
      </c>
      <c r="N14" s="8">
        <v>7</v>
      </c>
      <c r="O14" s="8">
        <v>8</v>
      </c>
      <c r="P14" s="8">
        <v>36</v>
      </c>
      <c r="Q14" s="8">
        <v>93</v>
      </c>
      <c r="R14" s="8">
        <v>4</v>
      </c>
      <c r="S14" s="8">
        <v>126</v>
      </c>
      <c r="T14" s="8">
        <v>4</v>
      </c>
      <c r="U14" s="8">
        <v>15</v>
      </c>
      <c r="V14" s="24">
        <v>4.2</v>
      </c>
      <c r="W14" s="24">
        <v>84.000000000000014</v>
      </c>
      <c r="X14" s="24">
        <v>8.4</v>
      </c>
      <c r="Y14" s="24">
        <v>1.5999999999999994</v>
      </c>
      <c r="Z14" s="24">
        <v>3</v>
      </c>
    </row>
    <row r="15" spans="1:26" ht="15.75" x14ac:dyDescent="0.25">
      <c r="A15" s="76">
        <v>5</v>
      </c>
      <c r="B15" s="97"/>
      <c r="C15" s="5" t="s">
        <v>67</v>
      </c>
      <c r="D15" s="5" t="s">
        <v>43</v>
      </c>
      <c r="E15" s="4">
        <v>30</v>
      </c>
      <c r="F15" s="5">
        <v>4</v>
      </c>
      <c r="G15" s="5">
        <v>1</v>
      </c>
      <c r="H15" s="5">
        <v>21</v>
      </c>
      <c r="I15" s="5">
        <v>9</v>
      </c>
      <c r="J15" s="5">
        <v>31</v>
      </c>
      <c r="K15" s="5">
        <v>20</v>
      </c>
      <c r="L15" s="5">
        <v>0</v>
      </c>
      <c r="M15" s="5">
        <v>8</v>
      </c>
      <c r="N15" s="5">
        <v>5</v>
      </c>
      <c r="O15" s="5">
        <v>3</v>
      </c>
      <c r="P15" s="5">
        <v>28</v>
      </c>
      <c r="Q15" s="5">
        <v>39</v>
      </c>
      <c r="R15" s="5">
        <v>3</v>
      </c>
      <c r="S15" s="5">
        <v>71</v>
      </c>
      <c r="T15" s="5">
        <v>3</v>
      </c>
      <c r="U15" s="5">
        <v>8</v>
      </c>
      <c r="V15" s="7">
        <v>2.3666666666666667</v>
      </c>
      <c r="W15" s="7">
        <v>59.166666666666664</v>
      </c>
      <c r="X15" s="7">
        <v>8.875</v>
      </c>
      <c r="Y15" s="6">
        <v>6.125</v>
      </c>
      <c r="Z15" s="7">
        <v>2</v>
      </c>
    </row>
    <row r="16" spans="1:26" ht="15.75" x14ac:dyDescent="0.25">
      <c r="A16" s="77"/>
      <c r="B16" s="97"/>
      <c r="C16" s="8" t="s">
        <v>67</v>
      </c>
      <c r="D16" s="8" t="s">
        <v>43</v>
      </c>
      <c r="E16" s="4">
        <v>30</v>
      </c>
      <c r="F16" s="8">
        <v>4</v>
      </c>
      <c r="G16" s="8">
        <v>1</v>
      </c>
      <c r="H16" s="8">
        <v>21</v>
      </c>
      <c r="I16" s="8">
        <v>9</v>
      </c>
      <c r="J16" s="8">
        <v>31</v>
      </c>
      <c r="K16" s="8">
        <v>20</v>
      </c>
      <c r="L16" s="8">
        <v>0</v>
      </c>
      <c r="M16" s="8">
        <v>8</v>
      </c>
      <c r="N16" s="8">
        <v>5</v>
      </c>
      <c r="O16" s="8">
        <v>3</v>
      </c>
      <c r="P16" s="8">
        <v>28</v>
      </c>
      <c r="Q16" s="8">
        <v>39</v>
      </c>
      <c r="R16" s="8">
        <v>3</v>
      </c>
      <c r="S16" s="8">
        <v>71</v>
      </c>
      <c r="T16" s="8">
        <v>3</v>
      </c>
      <c r="U16" s="8">
        <v>8</v>
      </c>
      <c r="V16" s="24">
        <v>2.3666666666666667</v>
      </c>
      <c r="W16" s="24">
        <v>59.166666666666664</v>
      </c>
      <c r="X16" s="24">
        <v>8.875</v>
      </c>
      <c r="Y16" s="24">
        <v>6.125</v>
      </c>
      <c r="Z16" s="24">
        <v>2</v>
      </c>
    </row>
    <row r="17" spans="1:26" ht="15.75" x14ac:dyDescent="0.25">
      <c r="A17" s="76">
        <v>6</v>
      </c>
      <c r="B17" s="97"/>
      <c r="C17" s="5" t="s">
        <v>58</v>
      </c>
      <c r="D17" s="5" t="s">
        <v>43</v>
      </c>
      <c r="E17" s="4">
        <v>30</v>
      </c>
      <c r="F17" s="5">
        <v>2</v>
      </c>
      <c r="G17" s="5">
        <v>1</v>
      </c>
      <c r="H17" s="5">
        <v>10</v>
      </c>
      <c r="I17" s="5">
        <v>4</v>
      </c>
      <c r="J17" s="5">
        <v>15</v>
      </c>
      <c r="K17" s="5">
        <v>8</v>
      </c>
      <c r="L17" s="5">
        <v>0</v>
      </c>
      <c r="M17" s="5">
        <v>6</v>
      </c>
      <c r="N17" s="5">
        <v>2</v>
      </c>
      <c r="O17" s="5">
        <v>4</v>
      </c>
      <c r="P17" s="5">
        <v>14</v>
      </c>
      <c r="Q17" s="5">
        <v>20</v>
      </c>
      <c r="R17" s="5">
        <v>0</v>
      </c>
      <c r="S17" s="5">
        <v>36</v>
      </c>
      <c r="T17" s="5">
        <v>1</v>
      </c>
      <c r="U17" s="5">
        <v>6</v>
      </c>
      <c r="V17" s="13">
        <v>1.2</v>
      </c>
      <c r="W17" s="13">
        <v>60</v>
      </c>
      <c r="X17" s="13">
        <v>6</v>
      </c>
      <c r="Y17" s="14">
        <v>4</v>
      </c>
      <c r="Z17" s="13">
        <v>3</v>
      </c>
    </row>
    <row r="18" spans="1:26" ht="15.75" x14ac:dyDescent="0.25">
      <c r="A18" s="77"/>
      <c r="B18" s="97"/>
      <c r="C18" s="8" t="s">
        <v>58</v>
      </c>
      <c r="D18" s="8"/>
      <c r="E18" s="4">
        <v>30</v>
      </c>
      <c r="F18" s="8">
        <v>2</v>
      </c>
      <c r="G18" s="8">
        <v>1</v>
      </c>
      <c r="H18" s="8">
        <v>10</v>
      </c>
      <c r="I18" s="8">
        <v>4</v>
      </c>
      <c r="J18" s="8">
        <v>15</v>
      </c>
      <c r="K18" s="8">
        <v>8</v>
      </c>
      <c r="L18" s="8">
        <v>0</v>
      </c>
      <c r="M18" s="8">
        <v>6</v>
      </c>
      <c r="N18" s="8">
        <v>2</v>
      </c>
      <c r="O18" s="8">
        <v>4</v>
      </c>
      <c r="P18" s="8">
        <v>14</v>
      </c>
      <c r="Q18" s="8">
        <v>20</v>
      </c>
      <c r="R18" s="8">
        <v>0</v>
      </c>
      <c r="S18" s="8">
        <v>36</v>
      </c>
      <c r="T18" s="8">
        <v>1</v>
      </c>
      <c r="U18" s="8">
        <v>6</v>
      </c>
      <c r="V18" s="26">
        <v>1.2</v>
      </c>
      <c r="W18" s="26">
        <v>60</v>
      </c>
      <c r="X18" s="26">
        <v>6</v>
      </c>
      <c r="Y18" s="26">
        <v>4</v>
      </c>
      <c r="Z18" s="26">
        <v>3</v>
      </c>
    </row>
    <row r="19" spans="1:26" ht="15.75" x14ac:dyDescent="0.25">
      <c r="A19" s="76">
        <v>7</v>
      </c>
      <c r="B19" s="97"/>
      <c r="C19" s="5" t="s">
        <v>73</v>
      </c>
      <c r="D19" s="5" t="s">
        <v>36</v>
      </c>
      <c r="E19" s="4">
        <v>30</v>
      </c>
      <c r="F19" s="5">
        <v>15</v>
      </c>
      <c r="G19" s="5">
        <v>14</v>
      </c>
      <c r="H19" s="5">
        <v>97</v>
      </c>
      <c r="I19" s="5">
        <v>26</v>
      </c>
      <c r="J19" s="5">
        <v>137</v>
      </c>
      <c r="K19" s="5">
        <v>21</v>
      </c>
      <c r="L19" s="5">
        <v>86</v>
      </c>
      <c r="M19" s="5">
        <v>16</v>
      </c>
      <c r="N19" s="5">
        <v>10</v>
      </c>
      <c r="O19" s="5">
        <v>6</v>
      </c>
      <c r="P19" s="5">
        <v>123</v>
      </c>
      <c r="Q19" s="5">
        <v>624</v>
      </c>
      <c r="R19" s="5">
        <v>1</v>
      </c>
      <c r="S19" s="5">
        <v>419</v>
      </c>
      <c r="T19" s="5">
        <v>14</v>
      </c>
      <c r="U19" s="5">
        <v>102</v>
      </c>
      <c r="V19" s="7">
        <v>13.966666666666667</v>
      </c>
      <c r="W19" s="7">
        <v>93.111111111111114</v>
      </c>
      <c r="X19" s="7">
        <v>4.1078431372549016</v>
      </c>
      <c r="Y19" s="6">
        <v>0.30392156862745096</v>
      </c>
      <c r="Z19" s="7">
        <v>6.8</v>
      </c>
    </row>
    <row r="20" spans="1:26" ht="15.75" x14ac:dyDescent="0.25">
      <c r="A20" s="77"/>
      <c r="B20" s="99"/>
      <c r="C20" s="8" t="s">
        <v>73</v>
      </c>
      <c r="D20" s="8" t="s">
        <v>36</v>
      </c>
      <c r="E20" s="4">
        <v>30</v>
      </c>
      <c r="F20" s="8">
        <v>15</v>
      </c>
      <c r="G20" s="8">
        <v>14</v>
      </c>
      <c r="H20" s="8">
        <v>97</v>
      </c>
      <c r="I20" s="8">
        <v>26</v>
      </c>
      <c r="J20" s="8">
        <v>137</v>
      </c>
      <c r="K20" s="8">
        <v>21</v>
      </c>
      <c r="L20" s="8">
        <v>86</v>
      </c>
      <c r="M20" s="8">
        <v>16</v>
      </c>
      <c r="N20" s="8">
        <v>10</v>
      </c>
      <c r="O20" s="8">
        <v>6</v>
      </c>
      <c r="P20" s="8">
        <v>123</v>
      </c>
      <c r="Q20" s="8">
        <v>624</v>
      </c>
      <c r="R20" s="8">
        <v>1</v>
      </c>
      <c r="S20" s="8">
        <v>419</v>
      </c>
      <c r="T20" s="8">
        <v>14</v>
      </c>
      <c r="U20" s="8">
        <v>102</v>
      </c>
      <c r="V20" s="24">
        <v>13.966666666666667</v>
      </c>
      <c r="W20" s="24">
        <v>93.111111111111114</v>
      </c>
      <c r="X20" s="24">
        <v>4.1078431372549016</v>
      </c>
      <c r="Y20" s="24">
        <v>0.30392156862745096</v>
      </c>
      <c r="Z20" s="24">
        <v>6.8</v>
      </c>
    </row>
    <row r="21" spans="1:26" ht="15.75" x14ac:dyDescent="0.25">
      <c r="A21" s="79" t="s">
        <v>69</v>
      </c>
      <c r="B21" s="80"/>
      <c r="C21" s="80"/>
      <c r="D21" s="81"/>
      <c r="E21" s="4">
        <v>30</v>
      </c>
      <c r="F21" s="20">
        <v>48</v>
      </c>
      <c r="G21" s="20">
        <v>39</v>
      </c>
      <c r="H21" s="20">
        <v>224</v>
      </c>
      <c r="I21" s="20">
        <v>194</v>
      </c>
      <c r="J21" s="11">
        <v>457</v>
      </c>
      <c r="K21" s="20">
        <v>258</v>
      </c>
      <c r="L21" s="20">
        <v>86</v>
      </c>
      <c r="M21" s="11">
        <v>76</v>
      </c>
      <c r="N21" s="20">
        <v>38</v>
      </c>
      <c r="O21" s="20">
        <v>38</v>
      </c>
      <c r="P21" s="11">
        <v>420</v>
      </c>
      <c r="Q21" s="20">
        <v>926</v>
      </c>
      <c r="R21" s="20">
        <v>11</v>
      </c>
      <c r="S21" s="20">
        <v>1129</v>
      </c>
      <c r="T21" s="11">
        <v>37</v>
      </c>
      <c r="U21" s="11">
        <v>162</v>
      </c>
      <c r="V21" s="22">
        <v>37.633333333333333</v>
      </c>
      <c r="W21" s="12">
        <v>78.402777777777771</v>
      </c>
      <c r="X21" s="12">
        <v>6.9691358024691361</v>
      </c>
      <c r="Y21" s="12">
        <v>1.9197530864197532</v>
      </c>
      <c r="Z21" s="12">
        <v>3.375</v>
      </c>
    </row>
    <row r="24" spans="1:26" x14ac:dyDescent="0.25">
      <c r="A24" s="78" t="s">
        <v>1</v>
      </c>
      <c r="B24" s="78" t="s">
        <v>2</v>
      </c>
      <c r="C24" s="72" t="s">
        <v>3</v>
      </c>
      <c r="D24" s="72" t="s">
        <v>4</v>
      </c>
      <c r="E24" s="75" t="s">
        <v>5</v>
      </c>
      <c r="F24" s="72" t="s">
        <v>6</v>
      </c>
      <c r="G24" s="72" t="s">
        <v>7</v>
      </c>
      <c r="H24" s="72" t="s">
        <v>8</v>
      </c>
      <c r="I24" s="75" t="s">
        <v>9</v>
      </c>
      <c r="J24" s="72" t="s">
        <v>10</v>
      </c>
      <c r="K24" s="72" t="s">
        <v>11</v>
      </c>
      <c r="L24" s="72" t="s">
        <v>12</v>
      </c>
      <c r="M24" s="72" t="s">
        <v>13</v>
      </c>
      <c r="N24" s="72" t="s">
        <v>14</v>
      </c>
      <c r="O24" s="72" t="s">
        <v>15</v>
      </c>
      <c r="P24" s="72" t="s">
        <v>16</v>
      </c>
      <c r="Q24" s="72" t="s">
        <v>17</v>
      </c>
      <c r="R24" s="72" t="s">
        <v>18</v>
      </c>
      <c r="S24" s="72" t="s">
        <v>19</v>
      </c>
      <c r="T24" s="72" t="s">
        <v>20</v>
      </c>
      <c r="U24" s="73" t="s">
        <v>21</v>
      </c>
      <c r="V24" s="2" t="s">
        <v>22</v>
      </c>
      <c r="W24" s="2" t="s">
        <v>23</v>
      </c>
      <c r="X24" s="2" t="s">
        <v>24</v>
      </c>
      <c r="Y24" s="2" t="s">
        <v>25</v>
      </c>
      <c r="Z24" s="2" t="s">
        <v>26</v>
      </c>
    </row>
    <row r="25" spans="1:26" x14ac:dyDescent="0.25">
      <c r="A25" s="78"/>
      <c r="B25" s="78"/>
      <c r="C25" s="72"/>
      <c r="D25" s="72"/>
      <c r="E25" s="75"/>
      <c r="F25" s="72"/>
      <c r="G25" s="72"/>
      <c r="H25" s="72"/>
      <c r="I25" s="75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3"/>
      <c r="V25" s="71" t="s">
        <v>27</v>
      </c>
      <c r="W25" s="71" t="s">
        <v>28</v>
      </c>
      <c r="X25" s="71" t="s">
        <v>29</v>
      </c>
      <c r="Y25" s="71" t="s">
        <v>30</v>
      </c>
      <c r="Z25" s="71" t="s">
        <v>31</v>
      </c>
    </row>
    <row r="26" spans="1:26" x14ac:dyDescent="0.25">
      <c r="A26" s="78"/>
      <c r="B26" s="78"/>
      <c r="C26" s="72"/>
      <c r="D26" s="72"/>
      <c r="E26" s="75"/>
      <c r="F26" s="72"/>
      <c r="G26" s="72"/>
      <c r="H26" s="72"/>
      <c r="I26" s="75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3"/>
      <c r="V26" s="74"/>
      <c r="W26" s="71"/>
      <c r="X26" s="71"/>
      <c r="Y26" s="71"/>
      <c r="Z26" s="71"/>
    </row>
    <row r="27" spans="1:26" x14ac:dyDescent="0.25">
      <c r="A27" s="78"/>
      <c r="B27" s="78"/>
      <c r="C27" s="72"/>
      <c r="D27" s="72"/>
      <c r="E27" s="75"/>
      <c r="F27" s="72"/>
      <c r="G27" s="3">
        <v>1</v>
      </c>
      <c r="H27" s="3">
        <v>2</v>
      </c>
      <c r="I27" s="3">
        <v>3</v>
      </c>
      <c r="J27" s="3">
        <v>4</v>
      </c>
      <c r="K27" s="3">
        <v>5</v>
      </c>
      <c r="L27" s="3">
        <v>6</v>
      </c>
      <c r="M27" s="3">
        <v>7</v>
      </c>
      <c r="N27" s="3">
        <v>8</v>
      </c>
      <c r="O27" s="3">
        <v>9</v>
      </c>
      <c r="P27" s="3">
        <v>10</v>
      </c>
      <c r="Q27" s="3">
        <v>11</v>
      </c>
      <c r="R27" s="3">
        <v>12</v>
      </c>
      <c r="S27" s="3">
        <v>13</v>
      </c>
      <c r="T27" s="3">
        <v>14</v>
      </c>
      <c r="U27" s="73"/>
      <c r="V27" s="16">
        <v>15</v>
      </c>
      <c r="W27" s="16">
        <v>16</v>
      </c>
      <c r="X27" s="16">
        <v>17</v>
      </c>
      <c r="Y27" s="16">
        <v>18</v>
      </c>
      <c r="Z27" s="16">
        <v>19</v>
      </c>
    </row>
    <row r="28" spans="1:26" ht="15.75" x14ac:dyDescent="0.25">
      <c r="A28" s="76">
        <v>1</v>
      </c>
      <c r="B28" s="96" t="s">
        <v>38</v>
      </c>
      <c r="C28" s="27" t="s">
        <v>53</v>
      </c>
      <c r="D28" s="9" t="s">
        <v>49</v>
      </c>
      <c r="E28" s="4">
        <v>30</v>
      </c>
      <c r="F28" s="4">
        <v>2</v>
      </c>
      <c r="G28" s="4">
        <v>1</v>
      </c>
      <c r="H28" s="4">
        <v>0</v>
      </c>
      <c r="I28" s="4">
        <v>1</v>
      </c>
      <c r="J28" s="5">
        <v>2</v>
      </c>
      <c r="K28" s="4">
        <v>0</v>
      </c>
      <c r="L28" s="4">
        <v>2</v>
      </c>
      <c r="M28" s="5">
        <v>0</v>
      </c>
      <c r="N28" s="4">
        <v>0</v>
      </c>
      <c r="O28" s="4">
        <v>0</v>
      </c>
      <c r="P28" s="5">
        <v>2</v>
      </c>
      <c r="Q28" s="4">
        <v>9</v>
      </c>
      <c r="R28" s="4">
        <v>0</v>
      </c>
      <c r="S28" s="4">
        <v>1</v>
      </c>
      <c r="T28" s="5">
        <v>0</v>
      </c>
      <c r="U28" s="5">
        <v>2</v>
      </c>
      <c r="V28" s="7">
        <v>3.3333333333333333E-2</v>
      </c>
      <c r="W28" s="7">
        <v>1.6666666666666667</v>
      </c>
      <c r="X28" s="7">
        <v>0.5</v>
      </c>
      <c r="Y28" s="6">
        <v>29.5</v>
      </c>
      <c r="Z28" s="7">
        <v>1</v>
      </c>
    </row>
    <row r="29" spans="1:26" ht="15.75" x14ac:dyDescent="0.25">
      <c r="A29" s="98"/>
      <c r="B29" s="97"/>
      <c r="C29" s="27" t="s">
        <v>53</v>
      </c>
      <c r="D29" s="18" t="s">
        <v>50</v>
      </c>
      <c r="E29" s="4">
        <v>30</v>
      </c>
      <c r="F29" s="4">
        <v>3</v>
      </c>
      <c r="G29" s="4">
        <v>0</v>
      </c>
      <c r="H29" s="4">
        <v>13</v>
      </c>
      <c r="I29" s="4">
        <v>1</v>
      </c>
      <c r="J29" s="8">
        <v>14</v>
      </c>
      <c r="K29" s="4">
        <v>2</v>
      </c>
      <c r="L29" s="4">
        <v>6</v>
      </c>
      <c r="M29" s="8">
        <v>5</v>
      </c>
      <c r="N29" s="4">
        <v>3</v>
      </c>
      <c r="O29" s="4">
        <v>2</v>
      </c>
      <c r="P29" s="8">
        <v>13</v>
      </c>
      <c r="Q29" s="4">
        <v>34</v>
      </c>
      <c r="R29" s="4">
        <v>0</v>
      </c>
      <c r="S29" s="4">
        <v>35</v>
      </c>
      <c r="T29" s="8">
        <v>1</v>
      </c>
      <c r="U29" s="8">
        <v>11</v>
      </c>
      <c r="V29" s="24">
        <v>1.1666666666666667</v>
      </c>
      <c r="W29" s="24">
        <v>38.888888888888893</v>
      </c>
      <c r="X29" s="24">
        <v>3.1818181818181817</v>
      </c>
      <c r="Y29" s="24">
        <v>5</v>
      </c>
      <c r="Z29" s="24">
        <v>3.6666666666666665</v>
      </c>
    </row>
    <row r="30" spans="1:26" ht="15.75" x14ac:dyDescent="0.25">
      <c r="A30" s="98"/>
      <c r="B30" s="97"/>
      <c r="C30" s="23" t="s">
        <v>53</v>
      </c>
      <c r="D30" s="18" t="s">
        <v>51</v>
      </c>
      <c r="E30" s="4">
        <v>30</v>
      </c>
      <c r="F30" s="4">
        <v>2</v>
      </c>
      <c r="G30" s="4">
        <v>0</v>
      </c>
      <c r="H30" s="4">
        <v>5</v>
      </c>
      <c r="I30" s="4">
        <v>1</v>
      </c>
      <c r="J30" s="5">
        <v>6</v>
      </c>
      <c r="K30" s="4">
        <v>1</v>
      </c>
      <c r="L30" s="4">
        <v>1</v>
      </c>
      <c r="M30" s="5">
        <v>3</v>
      </c>
      <c r="N30" s="4">
        <v>1</v>
      </c>
      <c r="O30" s="4">
        <v>2</v>
      </c>
      <c r="P30" s="5">
        <v>5</v>
      </c>
      <c r="Q30" s="4">
        <v>18</v>
      </c>
      <c r="R30" s="4">
        <v>0</v>
      </c>
      <c r="S30" s="4">
        <v>19</v>
      </c>
      <c r="T30" s="5">
        <v>1</v>
      </c>
      <c r="U30" s="5">
        <v>4</v>
      </c>
      <c r="V30" s="7">
        <v>0.6333333333333333</v>
      </c>
      <c r="W30" s="7">
        <v>31.666666666666664</v>
      </c>
      <c r="X30" s="7">
        <v>4.75</v>
      </c>
      <c r="Y30" s="6">
        <v>10.25</v>
      </c>
      <c r="Z30" s="7">
        <v>2</v>
      </c>
    </row>
    <row r="31" spans="1:26" ht="15.75" x14ac:dyDescent="0.25">
      <c r="A31" s="98"/>
      <c r="B31" s="97"/>
      <c r="C31" s="27" t="s">
        <v>53</v>
      </c>
      <c r="D31" s="18" t="s">
        <v>52</v>
      </c>
      <c r="E31" s="4">
        <v>30</v>
      </c>
      <c r="F31" s="4">
        <v>10</v>
      </c>
      <c r="G31" s="4">
        <v>5</v>
      </c>
      <c r="H31" s="4">
        <v>56</v>
      </c>
      <c r="I31" s="4">
        <v>7</v>
      </c>
      <c r="J31" s="8">
        <v>68</v>
      </c>
      <c r="K31" s="4">
        <v>6</v>
      </c>
      <c r="L31" s="4">
        <v>45</v>
      </c>
      <c r="M31" s="8">
        <v>8</v>
      </c>
      <c r="N31" s="4">
        <v>3</v>
      </c>
      <c r="O31" s="4">
        <v>5</v>
      </c>
      <c r="P31" s="8">
        <v>59</v>
      </c>
      <c r="Q31" s="4">
        <v>249</v>
      </c>
      <c r="R31" s="4">
        <v>2</v>
      </c>
      <c r="S31" s="4">
        <v>250</v>
      </c>
      <c r="T31" s="8">
        <v>9</v>
      </c>
      <c r="U31" s="8">
        <v>53</v>
      </c>
      <c r="V31" s="24">
        <v>8.3333333333333339</v>
      </c>
      <c r="W31" s="24">
        <v>83.333333333333343</v>
      </c>
      <c r="X31" s="24">
        <v>4.716981132075472</v>
      </c>
      <c r="Y31" s="24">
        <v>0.94339622641509402</v>
      </c>
      <c r="Z31" s="24">
        <v>5.3</v>
      </c>
    </row>
    <row r="32" spans="1:26" ht="15.75" x14ac:dyDescent="0.25">
      <c r="A32" s="77"/>
      <c r="B32" s="97"/>
      <c r="C32" s="8" t="s">
        <v>53</v>
      </c>
      <c r="D32" s="8"/>
      <c r="E32" s="4">
        <v>30</v>
      </c>
      <c r="F32" s="8">
        <v>17</v>
      </c>
      <c r="G32" s="8">
        <v>6</v>
      </c>
      <c r="H32" s="8">
        <v>74</v>
      </c>
      <c r="I32" s="8">
        <v>10</v>
      </c>
      <c r="J32" s="8">
        <v>90</v>
      </c>
      <c r="K32" s="8">
        <v>9</v>
      </c>
      <c r="L32" s="8">
        <v>54</v>
      </c>
      <c r="M32" s="8">
        <v>16</v>
      </c>
      <c r="N32" s="8">
        <v>7</v>
      </c>
      <c r="O32" s="8">
        <v>9</v>
      </c>
      <c r="P32" s="8">
        <v>79</v>
      </c>
      <c r="Q32" s="8">
        <v>310</v>
      </c>
      <c r="R32" s="8">
        <v>2</v>
      </c>
      <c r="S32" s="8">
        <v>305</v>
      </c>
      <c r="T32" s="8">
        <v>11</v>
      </c>
      <c r="U32" s="8">
        <v>70</v>
      </c>
      <c r="V32" s="24">
        <v>10.166666666666666</v>
      </c>
      <c r="W32" s="24">
        <v>59.803921568627452</v>
      </c>
      <c r="X32" s="24">
        <v>4.3571428571428568</v>
      </c>
      <c r="Y32" s="24">
        <v>2.9285714285714288</v>
      </c>
      <c r="Z32" s="24">
        <v>4.117647058823529</v>
      </c>
    </row>
    <row r="33" spans="1:26" ht="15.75" x14ac:dyDescent="0.25">
      <c r="A33" s="76">
        <v>2</v>
      </c>
      <c r="B33" s="97"/>
      <c r="C33" s="5" t="s">
        <v>71</v>
      </c>
      <c r="D33" s="5" t="s">
        <v>38</v>
      </c>
      <c r="E33" s="4">
        <v>30</v>
      </c>
      <c r="F33" s="5">
        <v>6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7">
        <v>0</v>
      </c>
      <c r="W33" s="7">
        <v>0</v>
      </c>
      <c r="X33" s="7" t="e">
        <v>#DIV/0!</v>
      </c>
      <c r="Y33" s="6" t="e">
        <v>#DIV/0!</v>
      </c>
      <c r="Z33" s="7">
        <v>0</v>
      </c>
    </row>
    <row r="34" spans="1:26" ht="15.75" x14ac:dyDescent="0.25">
      <c r="A34" s="77"/>
      <c r="B34" s="97"/>
      <c r="C34" s="8" t="s">
        <v>71</v>
      </c>
      <c r="D34" s="8"/>
      <c r="E34" s="4">
        <v>30</v>
      </c>
      <c r="F34" s="8">
        <v>6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24">
        <v>0</v>
      </c>
      <c r="W34" s="24">
        <v>0</v>
      </c>
      <c r="X34" s="24" t="e">
        <v>#DIV/0!</v>
      </c>
      <c r="Y34" s="24" t="e">
        <v>#DIV/0!</v>
      </c>
      <c r="Z34" s="24">
        <v>0</v>
      </c>
    </row>
    <row r="35" spans="1:26" ht="15.75" x14ac:dyDescent="0.25">
      <c r="A35" s="76">
        <v>3</v>
      </c>
      <c r="B35" s="97"/>
      <c r="C35" s="5" t="s">
        <v>55</v>
      </c>
      <c r="D35" s="5" t="s">
        <v>32</v>
      </c>
      <c r="E35" s="4">
        <v>30</v>
      </c>
      <c r="F35" s="5">
        <v>4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7">
        <v>0</v>
      </c>
      <c r="W35" s="7">
        <v>0</v>
      </c>
      <c r="X35" s="7" t="e">
        <v>#DIV/0!</v>
      </c>
      <c r="Y35" s="6" t="e">
        <v>#DIV/0!</v>
      </c>
      <c r="Z35" s="7">
        <v>0</v>
      </c>
    </row>
    <row r="36" spans="1:26" ht="15.75" x14ac:dyDescent="0.25">
      <c r="A36" s="77"/>
      <c r="B36" s="97"/>
      <c r="C36" s="8" t="s">
        <v>55</v>
      </c>
      <c r="D36" s="8"/>
      <c r="E36" s="4">
        <v>30</v>
      </c>
      <c r="F36" s="8">
        <v>4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24">
        <v>0</v>
      </c>
      <c r="W36" s="24">
        <v>0</v>
      </c>
      <c r="X36" s="24" t="e">
        <v>#DIV/0!</v>
      </c>
      <c r="Y36" s="24" t="e">
        <v>#DIV/0!</v>
      </c>
      <c r="Z36" s="24">
        <v>0</v>
      </c>
    </row>
    <row r="37" spans="1:26" ht="15.75" x14ac:dyDescent="0.25">
      <c r="A37" s="76">
        <v>4</v>
      </c>
      <c r="B37" s="97"/>
      <c r="C37" s="5" t="s">
        <v>47</v>
      </c>
      <c r="D37" s="5" t="s">
        <v>43</v>
      </c>
      <c r="E37" s="4">
        <v>30</v>
      </c>
      <c r="F37" s="5">
        <v>2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13">
        <v>0</v>
      </c>
      <c r="W37" s="13">
        <v>0</v>
      </c>
      <c r="X37" s="13" t="e">
        <v>#DIV/0!</v>
      </c>
      <c r="Y37" s="14" t="e">
        <v>#DIV/0!</v>
      </c>
      <c r="Z37" s="13">
        <v>0</v>
      </c>
    </row>
    <row r="38" spans="1:26" ht="15.75" x14ac:dyDescent="0.25">
      <c r="A38" s="77"/>
      <c r="B38" s="97"/>
      <c r="C38" s="8" t="s">
        <v>47</v>
      </c>
      <c r="D38" s="8"/>
      <c r="E38" s="4">
        <v>30</v>
      </c>
      <c r="F38" s="8">
        <v>2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26">
        <v>0</v>
      </c>
      <c r="W38" s="26">
        <v>0</v>
      </c>
      <c r="X38" s="26" t="e">
        <v>#DIV/0!</v>
      </c>
      <c r="Y38" s="26" t="e">
        <v>#DIV/0!</v>
      </c>
      <c r="Z38" s="26">
        <v>0</v>
      </c>
    </row>
    <row r="39" spans="1:26" ht="15.75" x14ac:dyDescent="0.25">
      <c r="A39" s="76">
        <v>5</v>
      </c>
      <c r="B39" s="97"/>
      <c r="C39" s="5" t="s">
        <v>40</v>
      </c>
      <c r="D39" s="5" t="s">
        <v>32</v>
      </c>
      <c r="E39" s="4">
        <v>30</v>
      </c>
      <c r="F39" s="5">
        <v>4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7">
        <v>0</v>
      </c>
      <c r="W39" s="7">
        <v>0</v>
      </c>
      <c r="X39" s="7" t="e">
        <v>#DIV/0!</v>
      </c>
      <c r="Y39" s="6" t="e">
        <v>#DIV/0!</v>
      </c>
      <c r="Z39" s="7">
        <v>0</v>
      </c>
    </row>
    <row r="40" spans="1:26" ht="15.75" x14ac:dyDescent="0.25">
      <c r="A40" s="77"/>
      <c r="B40" s="97"/>
      <c r="C40" s="8" t="s">
        <v>40</v>
      </c>
      <c r="D40" s="8"/>
      <c r="E40" s="4">
        <v>30</v>
      </c>
      <c r="F40" s="8">
        <v>4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24">
        <v>0</v>
      </c>
      <c r="W40" s="24">
        <v>0</v>
      </c>
      <c r="X40" s="24" t="e">
        <v>#DIV/0!</v>
      </c>
      <c r="Y40" s="24" t="e">
        <v>#DIV/0!</v>
      </c>
      <c r="Z40" s="24">
        <v>0</v>
      </c>
    </row>
    <row r="41" spans="1:26" ht="15.75" x14ac:dyDescent="0.25">
      <c r="A41" s="76">
        <v>6</v>
      </c>
      <c r="B41" s="97"/>
      <c r="C41" s="5" t="s">
        <v>42</v>
      </c>
      <c r="D41" s="5" t="s">
        <v>43</v>
      </c>
      <c r="E41" s="4">
        <v>30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7">
        <v>0</v>
      </c>
      <c r="W41" s="7">
        <v>0</v>
      </c>
      <c r="X41" s="7" t="e">
        <v>#DIV/0!</v>
      </c>
      <c r="Y41" s="6" t="e">
        <v>#DIV/0!</v>
      </c>
      <c r="Z41" s="7">
        <v>0</v>
      </c>
    </row>
    <row r="42" spans="1:26" ht="15.75" x14ac:dyDescent="0.25">
      <c r="A42" s="77"/>
      <c r="B42" s="97"/>
      <c r="C42" s="8" t="s">
        <v>42</v>
      </c>
      <c r="D42" s="8"/>
      <c r="E42" s="4">
        <v>30</v>
      </c>
      <c r="F42" s="8">
        <v>1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24">
        <v>0</v>
      </c>
      <c r="W42" s="24">
        <v>0</v>
      </c>
      <c r="X42" s="24" t="e">
        <v>#DIV/0!</v>
      </c>
      <c r="Y42" s="24" t="e">
        <v>#DIV/0!</v>
      </c>
      <c r="Z42" s="24">
        <v>0</v>
      </c>
    </row>
    <row r="43" spans="1:26" ht="15.75" x14ac:dyDescent="0.25">
      <c r="A43" s="76">
        <v>7</v>
      </c>
      <c r="B43" s="97"/>
      <c r="C43" s="5" t="s">
        <v>74</v>
      </c>
      <c r="D43" s="5" t="s">
        <v>32</v>
      </c>
      <c r="E43" s="4">
        <v>30</v>
      </c>
      <c r="F43" s="5">
        <v>4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7">
        <v>0</v>
      </c>
      <c r="W43" s="7">
        <v>0</v>
      </c>
      <c r="X43" s="7" t="e">
        <v>#DIV/0!</v>
      </c>
      <c r="Y43" s="6" t="e">
        <v>#DIV/0!</v>
      </c>
      <c r="Z43" s="7">
        <v>0</v>
      </c>
    </row>
    <row r="44" spans="1:26" ht="15.75" x14ac:dyDescent="0.25">
      <c r="A44" s="77"/>
      <c r="B44" s="97"/>
      <c r="C44" s="8" t="s">
        <v>74</v>
      </c>
      <c r="D44" s="8"/>
      <c r="E44" s="4">
        <v>30</v>
      </c>
      <c r="F44" s="8">
        <v>4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24">
        <v>0</v>
      </c>
      <c r="W44" s="24">
        <v>0</v>
      </c>
      <c r="X44" s="24" t="e">
        <v>#DIV/0!</v>
      </c>
      <c r="Y44" s="24" t="e">
        <v>#DIV/0!</v>
      </c>
      <c r="Z44" s="24">
        <v>0</v>
      </c>
    </row>
    <row r="45" spans="1:26" ht="15.75" x14ac:dyDescent="0.25">
      <c r="A45" s="76">
        <v>8</v>
      </c>
      <c r="B45" s="97"/>
      <c r="C45" s="4" t="s">
        <v>44</v>
      </c>
      <c r="D45" s="4" t="s">
        <v>32</v>
      </c>
      <c r="E45" s="4">
        <v>30</v>
      </c>
      <c r="F45" s="4">
        <v>1</v>
      </c>
      <c r="G45" s="4">
        <v>1</v>
      </c>
      <c r="H45" s="4">
        <v>0</v>
      </c>
      <c r="I45" s="4">
        <v>0</v>
      </c>
      <c r="J45" s="5">
        <v>1</v>
      </c>
      <c r="K45" s="4">
        <v>1</v>
      </c>
      <c r="L45" s="4">
        <v>0</v>
      </c>
      <c r="M45" s="5">
        <v>0</v>
      </c>
      <c r="N45" s="4">
        <v>0</v>
      </c>
      <c r="O45" s="4">
        <v>0</v>
      </c>
      <c r="P45" s="5">
        <v>1</v>
      </c>
      <c r="Q45" s="4">
        <v>0</v>
      </c>
      <c r="R45" s="4">
        <v>0</v>
      </c>
      <c r="S45" s="4">
        <v>0</v>
      </c>
      <c r="T45" s="5">
        <v>0</v>
      </c>
      <c r="U45" s="5">
        <v>0</v>
      </c>
      <c r="V45" s="7">
        <v>0</v>
      </c>
      <c r="W45" s="7">
        <v>0</v>
      </c>
      <c r="X45" s="7" t="e">
        <v>#DIV/0!</v>
      </c>
      <c r="Y45" s="6" t="e">
        <v>#DIV/0!</v>
      </c>
      <c r="Z45" s="7">
        <v>0</v>
      </c>
    </row>
    <row r="46" spans="1:26" ht="15.75" x14ac:dyDescent="0.25">
      <c r="A46" s="77"/>
      <c r="B46" s="97"/>
      <c r="C46" s="8" t="s">
        <v>44</v>
      </c>
      <c r="D46" s="8"/>
      <c r="E46" s="4">
        <v>30</v>
      </c>
      <c r="F46" s="8">
        <v>1</v>
      </c>
      <c r="G46" s="8">
        <v>1</v>
      </c>
      <c r="H46" s="8">
        <v>0</v>
      </c>
      <c r="I46" s="8">
        <v>0</v>
      </c>
      <c r="J46" s="8">
        <v>1</v>
      </c>
      <c r="K46" s="8">
        <v>1</v>
      </c>
      <c r="L46" s="8">
        <v>0</v>
      </c>
      <c r="M46" s="8">
        <v>0</v>
      </c>
      <c r="N46" s="8">
        <v>0</v>
      </c>
      <c r="O46" s="8">
        <v>0</v>
      </c>
      <c r="P46" s="8">
        <v>1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24">
        <v>0</v>
      </c>
      <c r="W46" s="24">
        <v>0</v>
      </c>
      <c r="X46" s="24" t="e">
        <v>#DIV/0!</v>
      </c>
      <c r="Y46" s="24" t="e">
        <v>#DIV/0!</v>
      </c>
      <c r="Z46" s="24">
        <v>0</v>
      </c>
    </row>
    <row r="47" spans="1:26" ht="15.75" x14ac:dyDescent="0.25">
      <c r="A47" s="76">
        <v>9</v>
      </c>
      <c r="B47" s="97"/>
      <c r="C47" s="4" t="s">
        <v>37</v>
      </c>
      <c r="D47" s="4" t="s">
        <v>32</v>
      </c>
      <c r="E47" s="4">
        <v>30</v>
      </c>
      <c r="F47" s="4">
        <v>5</v>
      </c>
      <c r="G47" s="4">
        <v>5</v>
      </c>
      <c r="H47" s="4">
        <v>24</v>
      </c>
      <c r="I47" s="4">
        <v>6</v>
      </c>
      <c r="J47" s="5">
        <v>35</v>
      </c>
      <c r="K47" s="4">
        <v>2</v>
      </c>
      <c r="L47" s="4">
        <v>29</v>
      </c>
      <c r="M47" s="5">
        <v>0</v>
      </c>
      <c r="N47" s="4">
        <v>0</v>
      </c>
      <c r="O47" s="4">
        <v>0</v>
      </c>
      <c r="P47" s="5">
        <v>31</v>
      </c>
      <c r="Q47" s="4">
        <v>139</v>
      </c>
      <c r="R47" s="4">
        <v>0</v>
      </c>
      <c r="S47" s="4">
        <v>116</v>
      </c>
      <c r="T47" s="5">
        <v>4</v>
      </c>
      <c r="U47" s="5">
        <v>29</v>
      </c>
      <c r="V47" s="7">
        <v>3.8666666666666667</v>
      </c>
      <c r="W47" s="7">
        <v>77.333333333333329</v>
      </c>
      <c r="X47" s="7">
        <v>4</v>
      </c>
      <c r="Y47" s="6">
        <v>1.1724137931034482</v>
      </c>
      <c r="Z47" s="7">
        <v>5.8</v>
      </c>
    </row>
    <row r="48" spans="1:26" ht="15.75" x14ac:dyDescent="0.25">
      <c r="A48" s="77"/>
      <c r="B48" s="99"/>
      <c r="C48" s="8" t="s">
        <v>37</v>
      </c>
      <c r="D48" s="8"/>
      <c r="E48" s="4">
        <v>30</v>
      </c>
      <c r="F48" s="8">
        <v>5</v>
      </c>
      <c r="G48" s="8">
        <v>5</v>
      </c>
      <c r="H48" s="8">
        <v>24</v>
      </c>
      <c r="I48" s="8">
        <v>6</v>
      </c>
      <c r="J48" s="8">
        <v>35</v>
      </c>
      <c r="K48" s="8">
        <v>2</v>
      </c>
      <c r="L48" s="8">
        <v>29</v>
      </c>
      <c r="M48" s="8">
        <v>0</v>
      </c>
      <c r="N48" s="8">
        <v>0</v>
      </c>
      <c r="O48" s="8">
        <v>0</v>
      </c>
      <c r="P48" s="8">
        <v>31</v>
      </c>
      <c r="Q48" s="8">
        <v>139</v>
      </c>
      <c r="R48" s="8">
        <v>0</v>
      </c>
      <c r="S48" s="8">
        <v>116</v>
      </c>
      <c r="T48" s="8">
        <v>4</v>
      </c>
      <c r="U48" s="8">
        <v>29</v>
      </c>
      <c r="V48" s="24">
        <v>3.8666666666666667</v>
      </c>
      <c r="W48" s="24">
        <v>77.333333333333329</v>
      </c>
      <c r="X48" s="24">
        <v>4</v>
      </c>
      <c r="Y48" s="24">
        <v>1.1724137931034482</v>
      </c>
      <c r="Z48" s="24">
        <v>5.8</v>
      </c>
    </row>
    <row r="49" spans="1:26" ht="15.75" x14ac:dyDescent="0.25">
      <c r="A49" s="79" t="s">
        <v>85</v>
      </c>
      <c r="B49" s="80"/>
      <c r="C49" s="80"/>
      <c r="D49" s="81"/>
      <c r="E49" s="4">
        <v>30</v>
      </c>
      <c r="F49" s="20">
        <v>44</v>
      </c>
      <c r="G49" s="20">
        <v>12</v>
      </c>
      <c r="H49" s="20">
        <v>98</v>
      </c>
      <c r="I49" s="20">
        <v>16</v>
      </c>
      <c r="J49" s="11">
        <v>126</v>
      </c>
      <c r="K49" s="20">
        <v>12</v>
      </c>
      <c r="L49" s="20">
        <v>83</v>
      </c>
      <c r="M49" s="11">
        <v>16</v>
      </c>
      <c r="N49" s="20">
        <v>7</v>
      </c>
      <c r="O49" s="20">
        <v>9</v>
      </c>
      <c r="P49" s="11">
        <v>111</v>
      </c>
      <c r="Q49" s="20">
        <v>449</v>
      </c>
      <c r="R49" s="20">
        <v>2</v>
      </c>
      <c r="S49" s="20">
        <v>421</v>
      </c>
      <c r="T49" s="11">
        <v>15</v>
      </c>
      <c r="U49" s="11">
        <v>99</v>
      </c>
      <c r="V49" s="22">
        <v>14.033333333333333</v>
      </c>
      <c r="W49" s="12">
        <v>31.893939393939391</v>
      </c>
      <c r="X49" s="12">
        <v>4.2525252525252526</v>
      </c>
      <c r="Y49" s="12">
        <v>9.0808080808080813</v>
      </c>
      <c r="Z49" s="12">
        <v>2.25</v>
      </c>
    </row>
    <row r="52" spans="1:26" x14ac:dyDescent="0.25">
      <c r="A52" s="78" t="s">
        <v>1</v>
      </c>
      <c r="B52" s="78" t="s">
        <v>2</v>
      </c>
      <c r="C52" s="72" t="s">
        <v>3</v>
      </c>
      <c r="D52" s="72" t="s">
        <v>4</v>
      </c>
      <c r="E52" s="75" t="s">
        <v>5</v>
      </c>
      <c r="F52" s="72" t="s">
        <v>6</v>
      </c>
      <c r="G52" s="72" t="s">
        <v>7</v>
      </c>
      <c r="H52" s="72" t="s">
        <v>8</v>
      </c>
      <c r="I52" s="75" t="s">
        <v>9</v>
      </c>
      <c r="J52" s="72" t="s">
        <v>10</v>
      </c>
      <c r="K52" s="72" t="s">
        <v>11</v>
      </c>
      <c r="L52" s="72" t="s">
        <v>12</v>
      </c>
      <c r="M52" s="72" t="s">
        <v>13</v>
      </c>
      <c r="N52" s="72" t="s">
        <v>14</v>
      </c>
      <c r="O52" s="72" t="s">
        <v>15</v>
      </c>
      <c r="P52" s="72" t="s">
        <v>16</v>
      </c>
      <c r="Q52" s="72" t="s">
        <v>17</v>
      </c>
      <c r="R52" s="72" t="s">
        <v>18</v>
      </c>
      <c r="S52" s="72" t="s">
        <v>19</v>
      </c>
      <c r="T52" s="72" t="s">
        <v>20</v>
      </c>
      <c r="U52" s="73" t="s">
        <v>21</v>
      </c>
      <c r="V52" s="2" t="s">
        <v>22</v>
      </c>
      <c r="W52" s="2" t="s">
        <v>23</v>
      </c>
      <c r="X52" s="2" t="s">
        <v>24</v>
      </c>
      <c r="Y52" s="2" t="s">
        <v>25</v>
      </c>
      <c r="Z52" s="2" t="s">
        <v>26</v>
      </c>
    </row>
    <row r="53" spans="1:26" x14ac:dyDescent="0.25">
      <c r="A53" s="78"/>
      <c r="B53" s="78"/>
      <c r="C53" s="72"/>
      <c r="D53" s="72"/>
      <c r="E53" s="75"/>
      <c r="F53" s="72"/>
      <c r="G53" s="72"/>
      <c r="H53" s="72"/>
      <c r="I53" s="75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3"/>
      <c r="V53" s="71" t="s">
        <v>27</v>
      </c>
      <c r="W53" s="71" t="s">
        <v>28</v>
      </c>
      <c r="X53" s="71" t="s">
        <v>29</v>
      </c>
      <c r="Y53" s="71" t="s">
        <v>30</v>
      </c>
      <c r="Z53" s="71" t="s">
        <v>31</v>
      </c>
    </row>
    <row r="54" spans="1:26" x14ac:dyDescent="0.25">
      <c r="A54" s="78"/>
      <c r="B54" s="78"/>
      <c r="C54" s="72"/>
      <c r="D54" s="72"/>
      <c r="E54" s="75"/>
      <c r="F54" s="72"/>
      <c r="G54" s="72"/>
      <c r="H54" s="72"/>
      <c r="I54" s="75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3"/>
      <c r="V54" s="74"/>
      <c r="W54" s="71"/>
      <c r="X54" s="71"/>
      <c r="Y54" s="71"/>
      <c r="Z54" s="71"/>
    </row>
    <row r="55" spans="1:26" x14ac:dyDescent="0.25">
      <c r="A55" s="78"/>
      <c r="B55" s="78"/>
      <c r="C55" s="72"/>
      <c r="D55" s="72"/>
      <c r="E55" s="75"/>
      <c r="F55" s="72"/>
      <c r="G55" s="3">
        <v>1</v>
      </c>
      <c r="H55" s="3">
        <v>2</v>
      </c>
      <c r="I55" s="3">
        <v>3</v>
      </c>
      <c r="J55" s="3">
        <v>4</v>
      </c>
      <c r="K55" s="3">
        <v>5</v>
      </c>
      <c r="L55" s="3">
        <v>6</v>
      </c>
      <c r="M55" s="3">
        <v>7</v>
      </c>
      <c r="N55" s="3">
        <v>8</v>
      </c>
      <c r="O55" s="3">
        <v>9</v>
      </c>
      <c r="P55" s="3">
        <v>10</v>
      </c>
      <c r="Q55" s="3">
        <v>11</v>
      </c>
      <c r="R55" s="3">
        <v>12</v>
      </c>
      <c r="S55" s="3">
        <v>13</v>
      </c>
      <c r="T55" s="3">
        <v>14</v>
      </c>
      <c r="U55" s="73"/>
      <c r="V55" s="16">
        <v>15</v>
      </c>
      <c r="W55" s="16">
        <v>16</v>
      </c>
      <c r="X55" s="16">
        <v>17</v>
      </c>
      <c r="Y55" s="16">
        <v>18</v>
      </c>
      <c r="Z55" s="16">
        <v>19</v>
      </c>
    </row>
    <row r="56" spans="1:26" ht="15.75" x14ac:dyDescent="0.25">
      <c r="A56" s="19">
        <v>1</v>
      </c>
      <c r="B56" s="19" t="s">
        <v>59</v>
      </c>
      <c r="C56" s="4" t="s">
        <v>57</v>
      </c>
      <c r="D56" s="4" t="s">
        <v>36</v>
      </c>
      <c r="E56" s="4">
        <v>30</v>
      </c>
      <c r="F56" s="4">
        <v>30</v>
      </c>
      <c r="G56" s="4">
        <v>28</v>
      </c>
      <c r="H56" s="4">
        <v>194</v>
      </c>
      <c r="I56" s="4">
        <v>20</v>
      </c>
      <c r="J56" s="5">
        <v>242</v>
      </c>
      <c r="K56" s="4">
        <v>95</v>
      </c>
      <c r="L56" s="4">
        <v>118</v>
      </c>
      <c r="M56" s="5">
        <v>7</v>
      </c>
      <c r="N56" s="4">
        <v>5</v>
      </c>
      <c r="O56" s="4">
        <v>2</v>
      </c>
      <c r="P56" s="5">
        <v>220</v>
      </c>
      <c r="Q56" s="4">
        <v>701</v>
      </c>
      <c r="R56" s="4">
        <v>0</v>
      </c>
      <c r="S56" s="4">
        <v>719</v>
      </c>
      <c r="T56" s="5">
        <v>22</v>
      </c>
      <c r="U56" s="5">
        <v>125</v>
      </c>
      <c r="V56" s="7">
        <v>23.966666666666665</v>
      </c>
      <c r="W56" s="7">
        <v>79.888888888888886</v>
      </c>
      <c r="X56" s="7">
        <v>5.7519999999999998</v>
      </c>
      <c r="Y56" s="6">
        <v>1.4480000000000004</v>
      </c>
      <c r="Z56" s="7">
        <v>4.166666666666667</v>
      </c>
    </row>
    <row r="57" spans="1:26" ht="15.75" x14ac:dyDescent="0.25">
      <c r="A57" s="103" t="s">
        <v>57</v>
      </c>
      <c r="B57" s="104"/>
      <c r="C57" s="104"/>
      <c r="D57" s="105"/>
      <c r="E57" s="4">
        <v>30</v>
      </c>
      <c r="F57" s="20">
        <v>30</v>
      </c>
      <c r="G57" s="20">
        <v>28</v>
      </c>
      <c r="H57" s="20">
        <v>194</v>
      </c>
      <c r="I57" s="20">
        <v>20</v>
      </c>
      <c r="J57" s="11">
        <v>242</v>
      </c>
      <c r="K57" s="20">
        <v>95</v>
      </c>
      <c r="L57" s="20">
        <v>118</v>
      </c>
      <c r="M57" s="11">
        <v>7</v>
      </c>
      <c r="N57" s="20">
        <v>5</v>
      </c>
      <c r="O57" s="20">
        <v>2</v>
      </c>
      <c r="P57" s="11">
        <v>220</v>
      </c>
      <c r="Q57" s="20">
        <v>701</v>
      </c>
      <c r="R57" s="20">
        <v>0</v>
      </c>
      <c r="S57" s="20">
        <v>719</v>
      </c>
      <c r="T57" s="11">
        <v>22</v>
      </c>
      <c r="U57" s="11">
        <v>125</v>
      </c>
      <c r="V57" s="20">
        <v>23.966666666666665</v>
      </c>
      <c r="W57" s="12">
        <v>79.888888888888886</v>
      </c>
      <c r="X57" s="12">
        <v>5.7519999999999998</v>
      </c>
      <c r="Y57" s="12">
        <v>1.4480000000000004</v>
      </c>
      <c r="Z57" s="12">
        <v>4.166666666666667</v>
      </c>
    </row>
    <row r="60" spans="1:26" x14ac:dyDescent="0.25">
      <c r="A60" s="78" t="s">
        <v>1</v>
      </c>
      <c r="B60" s="78" t="s">
        <v>2</v>
      </c>
      <c r="C60" s="72" t="s">
        <v>3</v>
      </c>
      <c r="D60" s="72" t="s">
        <v>4</v>
      </c>
      <c r="E60" s="75" t="s">
        <v>5</v>
      </c>
      <c r="F60" s="72" t="s">
        <v>6</v>
      </c>
      <c r="G60" s="72" t="s">
        <v>7</v>
      </c>
      <c r="H60" s="72" t="s">
        <v>8</v>
      </c>
      <c r="I60" s="75" t="s">
        <v>9</v>
      </c>
      <c r="J60" s="72" t="s">
        <v>10</v>
      </c>
      <c r="K60" s="72" t="s">
        <v>11</v>
      </c>
      <c r="L60" s="72" t="s">
        <v>12</v>
      </c>
      <c r="M60" s="72" t="s">
        <v>13</v>
      </c>
      <c r="N60" s="72" t="s">
        <v>14</v>
      </c>
      <c r="O60" s="72" t="s">
        <v>15</v>
      </c>
      <c r="P60" s="72" t="s">
        <v>16</v>
      </c>
      <c r="Q60" s="72" t="s">
        <v>17</v>
      </c>
      <c r="R60" s="72" t="s">
        <v>18</v>
      </c>
      <c r="S60" s="72" t="s">
        <v>19</v>
      </c>
      <c r="T60" s="72" t="s">
        <v>20</v>
      </c>
      <c r="U60" s="73" t="s">
        <v>21</v>
      </c>
      <c r="V60" s="2" t="s">
        <v>22</v>
      </c>
      <c r="W60" s="2" t="s">
        <v>23</v>
      </c>
      <c r="X60" s="2" t="s">
        <v>24</v>
      </c>
      <c r="Y60" s="2" t="s">
        <v>25</v>
      </c>
      <c r="Z60" s="2" t="s">
        <v>26</v>
      </c>
    </row>
    <row r="61" spans="1:26" x14ac:dyDescent="0.25">
      <c r="A61" s="78"/>
      <c r="B61" s="78"/>
      <c r="C61" s="72"/>
      <c r="D61" s="72"/>
      <c r="E61" s="75"/>
      <c r="F61" s="72"/>
      <c r="G61" s="72"/>
      <c r="H61" s="72"/>
      <c r="I61" s="75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3"/>
      <c r="V61" s="71" t="s">
        <v>27</v>
      </c>
      <c r="W61" s="71" t="s">
        <v>28</v>
      </c>
      <c r="X61" s="71" t="s">
        <v>29</v>
      </c>
      <c r="Y61" s="71" t="s">
        <v>30</v>
      </c>
      <c r="Z61" s="71" t="s">
        <v>31</v>
      </c>
    </row>
    <row r="62" spans="1:26" x14ac:dyDescent="0.25">
      <c r="A62" s="78"/>
      <c r="B62" s="78"/>
      <c r="C62" s="72"/>
      <c r="D62" s="72"/>
      <c r="E62" s="75"/>
      <c r="F62" s="72"/>
      <c r="G62" s="72"/>
      <c r="H62" s="72"/>
      <c r="I62" s="75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1"/>
      <c r="X62" s="71"/>
      <c r="Y62" s="71"/>
      <c r="Z62" s="71"/>
    </row>
    <row r="63" spans="1:26" x14ac:dyDescent="0.25">
      <c r="A63" s="78"/>
      <c r="B63" s="78"/>
      <c r="C63" s="72"/>
      <c r="D63" s="72"/>
      <c r="E63" s="75"/>
      <c r="F63" s="72"/>
      <c r="G63" s="3">
        <v>1</v>
      </c>
      <c r="H63" s="3">
        <v>2</v>
      </c>
      <c r="I63" s="3">
        <v>3</v>
      </c>
      <c r="J63" s="3">
        <v>4</v>
      </c>
      <c r="K63" s="3">
        <v>5</v>
      </c>
      <c r="L63" s="3">
        <v>6</v>
      </c>
      <c r="M63" s="3">
        <v>7</v>
      </c>
      <c r="N63" s="3">
        <v>8</v>
      </c>
      <c r="O63" s="3">
        <v>9</v>
      </c>
      <c r="P63" s="3">
        <v>10</v>
      </c>
      <c r="Q63" s="3">
        <v>11</v>
      </c>
      <c r="R63" s="3">
        <v>12</v>
      </c>
      <c r="S63" s="3">
        <v>13</v>
      </c>
      <c r="T63" s="3">
        <v>14</v>
      </c>
      <c r="U63" s="73"/>
      <c r="V63" s="16">
        <v>15</v>
      </c>
      <c r="W63" s="16">
        <v>16</v>
      </c>
      <c r="X63" s="16">
        <v>17</v>
      </c>
      <c r="Y63" s="16">
        <v>18</v>
      </c>
      <c r="Z63" s="16">
        <v>19</v>
      </c>
    </row>
    <row r="64" spans="1:26" ht="15.75" x14ac:dyDescent="0.25">
      <c r="A64" s="76">
        <v>1</v>
      </c>
      <c r="B64" s="96" t="s">
        <v>75</v>
      </c>
      <c r="C64" s="4" t="s">
        <v>54</v>
      </c>
      <c r="D64" s="4" t="s">
        <v>48</v>
      </c>
      <c r="E64" s="4">
        <v>30</v>
      </c>
      <c r="F64" s="4">
        <v>8</v>
      </c>
      <c r="G64" s="4">
        <v>6</v>
      </c>
      <c r="H64" s="4">
        <v>38</v>
      </c>
      <c r="I64" s="4">
        <v>2</v>
      </c>
      <c r="J64" s="5">
        <v>46</v>
      </c>
      <c r="K64" s="4">
        <v>2</v>
      </c>
      <c r="L64" s="4">
        <v>40</v>
      </c>
      <c r="M64" s="5">
        <v>0</v>
      </c>
      <c r="N64" s="4">
        <v>0</v>
      </c>
      <c r="O64" s="4">
        <v>0</v>
      </c>
      <c r="P64" s="5">
        <v>42</v>
      </c>
      <c r="Q64" s="4">
        <v>155</v>
      </c>
      <c r="R64" s="4">
        <v>0</v>
      </c>
      <c r="S64" s="4">
        <v>139</v>
      </c>
      <c r="T64" s="5">
        <v>4</v>
      </c>
      <c r="U64" s="5">
        <v>40</v>
      </c>
      <c r="V64" s="7">
        <v>4.6333333333333337</v>
      </c>
      <c r="W64" s="7">
        <v>57.916666666666671</v>
      </c>
      <c r="X64" s="7">
        <v>3.4750000000000001</v>
      </c>
      <c r="Y64" s="6">
        <v>2.5249999999999995</v>
      </c>
      <c r="Z64" s="7">
        <v>5</v>
      </c>
    </row>
    <row r="65" spans="1:26" ht="15.75" x14ac:dyDescent="0.25">
      <c r="A65" s="77"/>
      <c r="B65" s="97"/>
      <c r="C65" s="8" t="s">
        <v>54</v>
      </c>
      <c r="D65" s="8" t="s">
        <v>48</v>
      </c>
      <c r="E65" s="4">
        <v>30</v>
      </c>
      <c r="F65" s="8">
        <v>8</v>
      </c>
      <c r="G65" s="8">
        <v>6</v>
      </c>
      <c r="H65" s="8">
        <v>38</v>
      </c>
      <c r="I65" s="8">
        <v>2</v>
      </c>
      <c r="J65" s="8">
        <v>46</v>
      </c>
      <c r="K65" s="8">
        <v>2</v>
      </c>
      <c r="L65" s="8">
        <v>40</v>
      </c>
      <c r="M65" s="8">
        <v>0</v>
      </c>
      <c r="N65" s="8">
        <v>0</v>
      </c>
      <c r="O65" s="8">
        <v>0</v>
      </c>
      <c r="P65" s="8">
        <v>42</v>
      </c>
      <c r="Q65" s="8">
        <v>155</v>
      </c>
      <c r="R65" s="8">
        <v>0</v>
      </c>
      <c r="S65" s="8">
        <v>139</v>
      </c>
      <c r="T65" s="8">
        <v>4</v>
      </c>
      <c r="U65" s="8">
        <v>40</v>
      </c>
      <c r="V65" s="24">
        <v>4.6333333333333337</v>
      </c>
      <c r="W65" s="24">
        <v>57.916666666666671</v>
      </c>
      <c r="X65" s="24">
        <v>3.4750000000000001</v>
      </c>
      <c r="Y65" s="24">
        <v>2.5249999999999995</v>
      </c>
      <c r="Z65" s="24">
        <v>5</v>
      </c>
    </row>
    <row r="66" spans="1:26" ht="15.75" x14ac:dyDescent="0.25">
      <c r="A66" s="76">
        <v>2</v>
      </c>
      <c r="B66" s="97"/>
      <c r="C66" s="4" t="s">
        <v>47</v>
      </c>
      <c r="D66" s="4" t="s">
        <v>48</v>
      </c>
      <c r="E66" s="4">
        <v>30</v>
      </c>
      <c r="F66" s="4">
        <v>2</v>
      </c>
      <c r="G66" s="4">
        <v>0</v>
      </c>
      <c r="H66" s="4">
        <v>3</v>
      </c>
      <c r="I66" s="4">
        <v>1</v>
      </c>
      <c r="J66" s="5">
        <v>4</v>
      </c>
      <c r="K66" s="4">
        <v>1</v>
      </c>
      <c r="L66" s="4">
        <v>3</v>
      </c>
      <c r="M66" s="5">
        <v>0</v>
      </c>
      <c r="N66" s="4">
        <v>0</v>
      </c>
      <c r="O66" s="4">
        <v>0</v>
      </c>
      <c r="P66" s="5">
        <v>4</v>
      </c>
      <c r="Q66" s="4">
        <v>14</v>
      </c>
      <c r="R66" s="4">
        <v>0</v>
      </c>
      <c r="S66" s="4">
        <v>12</v>
      </c>
      <c r="T66" s="5">
        <v>0</v>
      </c>
      <c r="U66" s="5">
        <v>3</v>
      </c>
      <c r="V66" s="7">
        <v>0.4</v>
      </c>
      <c r="W66" s="7">
        <v>20</v>
      </c>
      <c r="X66" s="7">
        <v>4</v>
      </c>
      <c r="Y66" s="6">
        <v>16</v>
      </c>
      <c r="Z66" s="7">
        <v>1.5</v>
      </c>
    </row>
    <row r="67" spans="1:26" ht="15.75" x14ac:dyDescent="0.25">
      <c r="A67" s="77"/>
      <c r="B67" s="97"/>
      <c r="C67" s="8" t="s">
        <v>47</v>
      </c>
      <c r="D67" s="8" t="s">
        <v>48</v>
      </c>
      <c r="E67" s="4">
        <v>30</v>
      </c>
      <c r="F67" s="8">
        <v>2</v>
      </c>
      <c r="G67" s="8">
        <v>0</v>
      </c>
      <c r="H67" s="8">
        <v>3</v>
      </c>
      <c r="I67" s="8">
        <v>1</v>
      </c>
      <c r="J67" s="8">
        <v>4</v>
      </c>
      <c r="K67" s="8">
        <v>1</v>
      </c>
      <c r="L67" s="8">
        <v>3</v>
      </c>
      <c r="M67" s="8">
        <v>0</v>
      </c>
      <c r="N67" s="8">
        <v>0</v>
      </c>
      <c r="O67" s="8">
        <v>0</v>
      </c>
      <c r="P67" s="8">
        <v>4</v>
      </c>
      <c r="Q67" s="8">
        <v>14</v>
      </c>
      <c r="R67" s="8">
        <v>0</v>
      </c>
      <c r="S67" s="8">
        <v>12</v>
      </c>
      <c r="T67" s="8">
        <v>0</v>
      </c>
      <c r="U67" s="8">
        <v>3</v>
      </c>
      <c r="V67" s="24">
        <v>0.4</v>
      </c>
      <c r="W67" s="24">
        <v>20</v>
      </c>
      <c r="X67" s="24">
        <v>4</v>
      </c>
      <c r="Y67" s="24">
        <v>16</v>
      </c>
      <c r="Z67" s="24">
        <v>1.5</v>
      </c>
    </row>
    <row r="68" spans="1:26" ht="15.75" x14ac:dyDescent="0.25">
      <c r="A68" s="76">
        <v>3</v>
      </c>
      <c r="B68" s="97"/>
      <c r="C68" s="4" t="s">
        <v>42</v>
      </c>
      <c r="D68" s="4" t="s">
        <v>48</v>
      </c>
      <c r="E68" s="4">
        <v>30</v>
      </c>
      <c r="F68" s="4">
        <v>8</v>
      </c>
      <c r="G68" s="4">
        <v>4</v>
      </c>
      <c r="H68" s="4">
        <v>37</v>
      </c>
      <c r="I68" s="4">
        <v>8</v>
      </c>
      <c r="J68" s="5">
        <v>49</v>
      </c>
      <c r="K68" s="4">
        <v>9</v>
      </c>
      <c r="L68" s="4">
        <v>34</v>
      </c>
      <c r="M68" s="5">
        <v>0</v>
      </c>
      <c r="N68" s="4">
        <v>0</v>
      </c>
      <c r="O68" s="4">
        <v>0</v>
      </c>
      <c r="P68" s="5">
        <v>43</v>
      </c>
      <c r="Q68" s="4">
        <v>117</v>
      </c>
      <c r="R68" s="4">
        <v>0</v>
      </c>
      <c r="S68" s="4">
        <v>129</v>
      </c>
      <c r="T68" s="5">
        <v>6</v>
      </c>
      <c r="U68" s="5">
        <v>34</v>
      </c>
      <c r="V68" s="7">
        <v>4.3</v>
      </c>
      <c r="W68" s="7">
        <v>53.75</v>
      </c>
      <c r="X68" s="7">
        <v>3.7941176470588234</v>
      </c>
      <c r="Y68" s="6">
        <v>3.2647058823529411</v>
      </c>
      <c r="Z68" s="7">
        <v>4.25</v>
      </c>
    </row>
    <row r="69" spans="1:26" ht="15.75" x14ac:dyDescent="0.25">
      <c r="A69" s="77"/>
      <c r="B69" s="97"/>
      <c r="C69" s="8" t="s">
        <v>42</v>
      </c>
      <c r="D69" s="8" t="s">
        <v>48</v>
      </c>
      <c r="E69" s="4">
        <v>30</v>
      </c>
      <c r="F69" s="8">
        <v>8</v>
      </c>
      <c r="G69" s="8">
        <v>4</v>
      </c>
      <c r="H69" s="8">
        <v>37</v>
      </c>
      <c r="I69" s="8">
        <v>8</v>
      </c>
      <c r="J69" s="8">
        <v>49</v>
      </c>
      <c r="K69" s="8">
        <v>9</v>
      </c>
      <c r="L69" s="8">
        <v>34</v>
      </c>
      <c r="M69" s="8">
        <v>0</v>
      </c>
      <c r="N69" s="8">
        <v>0</v>
      </c>
      <c r="O69" s="8">
        <v>0</v>
      </c>
      <c r="P69" s="8">
        <v>43</v>
      </c>
      <c r="Q69" s="8">
        <v>117</v>
      </c>
      <c r="R69" s="8">
        <v>0</v>
      </c>
      <c r="S69" s="8">
        <v>129</v>
      </c>
      <c r="T69" s="8">
        <v>6</v>
      </c>
      <c r="U69" s="8">
        <v>34</v>
      </c>
      <c r="V69" s="24">
        <v>4.3</v>
      </c>
      <c r="W69" s="24">
        <v>53.75</v>
      </c>
      <c r="X69" s="24">
        <v>3.7941176470588234</v>
      </c>
      <c r="Y69" s="24">
        <v>3.2647058823529411</v>
      </c>
      <c r="Z69" s="24">
        <v>4.25</v>
      </c>
    </row>
    <row r="70" spans="1:26" ht="15.75" x14ac:dyDescent="0.25">
      <c r="A70" s="103" t="s">
        <v>75</v>
      </c>
      <c r="B70" s="104"/>
      <c r="C70" s="105"/>
      <c r="D70" s="25" t="s">
        <v>48</v>
      </c>
      <c r="E70" s="4">
        <v>30</v>
      </c>
      <c r="F70" s="20">
        <v>18</v>
      </c>
      <c r="G70" s="20">
        <v>10</v>
      </c>
      <c r="H70" s="20">
        <v>78</v>
      </c>
      <c r="I70" s="20">
        <v>11</v>
      </c>
      <c r="J70" s="11">
        <v>99</v>
      </c>
      <c r="K70" s="20">
        <v>12</v>
      </c>
      <c r="L70" s="20">
        <v>77</v>
      </c>
      <c r="M70" s="11">
        <v>0</v>
      </c>
      <c r="N70" s="20">
        <v>0</v>
      </c>
      <c r="O70" s="20">
        <v>0</v>
      </c>
      <c r="P70" s="11">
        <v>89</v>
      </c>
      <c r="Q70" s="20">
        <v>286</v>
      </c>
      <c r="R70" s="20">
        <v>0</v>
      </c>
      <c r="S70" s="20">
        <v>280</v>
      </c>
      <c r="T70" s="11">
        <v>10</v>
      </c>
      <c r="U70" s="11">
        <v>77</v>
      </c>
      <c r="V70" s="20">
        <v>9.3333333333333339</v>
      </c>
      <c r="W70" s="12">
        <v>51.851851851851862</v>
      </c>
      <c r="X70" s="12">
        <v>3.6363636363636362</v>
      </c>
      <c r="Y70" s="12">
        <v>3.3766233766233764</v>
      </c>
      <c r="Z70" s="12">
        <v>4.2777777777777777</v>
      </c>
    </row>
    <row r="73" spans="1:26" x14ac:dyDescent="0.25">
      <c r="A73" s="78" t="s">
        <v>1</v>
      </c>
      <c r="B73" s="78" t="s">
        <v>2</v>
      </c>
      <c r="C73" s="72" t="s">
        <v>3</v>
      </c>
      <c r="D73" s="72" t="s">
        <v>4</v>
      </c>
      <c r="E73" s="75" t="s">
        <v>5</v>
      </c>
      <c r="F73" s="72" t="s">
        <v>6</v>
      </c>
      <c r="G73" s="72" t="s">
        <v>7</v>
      </c>
      <c r="H73" s="72" t="s">
        <v>8</v>
      </c>
      <c r="I73" s="75" t="s">
        <v>9</v>
      </c>
      <c r="J73" s="72" t="s">
        <v>10</v>
      </c>
      <c r="K73" s="72" t="s">
        <v>11</v>
      </c>
      <c r="L73" s="72" t="s">
        <v>12</v>
      </c>
      <c r="M73" s="72" t="s">
        <v>13</v>
      </c>
      <c r="N73" s="72" t="s">
        <v>14</v>
      </c>
      <c r="O73" s="72" t="s">
        <v>15</v>
      </c>
      <c r="P73" s="72" t="s">
        <v>16</v>
      </c>
      <c r="Q73" s="72" t="s">
        <v>17</v>
      </c>
      <c r="R73" s="72" t="s">
        <v>18</v>
      </c>
      <c r="S73" s="72" t="s">
        <v>19</v>
      </c>
      <c r="T73" s="72" t="s">
        <v>20</v>
      </c>
      <c r="U73" s="73" t="s">
        <v>21</v>
      </c>
      <c r="V73" s="2" t="s">
        <v>22</v>
      </c>
      <c r="W73" s="2" t="s">
        <v>23</v>
      </c>
      <c r="X73" s="2" t="s">
        <v>24</v>
      </c>
      <c r="Y73" s="2" t="s">
        <v>25</v>
      </c>
      <c r="Z73" s="2" t="s">
        <v>26</v>
      </c>
    </row>
    <row r="74" spans="1:26" x14ac:dyDescent="0.25">
      <c r="A74" s="78"/>
      <c r="B74" s="78"/>
      <c r="C74" s="72"/>
      <c r="D74" s="72"/>
      <c r="E74" s="75"/>
      <c r="F74" s="72"/>
      <c r="G74" s="72"/>
      <c r="H74" s="72"/>
      <c r="I74" s="75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3"/>
      <c r="V74" s="71" t="s">
        <v>27</v>
      </c>
      <c r="W74" s="71" t="s">
        <v>28</v>
      </c>
      <c r="X74" s="71" t="s">
        <v>29</v>
      </c>
      <c r="Y74" s="71" t="s">
        <v>30</v>
      </c>
      <c r="Z74" s="71" t="s">
        <v>31</v>
      </c>
    </row>
    <row r="75" spans="1:26" x14ac:dyDescent="0.25">
      <c r="A75" s="78"/>
      <c r="B75" s="78"/>
      <c r="C75" s="72"/>
      <c r="D75" s="72"/>
      <c r="E75" s="75"/>
      <c r="F75" s="72"/>
      <c r="G75" s="72"/>
      <c r="H75" s="72"/>
      <c r="I75" s="75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3"/>
      <c r="V75" s="74"/>
      <c r="W75" s="71"/>
      <c r="X75" s="71"/>
      <c r="Y75" s="71"/>
      <c r="Z75" s="71"/>
    </row>
    <row r="76" spans="1:26" x14ac:dyDescent="0.25">
      <c r="A76" s="78"/>
      <c r="B76" s="78"/>
      <c r="C76" s="72"/>
      <c r="D76" s="72"/>
      <c r="E76" s="75"/>
      <c r="F76" s="72"/>
      <c r="G76" s="3">
        <v>1</v>
      </c>
      <c r="H76" s="3">
        <v>2</v>
      </c>
      <c r="I76" s="3">
        <v>3</v>
      </c>
      <c r="J76" s="3">
        <v>4</v>
      </c>
      <c r="K76" s="3">
        <v>5</v>
      </c>
      <c r="L76" s="3">
        <v>6</v>
      </c>
      <c r="M76" s="3">
        <v>7</v>
      </c>
      <c r="N76" s="3">
        <v>8</v>
      </c>
      <c r="O76" s="3">
        <v>9</v>
      </c>
      <c r="P76" s="3">
        <v>10</v>
      </c>
      <c r="Q76" s="3">
        <v>11</v>
      </c>
      <c r="R76" s="3">
        <v>12</v>
      </c>
      <c r="S76" s="3">
        <v>13</v>
      </c>
      <c r="T76" s="3">
        <v>14</v>
      </c>
      <c r="U76" s="73"/>
      <c r="V76" s="16">
        <v>15</v>
      </c>
      <c r="W76" s="16">
        <v>16</v>
      </c>
      <c r="X76" s="16">
        <v>17</v>
      </c>
      <c r="Y76" s="16">
        <v>18</v>
      </c>
      <c r="Z76" s="16">
        <v>19</v>
      </c>
    </row>
    <row r="77" spans="1:26" ht="15.75" x14ac:dyDescent="0.25">
      <c r="A77" s="76">
        <v>1</v>
      </c>
      <c r="B77" s="96" t="s">
        <v>76</v>
      </c>
      <c r="C77" s="4" t="s">
        <v>44</v>
      </c>
      <c r="D77" s="4" t="s">
        <v>43</v>
      </c>
      <c r="E77" s="4">
        <v>30</v>
      </c>
      <c r="F77" s="4">
        <v>2</v>
      </c>
      <c r="G77" s="4">
        <v>2</v>
      </c>
      <c r="H77" s="4">
        <v>16</v>
      </c>
      <c r="I77" s="4">
        <v>12</v>
      </c>
      <c r="J77" s="5">
        <v>30</v>
      </c>
      <c r="K77" s="4">
        <v>4</v>
      </c>
      <c r="L77" s="4">
        <v>22</v>
      </c>
      <c r="M77" s="5">
        <v>2</v>
      </c>
      <c r="N77" s="4">
        <v>1</v>
      </c>
      <c r="O77" s="4">
        <v>1</v>
      </c>
      <c r="P77" s="5">
        <v>28</v>
      </c>
      <c r="Q77" s="4">
        <v>97</v>
      </c>
      <c r="R77" s="4">
        <v>0</v>
      </c>
      <c r="S77" s="4">
        <v>74</v>
      </c>
      <c r="T77" s="5">
        <v>2</v>
      </c>
      <c r="U77" s="5">
        <v>24</v>
      </c>
      <c r="V77" s="7">
        <v>2.4666666666666668</v>
      </c>
      <c r="W77" s="7">
        <v>123.33333333333334</v>
      </c>
      <c r="X77" s="7">
        <v>3.0833333333333335</v>
      </c>
      <c r="Y77" s="6">
        <v>-0.58333333333333348</v>
      </c>
      <c r="Z77" s="7">
        <v>12</v>
      </c>
    </row>
    <row r="78" spans="1:26" ht="15.75" x14ac:dyDescent="0.25">
      <c r="A78" s="77"/>
      <c r="B78" s="97"/>
      <c r="C78" s="8" t="s">
        <v>44</v>
      </c>
      <c r="D78" s="8" t="s">
        <v>43</v>
      </c>
      <c r="E78" s="4">
        <v>30</v>
      </c>
      <c r="F78" s="8">
        <v>2</v>
      </c>
      <c r="G78" s="8">
        <v>2</v>
      </c>
      <c r="H78" s="8">
        <v>16</v>
      </c>
      <c r="I78" s="8">
        <v>12</v>
      </c>
      <c r="J78" s="8">
        <v>30</v>
      </c>
      <c r="K78" s="8">
        <v>4</v>
      </c>
      <c r="L78" s="8">
        <v>22</v>
      </c>
      <c r="M78" s="8">
        <v>2</v>
      </c>
      <c r="N78" s="8">
        <v>1</v>
      </c>
      <c r="O78" s="8">
        <v>1</v>
      </c>
      <c r="P78" s="8">
        <v>28</v>
      </c>
      <c r="Q78" s="8">
        <v>97</v>
      </c>
      <c r="R78" s="8">
        <v>0</v>
      </c>
      <c r="S78" s="8">
        <v>74</v>
      </c>
      <c r="T78" s="8">
        <v>2</v>
      </c>
      <c r="U78" s="8">
        <v>24</v>
      </c>
      <c r="V78" s="24">
        <v>2.4666666666666668</v>
      </c>
      <c r="W78" s="24">
        <v>123.33333333333334</v>
      </c>
      <c r="X78" s="24">
        <v>3.0833333333333335</v>
      </c>
      <c r="Y78" s="24">
        <v>-0.58333333333333348</v>
      </c>
      <c r="Z78" s="24">
        <v>12</v>
      </c>
    </row>
    <row r="79" spans="1:26" ht="15.75" x14ac:dyDescent="0.25">
      <c r="A79" s="76">
        <v>2</v>
      </c>
      <c r="B79" s="97"/>
      <c r="C79" s="4" t="s">
        <v>47</v>
      </c>
      <c r="D79" s="4" t="s">
        <v>43</v>
      </c>
      <c r="E79" s="4">
        <v>30</v>
      </c>
      <c r="F79" s="4">
        <v>13</v>
      </c>
      <c r="G79" s="4">
        <v>14</v>
      </c>
      <c r="H79" s="4">
        <v>112</v>
      </c>
      <c r="I79" s="4">
        <v>10</v>
      </c>
      <c r="J79" s="5">
        <v>136</v>
      </c>
      <c r="K79" s="4">
        <v>5</v>
      </c>
      <c r="L79" s="4">
        <v>115</v>
      </c>
      <c r="M79" s="5">
        <v>6</v>
      </c>
      <c r="N79" s="4">
        <v>3</v>
      </c>
      <c r="O79" s="4">
        <v>3</v>
      </c>
      <c r="P79" s="5">
        <v>126</v>
      </c>
      <c r="Q79" s="4">
        <v>452</v>
      </c>
      <c r="R79" s="4">
        <v>1</v>
      </c>
      <c r="S79" s="4">
        <v>393</v>
      </c>
      <c r="T79" s="5">
        <v>10</v>
      </c>
      <c r="U79" s="5">
        <v>121</v>
      </c>
      <c r="V79" s="7">
        <v>13.1</v>
      </c>
      <c r="W79" s="7">
        <v>100.76923076923077</v>
      </c>
      <c r="X79" s="7">
        <v>3.2479338842975207</v>
      </c>
      <c r="Y79" s="6">
        <v>-2.4793388429751977E-2</v>
      </c>
      <c r="Z79" s="7">
        <v>9.3076923076923084</v>
      </c>
    </row>
    <row r="80" spans="1:26" ht="15.75" x14ac:dyDescent="0.25">
      <c r="A80" s="77"/>
      <c r="B80" s="97"/>
      <c r="C80" s="8" t="s">
        <v>47</v>
      </c>
      <c r="D80" s="8" t="s">
        <v>43</v>
      </c>
      <c r="E80" s="4">
        <v>30</v>
      </c>
      <c r="F80" s="8">
        <v>13</v>
      </c>
      <c r="G80" s="8">
        <v>14</v>
      </c>
      <c r="H80" s="8">
        <v>112</v>
      </c>
      <c r="I80" s="8">
        <v>10</v>
      </c>
      <c r="J80" s="8">
        <v>136</v>
      </c>
      <c r="K80" s="8">
        <v>5</v>
      </c>
      <c r="L80" s="8">
        <v>115</v>
      </c>
      <c r="M80" s="8">
        <v>6</v>
      </c>
      <c r="N80" s="8">
        <v>3</v>
      </c>
      <c r="O80" s="8">
        <v>3</v>
      </c>
      <c r="P80" s="8">
        <v>126</v>
      </c>
      <c r="Q80" s="8">
        <v>452</v>
      </c>
      <c r="R80" s="8">
        <v>1</v>
      </c>
      <c r="S80" s="8">
        <v>393</v>
      </c>
      <c r="T80" s="8">
        <v>10</v>
      </c>
      <c r="U80" s="8">
        <v>121</v>
      </c>
      <c r="V80" s="24">
        <v>13.1</v>
      </c>
      <c r="W80" s="24">
        <v>100.76923076923077</v>
      </c>
      <c r="X80" s="24">
        <v>3.2479338842975207</v>
      </c>
      <c r="Y80" s="24">
        <v>-2.4793388429751977E-2</v>
      </c>
      <c r="Z80" s="24">
        <v>9.3076923076923084</v>
      </c>
    </row>
    <row r="81" spans="1:26" ht="15.75" x14ac:dyDescent="0.25">
      <c r="A81" s="76">
        <v>3</v>
      </c>
      <c r="B81" s="97"/>
      <c r="C81" s="4" t="s">
        <v>56</v>
      </c>
      <c r="D81" s="4" t="s">
        <v>43</v>
      </c>
      <c r="E81" s="4">
        <v>30</v>
      </c>
      <c r="F81" s="4">
        <v>3</v>
      </c>
      <c r="G81" s="4">
        <v>4</v>
      </c>
      <c r="H81" s="4">
        <v>30</v>
      </c>
      <c r="I81" s="4">
        <v>27</v>
      </c>
      <c r="J81" s="5">
        <v>61</v>
      </c>
      <c r="K81" s="4">
        <v>48</v>
      </c>
      <c r="L81" s="4">
        <v>12</v>
      </c>
      <c r="M81" s="5">
        <v>1</v>
      </c>
      <c r="N81" s="4">
        <v>0</v>
      </c>
      <c r="O81" s="4">
        <v>1</v>
      </c>
      <c r="P81" s="5">
        <v>61</v>
      </c>
      <c r="Q81" s="4">
        <v>41</v>
      </c>
      <c r="R81" s="4">
        <v>0</v>
      </c>
      <c r="S81" s="4">
        <v>41</v>
      </c>
      <c r="T81" s="5">
        <v>0</v>
      </c>
      <c r="U81" s="5">
        <v>13</v>
      </c>
      <c r="V81" s="7">
        <v>1.3666666666666667</v>
      </c>
      <c r="W81" s="7">
        <v>45.555555555555557</v>
      </c>
      <c r="X81" s="7">
        <v>3.1538461538461537</v>
      </c>
      <c r="Y81" s="6">
        <v>3.7692307692307692</v>
      </c>
      <c r="Z81" s="7">
        <v>4.333333333333333</v>
      </c>
    </row>
    <row r="82" spans="1:26" ht="15.75" x14ac:dyDescent="0.25">
      <c r="A82" s="98"/>
      <c r="B82" s="97"/>
      <c r="C82" s="4" t="s">
        <v>60</v>
      </c>
      <c r="D82" s="4" t="s">
        <v>43</v>
      </c>
      <c r="E82" s="4">
        <v>30</v>
      </c>
      <c r="F82" s="4">
        <v>0</v>
      </c>
      <c r="G82" s="4">
        <v>0</v>
      </c>
      <c r="H82" s="4">
        <v>0</v>
      </c>
      <c r="I82" s="4">
        <v>0</v>
      </c>
      <c r="J82" s="5">
        <v>0</v>
      </c>
      <c r="K82" s="4">
        <v>0</v>
      </c>
      <c r="L82" s="4">
        <v>0</v>
      </c>
      <c r="M82" s="5">
        <v>0</v>
      </c>
      <c r="N82" s="4">
        <v>0</v>
      </c>
      <c r="O82" s="4">
        <v>0</v>
      </c>
      <c r="P82" s="5">
        <v>0</v>
      </c>
      <c r="Q82" s="4">
        <v>0</v>
      </c>
      <c r="R82" s="4">
        <v>0</v>
      </c>
      <c r="S82" s="4">
        <v>0</v>
      </c>
      <c r="T82" s="5">
        <v>0</v>
      </c>
      <c r="U82" s="5">
        <v>0</v>
      </c>
      <c r="V82" s="7">
        <v>0</v>
      </c>
      <c r="W82" s="7" t="e">
        <v>#DIV/0!</v>
      </c>
      <c r="X82" s="7" t="e">
        <v>#DIV/0!</v>
      </c>
      <c r="Y82" s="6" t="e">
        <v>#DIV/0!</v>
      </c>
      <c r="Z82" s="7" t="e">
        <v>#DIV/0!</v>
      </c>
    </row>
    <row r="83" spans="1:26" ht="15.75" x14ac:dyDescent="0.25">
      <c r="A83" s="77"/>
      <c r="B83" s="97"/>
      <c r="C83" s="8" t="s">
        <v>77</v>
      </c>
      <c r="D83" s="8" t="s">
        <v>43</v>
      </c>
      <c r="E83" s="4">
        <v>30</v>
      </c>
      <c r="F83" s="8">
        <v>3</v>
      </c>
      <c r="G83" s="8">
        <v>4</v>
      </c>
      <c r="H83" s="8">
        <v>30</v>
      </c>
      <c r="I83" s="8">
        <v>27</v>
      </c>
      <c r="J83" s="8">
        <v>61</v>
      </c>
      <c r="K83" s="8">
        <v>48</v>
      </c>
      <c r="L83" s="8">
        <v>12</v>
      </c>
      <c r="M83" s="8">
        <v>1</v>
      </c>
      <c r="N83" s="8">
        <v>0</v>
      </c>
      <c r="O83" s="8">
        <v>1</v>
      </c>
      <c r="P83" s="8">
        <v>61</v>
      </c>
      <c r="Q83" s="8">
        <v>41</v>
      </c>
      <c r="R83" s="8">
        <v>0</v>
      </c>
      <c r="S83" s="8">
        <v>41</v>
      </c>
      <c r="T83" s="8">
        <v>0</v>
      </c>
      <c r="U83" s="8">
        <v>13</v>
      </c>
      <c r="V83" s="24">
        <v>1.3666666666666667</v>
      </c>
      <c r="W83" s="24">
        <v>45.555555555555557</v>
      </c>
      <c r="X83" s="24">
        <v>3.1538461538461537</v>
      </c>
      <c r="Y83" s="24">
        <v>3.7692307692307692</v>
      </c>
      <c r="Z83" s="24">
        <v>4.333333333333333</v>
      </c>
    </row>
    <row r="84" spans="1:26" ht="15.75" x14ac:dyDescent="0.25">
      <c r="A84" s="76">
        <v>4</v>
      </c>
      <c r="B84" s="97"/>
      <c r="C84" s="5" t="s">
        <v>42</v>
      </c>
      <c r="D84" s="5" t="s">
        <v>43</v>
      </c>
      <c r="E84" s="4">
        <v>30</v>
      </c>
      <c r="F84" s="5">
        <v>3</v>
      </c>
      <c r="G84" s="5">
        <v>2</v>
      </c>
      <c r="H84" s="5">
        <v>28</v>
      </c>
      <c r="I84" s="5">
        <v>9</v>
      </c>
      <c r="J84" s="5">
        <v>39</v>
      </c>
      <c r="K84" s="5">
        <v>7</v>
      </c>
      <c r="L84" s="5">
        <v>26</v>
      </c>
      <c r="M84" s="5">
        <v>2</v>
      </c>
      <c r="N84" s="5">
        <v>1</v>
      </c>
      <c r="O84" s="5">
        <v>1</v>
      </c>
      <c r="P84" s="5">
        <v>35</v>
      </c>
      <c r="Q84" s="5">
        <v>116</v>
      </c>
      <c r="R84" s="5">
        <v>0</v>
      </c>
      <c r="S84" s="5">
        <v>112</v>
      </c>
      <c r="T84" s="5">
        <v>4</v>
      </c>
      <c r="U84" s="5">
        <v>28</v>
      </c>
      <c r="V84" s="7">
        <v>3.7333333333333334</v>
      </c>
      <c r="W84" s="7">
        <v>124.44444444444444</v>
      </c>
      <c r="X84" s="7">
        <v>4</v>
      </c>
      <c r="Y84" s="6">
        <v>-0.7857142857142857</v>
      </c>
      <c r="Z84" s="7">
        <v>9.3333333333333339</v>
      </c>
    </row>
    <row r="85" spans="1:26" ht="15.75" x14ac:dyDescent="0.25">
      <c r="A85" s="77"/>
      <c r="B85" s="97"/>
      <c r="C85" s="8" t="s">
        <v>42</v>
      </c>
      <c r="D85" s="8" t="s">
        <v>43</v>
      </c>
      <c r="E85" s="4">
        <v>30</v>
      </c>
      <c r="F85" s="8">
        <v>3</v>
      </c>
      <c r="G85" s="8">
        <v>2</v>
      </c>
      <c r="H85" s="8">
        <v>28</v>
      </c>
      <c r="I85" s="8">
        <v>9</v>
      </c>
      <c r="J85" s="8">
        <v>39</v>
      </c>
      <c r="K85" s="8">
        <v>7</v>
      </c>
      <c r="L85" s="8">
        <v>26</v>
      </c>
      <c r="M85" s="8">
        <v>2</v>
      </c>
      <c r="N85" s="8">
        <v>1</v>
      </c>
      <c r="O85" s="8">
        <v>1</v>
      </c>
      <c r="P85" s="8">
        <v>35</v>
      </c>
      <c r="Q85" s="8">
        <v>116</v>
      </c>
      <c r="R85" s="8">
        <v>0</v>
      </c>
      <c r="S85" s="8">
        <v>112</v>
      </c>
      <c r="T85" s="8">
        <v>4</v>
      </c>
      <c r="U85" s="8">
        <v>28</v>
      </c>
      <c r="V85" s="24">
        <v>3.7333333333333334</v>
      </c>
      <c r="W85" s="24">
        <v>124.44444444444444</v>
      </c>
      <c r="X85" s="24">
        <v>4</v>
      </c>
      <c r="Y85" s="24">
        <v>-0.7857142857142857</v>
      </c>
      <c r="Z85" s="24">
        <v>9.3333333333333339</v>
      </c>
    </row>
    <row r="86" spans="1:26" ht="15.75" x14ac:dyDescent="0.25">
      <c r="A86" s="76">
        <v>5</v>
      </c>
      <c r="B86" s="97"/>
      <c r="C86" s="5" t="s">
        <v>46</v>
      </c>
      <c r="D86" s="5" t="s">
        <v>43</v>
      </c>
      <c r="E86" s="4">
        <v>30</v>
      </c>
      <c r="F86" s="5">
        <v>14</v>
      </c>
      <c r="G86" s="5">
        <v>14</v>
      </c>
      <c r="H86" s="5">
        <v>110</v>
      </c>
      <c r="I86" s="5">
        <v>6</v>
      </c>
      <c r="J86" s="5">
        <v>130</v>
      </c>
      <c r="K86" s="5">
        <v>13</v>
      </c>
      <c r="L86" s="5">
        <v>102</v>
      </c>
      <c r="M86" s="5">
        <v>6</v>
      </c>
      <c r="N86" s="5">
        <v>2</v>
      </c>
      <c r="O86" s="5">
        <v>4</v>
      </c>
      <c r="P86" s="5">
        <v>121</v>
      </c>
      <c r="Q86" s="5">
        <v>364</v>
      </c>
      <c r="R86" s="5">
        <v>0</v>
      </c>
      <c r="S86" s="5">
        <v>345</v>
      </c>
      <c r="T86" s="5">
        <v>9</v>
      </c>
      <c r="U86" s="5">
        <v>108</v>
      </c>
      <c r="V86" s="7">
        <v>11.5</v>
      </c>
      <c r="W86" s="7">
        <v>82.142857142857139</v>
      </c>
      <c r="X86" s="7">
        <v>3.1944444444444446</v>
      </c>
      <c r="Y86" s="6">
        <v>0.69444444444444442</v>
      </c>
      <c r="Z86" s="7">
        <v>7.7142857142857144</v>
      </c>
    </row>
    <row r="87" spans="1:26" ht="15.75" x14ac:dyDescent="0.25">
      <c r="A87" s="77"/>
      <c r="B87" s="97"/>
      <c r="C87" s="8" t="s">
        <v>46</v>
      </c>
      <c r="D87" s="8" t="s">
        <v>43</v>
      </c>
      <c r="E87" s="4">
        <v>30</v>
      </c>
      <c r="F87" s="8">
        <v>14</v>
      </c>
      <c r="G87" s="8">
        <v>14</v>
      </c>
      <c r="H87" s="8">
        <v>110</v>
      </c>
      <c r="I87" s="8">
        <v>6</v>
      </c>
      <c r="J87" s="8">
        <v>130</v>
      </c>
      <c r="K87" s="8">
        <v>13</v>
      </c>
      <c r="L87" s="8">
        <v>102</v>
      </c>
      <c r="M87" s="8">
        <v>6</v>
      </c>
      <c r="N87" s="8">
        <v>2</v>
      </c>
      <c r="O87" s="8">
        <v>4</v>
      </c>
      <c r="P87" s="8">
        <v>121</v>
      </c>
      <c r="Q87" s="8">
        <v>364</v>
      </c>
      <c r="R87" s="8">
        <v>0</v>
      </c>
      <c r="S87" s="8">
        <v>345</v>
      </c>
      <c r="T87" s="8">
        <v>9</v>
      </c>
      <c r="U87" s="8">
        <v>108</v>
      </c>
      <c r="V87" s="24">
        <v>11.5</v>
      </c>
      <c r="W87" s="24">
        <v>82.142857142857139</v>
      </c>
      <c r="X87" s="24">
        <v>3.1944444444444446</v>
      </c>
      <c r="Y87" s="24">
        <v>0.69444444444444442</v>
      </c>
      <c r="Z87" s="24">
        <v>7.7142857142857144</v>
      </c>
    </row>
    <row r="88" spans="1:26" ht="15.75" x14ac:dyDescent="0.25">
      <c r="A88" s="79" t="s">
        <v>86</v>
      </c>
      <c r="B88" s="80"/>
      <c r="C88" s="80"/>
      <c r="D88" s="81"/>
      <c r="E88" s="4">
        <v>30</v>
      </c>
      <c r="F88" s="20">
        <v>35</v>
      </c>
      <c r="G88" s="20">
        <v>36</v>
      </c>
      <c r="H88" s="20">
        <v>296</v>
      </c>
      <c r="I88" s="20">
        <v>64</v>
      </c>
      <c r="J88" s="11">
        <v>396</v>
      </c>
      <c r="K88" s="20">
        <v>77</v>
      </c>
      <c r="L88" s="20">
        <v>277</v>
      </c>
      <c r="M88" s="11">
        <v>17</v>
      </c>
      <c r="N88" s="20">
        <v>7</v>
      </c>
      <c r="O88" s="20">
        <v>10</v>
      </c>
      <c r="P88" s="11">
        <v>371</v>
      </c>
      <c r="Q88" s="20">
        <v>1070</v>
      </c>
      <c r="R88" s="20">
        <v>1</v>
      </c>
      <c r="S88" s="20">
        <v>965</v>
      </c>
      <c r="T88" s="11">
        <v>25</v>
      </c>
      <c r="U88" s="11">
        <v>294</v>
      </c>
      <c r="V88" s="22">
        <v>32.166666666666664</v>
      </c>
      <c r="W88" s="12">
        <v>91.904761904761898</v>
      </c>
      <c r="X88" s="12">
        <v>3.2823129251700682</v>
      </c>
      <c r="Y88" s="12">
        <v>0.28911564625850367</v>
      </c>
      <c r="Z88" s="12">
        <v>8.4</v>
      </c>
    </row>
    <row r="91" spans="1:26" x14ac:dyDescent="0.25">
      <c r="A91" s="78" t="s">
        <v>1</v>
      </c>
      <c r="B91" s="78" t="s">
        <v>2</v>
      </c>
      <c r="C91" s="72" t="s">
        <v>3</v>
      </c>
      <c r="D91" s="72" t="s">
        <v>4</v>
      </c>
      <c r="E91" s="75" t="s">
        <v>5</v>
      </c>
      <c r="F91" s="72" t="s">
        <v>6</v>
      </c>
      <c r="G91" s="72" t="s">
        <v>7</v>
      </c>
      <c r="H91" s="72" t="s">
        <v>8</v>
      </c>
      <c r="I91" s="75" t="s">
        <v>9</v>
      </c>
      <c r="J91" s="72" t="s">
        <v>10</v>
      </c>
      <c r="K91" s="72" t="s">
        <v>11</v>
      </c>
      <c r="L91" s="72" t="s">
        <v>12</v>
      </c>
      <c r="M91" s="72" t="s">
        <v>13</v>
      </c>
      <c r="N91" s="72" t="s">
        <v>14</v>
      </c>
      <c r="O91" s="72" t="s">
        <v>15</v>
      </c>
      <c r="P91" s="72" t="s">
        <v>16</v>
      </c>
      <c r="Q91" s="72" t="s">
        <v>17</v>
      </c>
      <c r="R91" s="72" t="s">
        <v>18</v>
      </c>
      <c r="S91" s="72" t="s">
        <v>19</v>
      </c>
      <c r="T91" s="72" t="s">
        <v>20</v>
      </c>
      <c r="U91" s="73" t="s">
        <v>21</v>
      </c>
      <c r="V91" s="2" t="s">
        <v>22</v>
      </c>
      <c r="W91" s="2" t="s">
        <v>23</v>
      </c>
      <c r="X91" s="2" t="s">
        <v>24</v>
      </c>
      <c r="Y91" s="2" t="s">
        <v>25</v>
      </c>
      <c r="Z91" s="2" t="s">
        <v>26</v>
      </c>
    </row>
    <row r="92" spans="1:26" x14ac:dyDescent="0.25">
      <c r="A92" s="78"/>
      <c r="B92" s="78"/>
      <c r="C92" s="72"/>
      <c r="D92" s="72"/>
      <c r="E92" s="75"/>
      <c r="F92" s="72"/>
      <c r="G92" s="72"/>
      <c r="H92" s="72"/>
      <c r="I92" s="75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3"/>
      <c r="V92" s="71" t="s">
        <v>27</v>
      </c>
      <c r="W92" s="71" t="s">
        <v>28</v>
      </c>
      <c r="X92" s="71" t="s">
        <v>29</v>
      </c>
      <c r="Y92" s="71" t="s">
        <v>30</v>
      </c>
      <c r="Z92" s="71" t="s">
        <v>31</v>
      </c>
    </row>
    <row r="93" spans="1:26" x14ac:dyDescent="0.25">
      <c r="A93" s="78"/>
      <c r="B93" s="78"/>
      <c r="C93" s="72"/>
      <c r="D93" s="72"/>
      <c r="E93" s="75"/>
      <c r="F93" s="72"/>
      <c r="G93" s="72"/>
      <c r="H93" s="72"/>
      <c r="I93" s="75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3"/>
      <c r="V93" s="74"/>
      <c r="W93" s="71"/>
      <c r="X93" s="71"/>
      <c r="Y93" s="71"/>
      <c r="Z93" s="71"/>
    </row>
    <row r="94" spans="1:26" x14ac:dyDescent="0.25">
      <c r="A94" s="78"/>
      <c r="B94" s="78"/>
      <c r="C94" s="72"/>
      <c r="D94" s="72"/>
      <c r="E94" s="75"/>
      <c r="F94" s="72"/>
      <c r="G94" s="3">
        <v>1</v>
      </c>
      <c r="H94" s="3">
        <v>2</v>
      </c>
      <c r="I94" s="3">
        <v>3</v>
      </c>
      <c r="J94" s="3">
        <v>4</v>
      </c>
      <c r="K94" s="3">
        <v>5</v>
      </c>
      <c r="L94" s="3">
        <v>6</v>
      </c>
      <c r="M94" s="3">
        <v>7</v>
      </c>
      <c r="N94" s="3">
        <v>8</v>
      </c>
      <c r="O94" s="3">
        <v>9</v>
      </c>
      <c r="P94" s="3">
        <v>10</v>
      </c>
      <c r="Q94" s="3">
        <v>11</v>
      </c>
      <c r="R94" s="3">
        <v>12</v>
      </c>
      <c r="S94" s="3">
        <v>13</v>
      </c>
      <c r="T94" s="3">
        <v>14</v>
      </c>
      <c r="U94" s="73"/>
      <c r="V94" s="16">
        <v>15</v>
      </c>
      <c r="W94" s="16">
        <v>16</v>
      </c>
      <c r="X94" s="16">
        <v>17</v>
      </c>
      <c r="Y94" s="16">
        <v>18</v>
      </c>
      <c r="Z94" s="16">
        <v>19</v>
      </c>
    </row>
    <row r="95" spans="1:26" ht="15.75" x14ac:dyDescent="0.25">
      <c r="A95" s="76">
        <v>1</v>
      </c>
      <c r="B95" s="96" t="s">
        <v>78</v>
      </c>
      <c r="C95" s="4" t="s">
        <v>44</v>
      </c>
      <c r="D95" s="4" t="s">
        <v>36</v>
      </c>
      <c r="E95" s="4">
        <v>30</v>
      </c>
      <c r="F95" s="4">
        <v>4</v>
      </c>
      <c r="G95" s="4">
        <v>4</v>
      </c>
      <c r="H95" s="4">
        <v>26</v>
      </c>
      <c r="I95" s="4">
        <v>1</v>
      </c>
      <c r="J95" s="5">
        <v>31</v>
      </c>
      <c r="K95" s="4">
        <v>3</v>
      </c>
      <c r="L95" s="4">
        <v>22</v>
      </c>
      <c r="M95" s="5">
        <v>2</v>
      </c>
      <c r="N95" s="4">
        <v>2</v>
      </c>
      <c r="O95" s="4">
        <v>0</v>
      </c>
      <c r="P95" s="5">
        <v>27</v>
      </c>
      <c r="Q95" s="4">
        <v>96</v>
      </c>
      <c r="R95" s="4">
        <v>0</v>
      </c>
      <c r="S95" s="4">
        <v>101</v>
      </c>
      <c r="T95" s="5">
        <v>4</v>
      </c>
      <c r="U95" s="5">
        <v>24</v>
      </c>
      <c r="V95" s="7">
        <v>3.3666666666666667</v>
      </c>
      <c r="W95" s="7">
        <v>84.166666666666671</v>
      </c>
      <c r="X95" s="7">
        <v>4.208333333333333</v>
      </c>
      <c r="Y95" s="6">
        <v>0.79166666666666663</v>
      </c>
      <c r="Z95" s="7">
        <v>6</v>
      </c>
    </row>
    <row r="96" spans="1:26" ht="15.75" x14ac:dyDescent="0.25">
      <c r="A96" s="77"/>
      <c r="B96" s="97"/>
      <c r="C96" s="8" t="s">
        <v>44</v>
      </c>
      <c r="D96" s="8" t="s">
        <v>36</v>
      </c>
      <c r="E96" s="4">
        <v>30</v>
      </c>
      <c r="F96" s="8">
        <v>4</v>
      </c>
      <c r="G96" s="8">
        <v>4</v>
      </c>
      <c r="H96" s="8">
        <v>26</v>
      </c>
      <c r="I96" s="8">
        <v>1</v>
      </c>
      <c r="J96" s="8">
        <v>31</v>
      </c>
      <c r="K96" s="8">
        <v>3</v>
      </c>
      <c r="L96" s="8">
        <v>22</v>
      </c>
      <c r="M96" s="8">
        <v>2</v>
      </c>
      <c r="N96" s="8">
        <v>2</v>
      </c>
      <c r="O96" s="8">
        <v>0</v>
      </c>
      <c r="P96" s="8">
        <v>27</v>
      </c>
      <c r="Q96" s="8">
        <v>96</v>
      </c>
      <c r="R96" s="8">
        <v>0</v>
      </c>
      <c r="S96" s="8">
        <v>101</v>
      </c>
      <c r="T96" s="8">
        <v>4</v>
      </c>
      <c r="U96" s="8">
        <v>24</v>
      </c>
      <c r="V96" s="24">
        <v>3.3666666666666667</v>
      </c>
      <c r="W96" s="24">
        <v>84.166666666666671</v>
      </c>
      <c r="X96" s="24">
        <v>4.208333333333333</v>
      </c>
      <c r="Y96" s="24">
        <v>0.79166666666666663</v>
      </c>
      <c r="Z96" s="24">
        <v>6</v>
      </c>
    </row>
    <row r="97" spans="1:26" ht="15.75" x14ac:dyDescent="0.25">
      <c r="A97" s="76">
        <v>2</v>
      </c>
      <c r="B97" s="97"/>
      <c r="C97" s="4" t="s">
        <v>45</v>
      </c>
      <c r="D97" s="4" t="s">
        <v>36</v>
      </c>
      <c r="E97" s="4">
        <v>30</v>
      </c>
      <c r="F97" s="4">
        <v>8</v>
      </c>
      <c r="G97" s="4">
        <v>13</v>
      </c>
      <c r="H97" s="4">
        <v>80</v>
      </c>
      <c r="I97" s="4">
        <v>18</v>
      </c>
      <c r="J97" s="5">
        <v>111</v>
      </c>
      <c r="K97" s="4">
        <v>5</v>
      </c>
      <c r="L97" s="4">
        <v>89</v>
      </c>
      <c r="M97" s="5">
        <v>6</v>
      </c>
      <c r="N97" s="4">
        <v>0</v>
      </c>
      <c r="O97" s="4">
        <v>6</v>
      </c>
      <c r="P97" s="5">
        <v>100</v>
      </c>
      <c r="Q97" s="4">
        <v>405</v>
      </c>
      <c r="R97" s="4">
        <v>0</v>
      </c>
      <c r="S97" s="4">
        <v>339</v>
      </c>
      <c r="T97" s="5">
        <v>11</v>
      </c>
      <c r="U97" s="5">
        <v>95</v>
      </c>
      <c r="V97" s="7">
        <v>11.3</v>
      </c>
      <c r="W97" s="7">
        <v>141.25</v>
      </c>
      <c r="X97" s="7">
        <v>3.5684210526315789</v>
      </c>
      <c r="Y97" s="6">
        <v>-1.0421052631578951</v>
      </c>
      <c r="Z97" s="7">
        <v>11.875</v>
      </c>
    </row>
    <row r="98" spans="1:26" ht="15.75" x14ac:dyDescent="0.25">
      <c r="A98" s="77"/>
      <c r="B98" s="97"/>
      <c r="C98" s="8" t="s">
        <v>45</v>
      </c>
      <c r="D98" s="8" t="s">
        <v>36</v>
      </c>
      <c r="E98" s="4">
        <v>30</v>
      </c>
      <c r="F98" s="8">
        <v>8</v>
      </c>
      <c r="G98" s="8">
        <v>13</v>
      </c>
      <c r="H98" s="8">
        <v>80</v>
      </c>
      <c r="I98" s="8">
        <v>18</v>
      </c>
      <c r="J98" s="8">
        <v>111</v>
      </c>
      <c r="K98" s="8">
        <v>5</v>
      </c>
      <c r="L98" s="8">
        <v>89</v>
      </c>
      <c r="M98" s="8">
        <v>6</v>
      </c>
      <c r="N98" s="8">
        <v>0</v>
      </c>
      <c r="O98" s="8">
        <v>6</v>
      </c>
      <c r="P98" s="8">
        <v>100</v>
      </c>
      <c r="Q98" s="8">
        <v>405</v>
      </c>
      <c r="R98" s="8">
        <v>0</v>
      </c>
      <c r="S98" s="8">
        <v>339</v>
      </c>
      <c r="T98" s="8">
        <v>11</v>
      </c>
      <c r="U98" s="8">
        <v>95</v>
      </c>
      <c r="V98" s="24">
        <v>11.3</v>
      </c>
      <c r="W98" s="24">
        <v>141.25</v>
      </c>
      <c r="X98" s="24">
        <v>3.5684210526315789</v>
      </c>
      <c r="Y98" s="24">
        <v>-1.0421052631578951</v>
      </c>
      <c r="Z98" s="24">
        <v>11.875</v>
      </c>
    </row>
    <row r="99" spans="1:26" ht="15.75" x14ac:dyDescent="0.25">
      <c r="A99" s="76">
        <v>3</v>
      </c>
      <c r="B99" s="97"/>
      <c r="C99" s="4" t="s">
        <v>56</v>
      </c>
      <c r="D99" s="4" t="s">
        <v>36</v>
      </c>
      <c r="E99" s="4">
        <v>30</v>
      </c>
      <c r="F99" s="4">
        <v>8</v>
      </c>
      <c r="G99" s="4">
        <v>9</v>
      </c>
      <c r="H99" s="4">
        <v>80</v>
      </c>
      <c r="I99" s="4">
        <v>98</v>
      </c>
      <c r="J99" s="5">
        <v>187</v>
      </c>
      <c r="K99" s="4">
        <v>159</v>
      </c>
      <c r="L99" s="4">
        <v>21</v>
      </c>
      <c r="M99" s="5">
        <v>1</v>
      </c>
      <c r="N99" s="4">
        <v>1</v>
      </c>
      <c r="O99" s="4">
        <v>0</v>
      </c>
      <c r="P99" s="5">
        <v>181</v>
      </c>
      <c r="Q99" s="4">
        <v>47</v>
      </c>
      <c r="R99" s="4">
        <v>0</v>
      </c>
      <c r="S99" s="4">
        <v>185</v>
      </c>
      <c r="T99" s="5">
        <v>6</v>
      </c>
      <c r="U99" s="5">
        <v>22</v>
      </c>
      <c r="V99" s="7">
        <v>6.166666666666667</v>
      </c>
      <c r="W99" s="7">
        <v>77.083333333333343</v>
      </c>
      <c r="X99" s="7">
        <v>8.4090909090909083</v>
      </c>
      <c r="Y99" s="6">
        <v>2.4999999999999996</v>
      </c>
      <c r="Z99" s="7">
        <v>2.75</v>
      </c>
    </row>
    <row r="100" spans="1:26" ht="15.75" x14ac:dyDescent="0.25">
      <c r="A100" s="98"/>
      <c r="B100" s="97"/>
      <c r="C100" s="4" t="s">
        <v>60</v>
      </c>
      <c r="D100" s="4" t="s">
        <v>36</v>
      </c>
      <c r="E100" s="4">
        <v>30</v>
      </c>
      <c r="F100" s="4">
        <v>0</v>
      </c>
      <c r="G100" s="4">
        <v>0</v>
      </c>
      <c r="H100" s="4">
        <v>0</v>
      </c>
      <c r="I100" s="4">
        <v>0</v>
      </c>
      <c r="J100" s="5">
        <v>0</v>
      </c>
      <c r="K100" s="4">
        <v>0</v>
      </c>
      <c r="L100" s="4">
        <v>0</v>
      </c>
      <c r="M100" s="5">
        <v>0</v>
      </c>
      <c r="N100" s="4">
        <v>0</v>
      </c>
      <c r="O100" s="4">
        <v>0</v>
      </c>
      <c r="P100" s="5">
        <v>0</v>
      </c>
      <c r="Q100" s="4">
        <v>0</v>
      </c>
      <c r="R100" s="4">
        <v>0</v>
      </c>
      <c r="S100" s="4">
        <v>0</v>
      </c>
      <c r="T100" s="5">
        <v>0</v>
      </c>
      <c r="U100" s="5">
        <v>0</v>
      </c>
      <c r="V100" s="7">
        <v>0</v>
      </c>
      <c r="W100" s="7" t="e">
        <v>#DIV/0!</v>
      </c>
      <c r="X100" s="7" t="e">
        <v>#DIV/0!</v>
      </c>
      <c r="Y100" s="6" t="e">
        <v>#DIV/0!</v>
      </c>
      <c r="Z100" s="7" t="e">
        <v>#DIV/0!</v>
      </c>
    </row>
    <row r="101" spans="1:26" ht="15.75" x14ac:dyDescent="0.25">
      <c r="A101" s="77"/>
      <c r="B101" s="97"/>
      <c r="C101" s="8" t="s">
        <v>77</v>
      </c>
      <c r="D101" s="8" t="s">
        <v>36</v>
      </c>
      <c r="E101" s="4">
        <v>30</v>
      </c>
      <c r="F101" s="8">
        <v>8</v>
      </c>
      <c r="G101" s="8">
        <v>9</v>
      </c>
      <c r="H101" s="8">
        <v>80</v>
      </c>
      <c r="I101" s="8">
        <v>98</v>
      </c>
      <c r="J101" s="8">
        <v>187</v>
      </c>
      <c r="K101" s="8">
        <v>159</v>
      </c>
      <c r="L101" s="8">
        <v>21</v>
      </c>
      <c r="M101" s="8">
        <v>1</v>
      </c>
      <c r="N101" s="8">
        <v>1</v>
      </c>
      <c r="O101" s="8">
        <v>0</v>
      </c>
      <c r="P101" s="8">
        <v>181</v>
      </c>
      <c r="Q101" s="8">
        <v>47</v>
      </c>
      <c r="R101" s="8">
        <v>0</v>
      </c>
      <c r="S101" s="8">
        <v>185</v>
      </c>
      <c r="T101" s="8">
        <v>6</v>
      </c>
      <c r="U101" s="8">
        <v>22</v>
      </c>
      <c r="V101" s="24">
        <v>6.166666666666667</v>
      </c>
      <c r="W101" s="24">
        <v>77.083333333333343</v>
      </c>
      <c r="X101" s="24">
        <v>8.4090909090909083</v>
      </c>
      <c r="Y101" s="24">
        <v>2.4999999999999996</v>
      </c>
      <c r="Z101" s="24">
        <v>2.75</v>
      </c>
    </row>
    <row r="102" spans="1:26" ht="15.75" x14ac:dyDescent="0.25">
      <c r="A102" s="76">
        <v>4</v>
      </c>
      <c r="B102" s="97"/>
      <c r="C102" s="5" t="s">
        <v>37</v>
      </c>
      <c r="D102" s="5" t="s">
        <v>36</v>
      </c>
      <c r="E102" s="4">
        <v>30</v>
      </c>
      <c r="F102" s="5">
        <v>2</v>
      </c>
      <c r="G102" s="5">
        <v>1</v>
      </c>
      <c r="H102" s="5">
        <v>11</v>
      </c>
      <c r="I102" s="5">
        <v>6</v>
      </c>
      <c r="J102" s="5">
        <v>18</v>
      </c>
      <c r="K102" s="5">
        <v>2</v>
      </c>
      <c r="L102" s="5">
        <v>14</v>
      </c>
      <c r="M102" s="5">
        <v>0</v>
      </c>
      <c r="N102" s="5">
        <v>0</v>
      </c>
      <c r="O102" s="5">
        <v>0</v>
      </c>
      <c r="P102" s="5">
        <v>16</v>
      </c>
      <c r="Q102" s="5">
        <v>60</v>
      </c>
      <c r="R102" s="5">
        <v>0</v>
      </c>
      <c r="S102" s="5">
        <v>52</v>
      </c>
      <c r="T102" s="5">
        <v>2</v>
      </c>
      <c r="U102" s="5">
        <v>14</v>
      </c>
      <c r="V102" s="7">
        <v>1.7333333333333334</v>
      </c>
      <c r="W102" s="7">
        <v>86.666666666666671</v>
      </c>
      <c r="X102" s="7">
        <v>3.7142857142857144</v>
      </c>
      <c r="Y102" s="6">
        <v>0.57142857142857129</v>
      </c>
      <c r="Z102" s="7">
        <v>7</v>
      </c>
    </row>
    <row r="103" spans="1:26" ht="15.75" x14ac:dyDescent="0.25">
      <c r="A103" s="77"/>
      <c r="B103" s="97"/>
      <c r="C103" s="8" t="s">
        <v>37</v>
      </c>
      <c r="D103" s="8" t="s">
        <v>36</v>
      </c>
      <c r="E103" s="4">
        <v>30</v>
      </c>
      <c r="F103" s="8">
        <v>2</v>
      </c>
      <c r="G103" s="8">
        <v>1</v>
      </c>
      <c r="H103" s="8">
        <v>11</v>
      </c>
      <c r="I103" s="8">
        <v>6</v>
      </c>
      <c r="J103" s="8">
        <v>18</v>
      </c>
      <c r="K103" s="8">
        <v>2</v>
      </c>
      <c r="L103" s="8">
        <v>14</v>
      </c>
      <c r="M103" s="8">
        <v>0</v>
      </c>
      <c r="N103" s="8">
        <v>0</v>
      </c>
      <c r="O103" s="8">
        <v>0</v>
      </c>
      <c r="P103" s="8">
        <v>16</v>
      </c>
      <c r="Q103" s="8">
        <v>60</v>
      </c>
      <c r="R103" s="8">
        <v>0</v>
      </c>
      <c r="S103" s="8">
        <v>52</v>
      </c>
      <c r="T103" s="8">
        <v>2</v>
      </c>
      <c r="U103" s="8">
        <v>14</v>
      </c>
      <c r="V103" s="24">
        <v>1.7333333333333334</v>
      </c>
      <c r="W103" s="24">
        <v>86.666666666666671</v>
      </c>
      <c r="X103" s="24">
        <v>3.7142857142857144</v>
      </c>
      <c r="Y103" s="24">
        <v>0.57142857142857129</v>
      </c>
      <c r="Z103" s="24">
        <v>7</v>
      </c>
    </row>
    <row r="104" spans="1:26" ht="15.75" x14ac:dyDescent="0.25">
      <c r="A104" s="79" t="s">
        <v>83</v>
      </c>
      <c r="B104" s="80"/>
      <c r="C104" s="80"/>
      <c r="D104" s="81"/>
      <c r="E104" s="4">
        <v>30</v>
      </c>
      <c r="F104" s="20">
        <v>22</v>
      </c>
      <c r="G104" s="20">
        <v>27</v>
      </c>
      <c r="H104" s="20">
        <v>197</v>
      </c>
      <c r="I104" s="20">
        <v>123</v>
      </c>
      <c r="J104" s="11">
        <v>347</v>
      </c>
      <c r="K104" s="20">
        <v>169</v>
      </c>
      <c r="L104" s="20">
        <v>146</v>
      </c>
      <c r="M104" s="11">
        <v>9</v>
      </c>
      <c r="N104" s="20">
        <v>3</v>
      </c>
      <c r="O104" s="20">
        <v>6</v>
      </c>
      <c r="P104" s="11">
        <v>324</v>
      </c>
      <c r="Q104" s="20">
        <v>608</v>
      </c>
      <c r="R104" s="20">
        <v>0</v>
      </c>
      <c r="S104" s="20">
        <v>677</v>
      </c>
      <c r="T104" s="11">
        <v>23</v>
      </c>
      <c r="U104" s="11">
        <v>155</v>
      </c>
      <c r="V104" s="22">
        <v>22.566666666666666</v>
      </c>
      <c r="W104" s="12">
        <v>102.57575757575756</v>
      </c>
      <c r="X104" s="12">
        <v>4.3677419354838714</v>
      </c>
      <c r="Y104" s="12">
        <v>-0.10967741935483867</v>
      </c>
      <c r="Z104" s="12">
        <v>7.0454545454545459</v>
      </c>
    </row>
    <row r="107" spans="1:26" x14ac:dyDescent="0.25">
      <c r="A107" s="78" t="s">
        <v>1</v>
      </c>
      <c r="B107" s="78" t="s">
        <v>2</v>
      </c>
      <c r="C107" s="72" t="s">
        <v>3</v>
      </c>
      <c r="D107" s="72" t="s">
        <v>4</v>
      </c>
      <c r="E107" s="75" t="s">
        <v>5</v>
      </c>
      <c r="F107" s="72" t="s">
        <v>6</v>
      </c>
      <c r="G107" s="72" t="s">
        <v>7</v>
      </c>
      <c r="H107" s="72" t="s">
        <v>8</v>
      </c>
      <c r="I107" s="75" t="s">
        <v>9</v>
      </c>
      <c r="J107" s="72" t="s">
        <v>10</v>
      </c>
      <c r="K107" s="72" t="s">
        <v>11</v>
      </c>
      <c r="L107" s="72" t="s">
        <v>12</v>
      </c>
      <c r="M107" s="72" t="s">
        <v>13</v>
      </c>
      <c r="N107" s="72" t="s">
        <v>14</v>
      </c>
      <c r="O107" s="72" t="s">
        <v>15</v>
      </c>
      <c r="P107" s="72" t="s">
        <v>16</v>
      </c>
      <c r="Q107" s="72" t="s">
        <v>17</v>
      </c>
      <c r="R107" s="72" t="s">
        <v>18</v>
      </c>
      <c r="S107" s="72" t="s">
        <v>19</v>
      </c>
      <c r="T107" s="72" t="s">
        <v>20</v>
      </c>
      <c r="U107" s="73" t="s">
        <v>21</v>
      </c>
      <c r="V107" s="2" t="s">
        <v>22</v>
      </c>
      <c r="W107" s="2" t="s">
        <v>23</v>
      </c>
      <c r="X107" s="2" t="s">
        <v>24</v>
      </c>
      <c r="Y107" s="2" t="s">
        <v>25</v>
      </c>
      <c r="Z107" s="2" t="s">
        <v>26</v>
      </c>
    </row>
    <row r="108" spans="1:26" x14ac:dyDescent="0.25">
      <c r="A108" s="78"/>
      <c r="B108" s="78"/>
      <c r="C108" s="72"/>
      <c r="D108" s="72"/>
      <c r="E108" s="75"/>
      <c r="F108" s="72"/>
      <c r="G108" s="72"/>
      <c r="H108" s="72"/>
      <c r="I108" s="75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3"/>
      <c r="V108" s="71" t="s">
        <v>27</v>
      </c>
      <c r="W108" s="71" t="s">
        <v>28</v>
      </c>
      <c r="X108" s="71" t="s">
        <v>29</v>
      </c>
      <c r="Y108" s="71" t="s">
        <v>30</v>
      </c>
      <c r="Z108" s="71" t="s">
        <v>31</v>
      </c>
    </row>
    <row r="109" spans="1:26" x14ac:dyDescent="0.25">
      <c r="A109" s="78"/>
      <c r="B109" s="78"/>
      <c r="C109" s="72"/>
      <c r="D109" s="72"/>
      <c r="E109" s="75"/>
      <c r="F109" s="72"/>
      <c r="G109" s="72"/>
      <c r="H109" s="72"/>
      <c r="I109" s="75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3"/>
      <c r="V109" s="74"/>
      <c r="W109" s="71"/>
      <c r="X109" s="71"/>
      <c r="Y109" s="71"/>
      <c r="Z109" s="71"/>
    </row>
    <row r="110" spans="1:26" x14ac:dyDescent="0.25">
      <c r="A110" s="78"/>
      <c r="B110" s="78"/>
      <c r="C110" s="72"/>
      <c r="D110" s="72"/>
      <c r="E110" s="75"/>
      <c r="F110" s="72"/>
      <c r="G110" s="3">
        <v>1</v>
      </c>
      <c r="H110" s="3">
        <v>2</v>
      </c>
      <c r="I110" s="3">
        <v>3</v>
      </c>
      <c r="J110" s="3">
        <v>4</v>
      </c>
      <c r="K110" s="3">
        <v>5</v>
      </c>
      <c r="L110" s="3">
        <v>6</v>
      </c>
      <c r="M110" s="3">
        <v>7</v>
      </c>
      <c r="N110" s="3">
        <v>8</v>
      </c>
      <c r="O110" s="3">
        <v>9</v>
      </c>
      <c r="P110" s="3">
        <v>10</v>
      </c>
      <c r="Q110" s="3">
        <v>11</v>
      </c>
      <c r="R110" s="3">
        <v>12</v>
      </c>
      <c r="S110" s="3">
        <v>13</v>
      </c>
      <c r="T110" s="3">
        <v>14</v>
      </c>
      <c r="U110" s="73"/>
      <c r="V110" s="16">
        <v>15</v>
      </c>
      <c r="W110" s="16">
        <v>16</v>
      </c>
      <c r="X110" s="16">
        <v>17</v>
      </c>
      <c r="Y110" s="16">
        <v>18</v>
      </c>
      <c r="Z110" s="16">
        <v>19</v>
      </c>
    </row>
    <row r="111" spans="1:26" ht="15.75" x14ac:dyDescent="0.25">
      <c r="A111" s="76">
        <v>1</v>
      </c>
      <c r="B111" s="90" t="s">
        <v>79</v>
      </c>
      <c r="C111" s="4" t="s">
        <v>44</v>
      </c>
      <c r="D111" s="4" t="s">
        <v>32</v>
      </c>
      <c r="E111" s="4">
        <v>30</v>
      </c>
      <c r="F111" s="4">
        <v>12</v>
      </c>
      <c r="G111" s="4">
        <v>12</v>
      </c>
      <c r="H111" s="4">
        <v>75</v>
      </c>
      <c r="I111" s="4">
        <v>9</v>
      </c>
      <c r="J111" s="5">
        <v>96</v>
      </c>
      <c r="K111" s="4">
        <v>5</v>
      </c>
      <c r="L111" s="4">
        <v>78</v>
      </c>
      <c r="M111" s="5">
        <v>2</v>
      </c>
      <c r="N111" s="4">
        <v>2</v>
      </c>
      <c r="O111" s="4">
        <v>0</v>
      </c>
      <c r="P111" s="5">
        <v>85</v>
      </c>
      <c r="Q111" s="4">
        <v>299</v>
      </c>
      <c r="R111" s="4">
        <v>0</v>
      </c>
      <c r="S111" s="4">
        <v>307</v>
      </c>
      <c r="T111" s="5">
        <v>11</v>
      </c>
      <c r="U111" s="5">
        <v>80</v>
      </c>
      <c r="V111" s="7">
        <v>10.233333333333333</v>
      </c>
      <c r="W111" s="7">
        <v>85.277777777777771</v>
      </c>
      <c r="X111" s="7">
        <v>3.8374999999999999</v>
      </c>
      <c r="Y111" s="6">
        <v>0.66250000000000031</v>
      </c>
      <c r="Z111" s="7">
        <v>6.666666666666667</v>
      </c>
    </row>
    <row r="112" spans="1:26" ht="15.75" x14ac:dyDescent="0.25">
      <c r="A112" s="77"/>
      <c r="B112" s="91"/>
      <c r="C112" s="8" t="s">
        <v>44</v>
      </c>
      <c r="D112" s="4" t="s">
        <v>32</v>
      </c>
      <c r="E112" s="4">
        <v>30</v>
      </c>
      <c r="F112" s="8">
        <v>12</v>
      </c>
      <c r="G112" s="8">
        <v>12</v>
      </c>
      <c r="H112" s="8">
        <v>75</v>
      </c>
      <c r="I112" s="8">
        <v>9</v>
      </c>
      <c r="J112" s="8">
        <v>96</v>
      </c>
      <c r="K112" s="8">
        <v>5</v>
      </c>
      <c r="L112" s="8">
        <v>78</v>
      </c>
      <c r="M112" s="8">
        <v>2</v>
      </c>
      <c r="N112" s="8">
        <v>2</v>
      </c>
      <c r="O112" s="8">
        <v>0</v>
      </c>
      <c r="P112" s="8">
        <v>85</v>
      </c>
      <c r="Q112" s="8">
        <v>299</v>
      </c>
      <c r="R112" s="8">
        <v>0</v>
      </c>
      <c r="S112" s="8">
        <v>307</v>
      </c>
      <c r="T112" s="8">
        <v>11</v>
      </c>
      <c r="U112" s="8">
        <v>80</v>
      </c>
      <c r="V112" s="24">
        <v>10.233333333333333</v>
      </c>
      <c r="W112" s="24">
        <v>85.277777777777771</v>
      </c>
      <c r="X112" s="24">
        <v>3.8374999999999999</v>
      </c>
      <c r="Y112" s="24">
        <v>0.66250000000000031</v>
      </c>
      <c r="Z112" s="24">
        <v>6.666666666666667</v>
      </c>
    </row>
    <row r="113" spans="1:26" ht="15.75" x14ac:dyDescent="0.25">
      <c r="A113" s="76">
        <v>2</v>
      </c>
      <c r="B113" s="91"/>
      <c r="C113" s="4" t="s">
        <v>55</v>
      </c>
      <c r="D113" s="4" t="s">
        <v>32</v>
      </c>
      <c r="E113" s="4">
        <v>30</v>
      </c>
      <c r="F113" s="4">
        <v>14</v>
      </c>
      <c r="G113" s="4">
        <v>16</v>
      </c>
      <c r="H113" s="4">
        <v>145</v>
      </c>
      <c r="I113" s="4">
        <v>12</v>
      </c>
      <c r="J113" s="5">
        <v>173</v>
      </c>
      <c r="K113" s="4">
        <v>9</v>
      </c>
      <c r="L113" s="4">
        <v>129</v>
      </c>
      <c r="M113" s="5">
        <v>17</v>
      </c>
      <c r="N113" s="4">
        <v>11</v>
      </c>
      <c r="O113" s="4">
        <v>6</v>
      </c>
      <c r="P113" s="5">
        <v>155</v>
      </c>
      <c r="Q113" s="4">
        <v>538</v>
      </c>
      <c r="R113" s="4">
        <v>2</v>
      </c>
      <c r="S113" s="4">
        <v>494</v>
      </c>
      <c r="T113" s="5">
        <v>18</v>
      </c>
      <c r="U113" s="5">
        <v>146</v>
      </c>
      <c r="V113" s="7">
        <v>16.466666666666665</v>
      </c>
      <c r="W113" s="7">
        <v>117.61904761904761</v>
      </c>
      <c r="X113" s="7">
        <v>3.3835616438356166</v>
      </c>
      <c r="Y113" s="6">
        <v>-0.50684931506849273</v>
      </c>
      <c r="Z113" s="7">
        <v>10.428571428571429</v>
      </c>
    </row>
    <row r="114" spans="1:26" ht="15.75" x14ac:dyDescent="0.25">
      <c r="A114" s="77"/>
      <c r="B114" s="91"/>
      <c r="C114" s="8" t="s">
        <v>55</v>
      </c>
      <c r="D114" s="4" t="s">
        <v>32</v>
      </c>
      <c r="E114" s="4">
        <v>30</v>
      </c>
      <c r="F114" s="8">
        <v>14</v>
      </c>
      <c r="G114" s="8">
        <v>16</v>
      </c>
      <c r="H114" s="8">
        <v>145</v>
      </c>
      <c r="I114" s="8">
        <v>12</v>
      </c>
      <c r="J114" s="8">
        <v>173</v>
      </c>
      <c r="K114" s="8">
        <v>9</v>
      </c>
      <c r="L114" s="8">
        <v>129</v>
      </c>
      <c r="M114" s="8">
        <v>17</v>
      </c>
      <c r="N114" s="8">
        <v>11</v>
      </c>
      <c r="O114" s="8">
        <v>6</v>
      </c>
      <c r="P114" s="8">
        <v>155</v>
      </c>
      <c r="Q114" s="8">
        <v>538</v>
      </c>
      <c r="R114" s="8">
        <v>2</v>
      </c>
      <c r="S114" s="8">
        <v>494</v>
      </c>
      <c r="T114" s="8">
        <v>18</v>
      </c>
      <c r="U114" s="8">
        <v>146</v>
      </c>
      <c r="V114" s="24">
        <v>16.466666666666665</v>
      </c>
      <c r="W114" s="24">
        <v>117.61904761904761</v>
      </c>
      <c r="X114" s="24">
        <v>3.3835616438356166</v>
      </c>
      <c r="Y114" s="24">
        <v>-0.50684931506849273</v>
      </c>
      <c r="Z114" s="24">
        <v>10.428571428571429</v>
      </c>
    </row>
    <row r="115" spans="1:26" ht="15.75" x14ac:dyDescent="0.25">
      <c r="A115" s="76">
        <v>3</v>
      </c>
      <c r="B115" s="91"/>
      <c r="C115" s="4" t="s">
        <v>74</v>
      </c>
      <c r="D115" s="4" t="s">
        <v>32</v>
      </c>
      <c r="E115" s="4">
        <v>30</v>
      </c>
      <c r="F115" s="4">
        <v>15</v>
      </c>
      <c r="G115" s="4">
        <v>17</v>
      </c>
      <c r="H115" s="4">
        <v>138</v>
      </c>
      <c r="I115" s="4">
        <v>17</v>
      </c>
      <c r="J115" s="5">
        <v>172</v>
      </c>
      <c r="K115" s="4">
        <v>16</v>
      </c>
      <c r="L115" s="4">
        <v>108</v>
      </c>
      <c r="M115" s="5">
        <v>29</v>
      </c>
      <c r="N115" s="4">
        <v>15</v>
      </c>
      <c r="O115" s="4">
        <v>14</v>
      </c>
      <c r="P115" s="5">
        <v>153</v>
      </c>
      <c r="Q115" s="4">
        <v>596</v>
      </c>
      <c r="R115" s="4">
        <v>1</v>
      </c>
      <c r="S115" s="4">
        <v>560</v>
      </c>
      <c r="T115" s="5">
        <v>19</v>
      </c>
      <c r="U115" s="5">
        <v>137</v>
      </c>
      <c r="V115" s="7">
        <v>18.666666666666668</v>
      </c>
      <c r="W115" s="7">
        <v>124.44444444444444</v>
      </c>
      <c r="X115" s="7">
        <v>4.0875912408759127</v>
      </c>
      <c r="Y115" s="6">
        <v>-0.80291970802919732</v>
      </c>
      <c r="Z115" s="7">
        <v>9.1333333333333329</v>
      </c>
    </row>
    <row r="116" spans="1:26" ht="15.75" x14ac:dyDescent="0.25">
      <c r="A116" s="77"/>
      <c r="B116" s="91"/>
      <c r="C116" s="8" t="s">
        <v>74</v>
      </c>
      <c r="D116" s="4" t="s">
        <v>32</v>
      </c>
      <c r="E116" s="4">
        <v>30</v>
      </c>
      <c r="F116" s="8">
        <v>15</v>
      </c>
      <c r="G116" s="8">
        <v>17</v>
      </c>
      <c r="H116" s="8">
        <v>138</v>
      </c>
      <c r="I116" s="8">
        <v>17</v>
      </c>
      <c r="J116" s="8">
        <v>172</v>
      </c>
      <c r="K116" s="8">
        <v>16</v>
      </c>
      <c r="L116" s="8">
        <v>108</v>
      </c>
      <c r="M116" s="8">
        <v>29</v>
      </c>
      <c r="N116" s="8">
        <v>15</v>
      </c>
      <c r="O116" s="8">
        <v>14</v>
      </c>
      <c r="P116" s="8">
        <v>153</v>
      </c>
      <c r="Q116" s="8">
        <v>596</v>
      </c>
      <c r="R116" s="8">
        <v>1</v>
      </c>
      <c r="S116" s="8">
        <v>560</v>
      </c>
      <c r="T116" s="8">
        <v>19</v>
      </c>
      <c r="U116" s="8">
        <v>137</v>
      </c>
      <c r="V116" s="24">
        <v>18.666666666666668</v>
      </c>
      <c r="W116" s="24">
        <v>124.44444444444444</v>
      </c>
      <c r="X116" s="24">
        <v>4.0875912408759127</v>
      </c>
      <c r="Y116" s="24">
        <v>-0.80291970802919732</v>
      </c>
      <c r="Z116" s="24">
        <v>9.1333333333333329</v>
      </c>
    </row>
    <row r="117" spans="1:26" ht="15.75" x14ac:dyDescent="0.25">
      <c r="A117" s="76">
        <v>4</v>
      </c>
      <c r="B117" s="91"/>
      <c r="C117" s="5" t="s">
        <v>39</v>
      </c>
      <c r="D117" s="4" t="s">
        <v>32</v>
      </c>
      <c r="E117" s="4">
        <v>30</v>
      </c>
      <c r="F117" s="5">
        <v>24</v>
      </c>
      <c r="G117" s="5">
        <v>24</v>
      </c>
      <c r="H117" s="5">
        <v>201</v>
      </c>
      <c r="I117" s="5">
        <v>9</v>
      </c>
      <c r="J117" s="5">
        <v>234</v>
      </c>
      <c r="K117" s="5">
        <v>19</v>
      </c>
      <c r="L117" s="5">
        <v>192</v>
      </c>
      <c r="M117" s="5">
        <v>5</v>
      </c>
      <c r="N117" s="5">
        <v>3</v>
      </c>
      <c r="O117" s="5">
        <v>2</v>
      </c>
      <c r="P117" s="5">
        <v>216</v>
      </c>
      <c r="Q117" s="5">
        <v>684</v>
      </c>
      <c r="R117" s="5">
        <v>0</v>
      </c>
      <c r="S117" s="5">
        <v>653</v>
      </c>
      <c r="T117" s="5">
        <v>18</v>
      </c>
      <c r="U117" s="5">
        <v>197</v>
      </c>
      <c r="V117" s="7">
        <v>21.766666666666666</v>
      </c>
      <c r="W117" s="7">
        <v>90.694444444444443</v>
      </c>
      <c r="X117" s="7">
        <v>3.3147208121827409</v>
      </c>
      <c r="Y117" s="6">
        <v>0.34010152284263973</v>
      </c>
      <c r="Z117" s="7">
        <v>8.2083333333333339</v>
      </c>
    </row>
    <row r="118" spans="1:26" ht="15.75" x14ac:dyDescent="0.25">
      <c r="A118" s="77"/>
      <c r="B118" s="91"/>
      <c r="C118" s="8" t="s">
        <v>39</v>
      </c>
      <c r="D118" s="4" t="s">
        <v>32</v>
      </c>
      <c r="E118" s="4">
        <v>30</v>
      </c>
      <c r="F118" s="8">
        <v>24</v>
      </c>
      <c r="G118" s="8">
        <v>24</v>
      </c>
      <c r="H118" s="8">
        <v>201</v>
      </c>
      <c r="I118" s="8">
        <v>9</v>
      </c>
      <c r="J118" s="8">
        <v>234</v>
      </c>
      <c r="K118" s="8">
        <v>19</v>
      </c>
      <c r="L118" s="8">
        <v>192</v>
      </c>
      <c r="M118" s="8">
        <v>5</v>
      </c>
      <c r="N118" s="8">
        <v>3</v>
      </c>
      <c r="O118" s="8">
        <v>2</v>
      </c>
      <c r="P118" s="8">
        <v>216</v>
      </c>
      <c r="Q118" s="8">
        <v>684</v>
      </c>
      <c r="R118" s="8">
        <v>0</v>
      </c>
      <c r="S118" s="8">
        <v>653</v>
      </c>
      <c r="T118" s="8">
        <v>18</v>
      </c>
      <c r="U118" s="8">
        <v>197</v>
      </c>
      <c r="V118" s="24">
        <v>21.766666666666666</v>
      </c>
      <c r="W118" s="24">
        <v>90.694444444444443</v>
      </c>
      <c r="X118" s="24">
        <v>3.3147208121827409</v>
      </c>
      <c r="Y118" s="24">
        <v>0.34010152284263973</v>
      </c>
      <c r="Z118" s="24">
        <v>8.2083333333333339</v>
      </c>
    </row>
    <row r="119" spans="1:26" ht="15.75" x14ac:dyDescent="0.25">
      <c r="A119" s="76">
        <v>5</v>
      </c>
      <c r="B119" s="91"/>
      <c r="C119" s="5" t="s">
        <v>41</v>
      </c>
      <c r="D119" s="4" t="s">
        <v>32</v>
      </c>
      <c r="E119" s="4">
        <v>30</v>
      </c>
      <c r="F119" s="5">
        <v>20</v>
      </c>
      <c r="G119" s="5">
        <v>20</v>
      </c>
      <c r="H119" s="5">
        <v>177</v>
      </c>
      <c r="I119" s="5">
        <v>4</v>
      </c>
      <c r="J119" s="5">
        <v>201</v>
      </c>
      <c r="K119" s="5">
        <v>17</v>
      </c>
      <c r="L119" s="5">
        <v>161</v>
      </c>
      <c r="M119" s="5">
        <v>8</v>
      </c>
      <c r="N119" s="5">
        <v>5</v>
      </c>
      <c r="O119" s="5">
        <v>3</v>
      </c>
      <c r="P119" s="5">
        <v>186</v>
      </c>
      <c r="Q119" s="5">
        <v>560</v>
      </c>
      <c r="R119" s="5">
        <v>0</v>
      </c>
      <c r="S119" s="5">
        <v>546</v>
      </c>
      <c r="T119" s="5">
        <v>15</v>
      </c>
      <c r="U119" s="5">
        <v>169</v>
      </c>
      <c r="V119" s="7">
        <v>18.2</v>
      </c>
      <c r="W119" s="7">
        <v>90.999999999999986</v>
      </c>
      <c r="X119" s="7">
        <v>3.2307692307692308</v>
      </c>
      <c r="Y119" s="6">
        <v>0.31952662721893504</v>
      </c>
      <c r="Z119" s="7">
        <v>8.4499999999999993</v>
      </c>
    </row>
    <row r="120" spans="1:26" ht="15.75" x14ac:dyDescent="0.25">
      <c r="A120" s="77"/>
      <c r="B120" s="91"/>
      <c r="C120" s="8" t="s">
        <v>41</v>
      </c>
      <c r="D120" s="4" t="s">
        <v>32</v>
      </c>
      <c r="E120" s="4">
        <v>30</v>
      </c>
      <c r="F120" s="8">
        <v>20</v>
      </c>
      <c r="G120" s="8">
        <v>20</v>
      </c>
      <c r="H120" s="8">
        <v>177</v>
      </c>
      <c r="I120" s="8">
        <v>4</v>
      </c>
      <c r="J120" s="8">
        <v>201</v>
      </c>
      <c r="K120" s="8">
        <v>17</v>
      </c>
      <c r="L120" s="8">
        <v>161</v>
      </c>
      <c r="M120" s="8">
        <v>8</v>
      </c>
      <c r="N120" s="8">
        <v>5</v>
      </c>
      <c r="O120" s="8">
        <v>3</v>
      </c>
      <c r="P120" s="8">
        <v>186</v>
      </c>
      <c r="Q120" s="8">
        <v>560</v>
      </c>
      <c r="R120" s="8">
        <v>0</v>
      </c>
      <c r="S120" s="8">
        <v>546</v>
      </c>
      <c r="T120" s="8">
        <v>15</v>
      </c>
      <c r="U120" s="8">
        <v>169</v>
      </c>
      <c r="V120" s="24">
        <v>18.2</v>
      </c>
      <c r="W120" s="24">
        <v>90.999999999999986</v>
      </c>
      <c r="X120" s="24">
        <v>3.2307692307692308</v>
      </c>
      <c r="Y120" s="24">
        <v>0.31952662721893504</v>
      </c>
      <c r="Z120" s="24">
        <v>8.4499999999999993</v>
      </c>
    </row>
    <row r="121" spans="1:26" ht="15.75" x14ac:dyDescent="0.25">
      <c r="A121" s="76">
        <v>6</v>
      </c>
      <c r="B121" s="91"/>
      <c r="C121" s="5" t="s">
        <v>35</v>
      </c>
      <c r="D121" s="4" t="s">
        <v>32</v>
      </c>
      <c r="E121" s="4">
        <v>30</v>
      </c>
      <c r="F121" s="5">
        <v>12</v>
      </c>
      <c r="G121" s="5">
        <v>12</v>
      </c>
      <c r="H121" s="5">
        <v>93</v>
      </c>
      <c r="I121" s="5">
        <v>0</v>
      </c>
      <c r="J121" s="5">
        <v>105</v>
      </c>
      <c r="K121" s="5">
        <v>2</v>
      </c>
      <c r="L121" s="5">
        <v>88</v>
      </c>
      <c r="M121" s="5">
        <v>3</v>
      </c>
      <c r="N121" s="5">
        <v>0</v>
      </c>
      <c r="O121" s="5">
        <v>3</v>
      </c>
      <c r="P121" s="5">
        <v>93</v>
      </c>
      <c r="Q121" s="5">
        <v>348</v>
      </c>
      <c r="R121" s="5">
        <v>0</v>
      </c>
      <c r="S121" s="5">
        <v>334</v>
      </c>
      <c r="T121" s="5">
        <v>12</v>
      </c>
      <c r="U121" s="5">
        <v>91</v>
      </c>
      <c r="V121" s="13">
        <v>11.133333333333333</v>
      </c>
      <c r="W121" s="13">
        <v>92.777777777777771</v>
      </c>
      <c r="X121" s="13">
        <v>3.6703296703296702</v>
      </c>
      <c r="Y121" s="14">
        <v>0.28571428571428586</v>
      </c>
      <c r="Z121" s="13">
        <v>7.583333333333333</v>
      </c>
    </row>
    <row r="122" spans="1:26" ht="15.75" x14ac:dyDescent="0.25">
      <c r="A122" s="77"/>
      <c r="B122" s="91"/>
      <c r="C122" s="8" t="s">
        <v>35</v>
      </c>
      <c r="D122" s="4" t="s">
        <v>32</v>
      </c>
      <c r="E122" s="4">
        <v>30</v>
      </c>
      <c r="F122" s="8">
        <v>12</v>
      </c>
      <c r="G122" s="8">
        <v>12</v>
      </c>
      <c r="H122" s="8">
        <v>93</v>
      </c>
      <c r="I122" s="8">
        <v>0</v>
      </c>
      <c r="J122" s="8">
        <v>105</v>
      </c>
      <c r="K122" s="8">
        <v>2</v>
      </c>
      <c r="L122" s="8">
        <v>88</v>
      </c>
      <c r="M122" s="8">
        <v>3</v>
      </c>
      <c r="N122" s="8">
        <v>0</v>
      </c>
      <c r="O122" s="8">
        <v>3</v>
      </c>
      <c r="P122" s="8">
        <v>93</v>
      </c>
      <c r="Q122" s="8">
        <v>348</v>
      </c>
      <c r="R122" s="8">
        <v>0</v>
      </c>
      <c r="S122" s="8">
        <v>334</v>
      </c>
      <c r="T122" s="8">
        <v>12</v>
      </c>
      <c r="U122" s="8">
        <v>91</v>
      </c>
      <c r="V122" s="26">
        <v>11.133333333333333</v>
      </c>
      <c r="W122" s="26">
        <v>92.777777777777771</v>
      </c>
      <c r="X122" s="26">
        <v>3.6703296703296702</v>
      </c>
      <c r="Y122" s="26">
        <v>0.28571428571428586</v>
      </c>
      <c r="Z122" s="26">
        <v>7.583333333333333</v>
      </c>
    </row>
    <row r="123" spans="1:26" ht="15.75" x14ac:dyDescent="0.25">
      <c r="A123" s="76">
        <v>7</v>
      </c>
      <c r="B123" s="91"/>
      <c r="C123" s="5" t="s">
        <v>34</v>
      </c>
      <c r="D123" s="4" t="s">
        <v>32</v>
      </c>
      <c r="E123" s="4">
        <v>30</v>
      </c>
      <c r="F123" s="5">
        <v>16</v>
      </c>
      <c r="G123" s="5">
        <v>16</v>
      </c>
      <c r="H123" s="5">
        <v>103</v>
      </c>
      <c r="I123" s="5">
        <v>40</v>
      </c>
      <c r="J123" s="5">
        <v>159</v>
      </c>
      <c r="K123" s="5">
        <v>9</v>
      </c>
      <c r="L123" s="5">
        <v>121</v>
      </c>
      <c r="M123" s="5">
        <v>13</v>
      </c>
      <c r="N123" s="5">
        <v>3</v>
      </c>
      <c r="O123" s="5">
        <v>10</v>
      </c>
      <c r="P123" s="5">
        <v>143</v>
      </c>
      <c r="Q123" s="5">
        <v>535</v>
      </c>
      <c r="R123" s="5">
        <v>0</v>
      </c>
      <c r="S123" s="5">
        <v>462</v>
      </c>
      <c r="T123" s="5">
        <v>16</v>
      </c>
      <c r="U123" s="5">
        <v>134</v>
      </c>
      <c r="V123" s="7">
        <v>15.4</v>
      </c>
      <c r="W123" s="7">
        <v>96.25</v>
      </c>
      <c r="X123" s="7">
        <v>3.4477611940298507</v>
      </c>
      <c r="Y123" s="6">
        <v>0.13432835820895514</v>
      </c>
      <c r="Z123" s="7">
        <v>8.375</v>
      </c>
    </row>
    <row r="124" spans="1:26" ht="15.75" x14ac:dyDescent="0.25">
      <c r="A124" s="77"/>
      <c r="B124" s="91"/>
      <c r="C124" s="8" t="s">
        <v>34</v>
      </c>
      <c r="D124" s="4" t="s">
        <v>32</v>
      </c>
      <c r="E124" s="4">
        <v>30</v>
      </c>
      <c r="F124" s="8">
        <v>16</v>
      </c>
      <c r="G124" s="8">
        <v>16</v>
      </c>
      <c r="H124" s="8">
        <v>103</v>
      </c>
      <c r="I124" s="8">
        <v>40</v>
      </c>
      <c r="J124" s="8">
        <v>159</v>
      </c>
      <c r="K124" s="8">
        <v>9</v>
      </c>
      <c r="L124" s="8">
        <v>121</v>
      </c>
      <c r="M124" s="8">
        <v>13</v>
      </c>
      <c r="N124" s="8">
        <v>3</v>
      </c>
      <c r="O124" s="8">
        <v>10</v>
      </c>
      <c r="P124" s="8">
        <v>143</v>
      </c>
      <c r="Q124" s="8">
        <v>535</v>
      </c>
      <c r="R124" s="8">
        <v>0</v>
      </c>
      <c r="S124" s="8">
        <v>462</v>
      </c>
      <c r="T124" s="8">
        <v>16</v>
      </c>
      <c r="U124" s="8">
        <v>134</v>
      </c>
      <c r="V124" s="24">
        <v>15.4</v>
      </c>
      <c r="W124" s="24">
        <v>96.25</v>
      </c>
      <c r="X124" s="24">
        <v>3.4477611940298507</v>
      </c>
      <c r="Y124" s="24">
        <v>0.13432835820895514</v>
      </c>
      <c r="Z124" s="24">
        <v>8.375</v>
      </c>
    </row>
    <row r="125" spans="1:26" ht="15.75" x14ac:dyDescent="0.25">
      <c r="A125" s="76">
        <v>8</v>
      </c>
      <c r="B125" s="91"/>
      <c r="C125" s="5" t="s">
        <v>37</v>
      </c>
      <c r="D125" s="4" t="s">
        <v>32</v>
      </c>
      <c r="E125" s="4">
        <v>30</v>
      </c>
      <c r="F125" s="5">
        <v>17</v>
      </c>
      <c r="G125" s="5">
        <v>13</v>
      </c>
      <c r="H125" s="5">
        <v>120</v>
      </c>
      <c r="I125" s="5">
        <v>17</v>
      </c>
      <c r="J125" s="5">
        <v>150</v>
      </c>
      <c r="K125" s="5">
        <v>11</v>
      </c>
      <c r="L125" s="5">
        <v>124</v>
      </c>
      <c r="M125" s="5">
        <v>2</v>
      </c>
      <c r="N125" s="5">
        <v>1</v>
      </c>
      <c r="O125" s="5">
        <v>1</v>
      </c>
      <c r="P125" s="5">
        <v>137</v>
      </c>
      <c r="Q125" s="5">
        <v>459</v>
      </c>
      <c r="R125" s="5">
        <v>1</v>
      </c>
      <c r="S125" s="5">
        <v>465</v>
      </c>
      <c r="T125" s="5">
        <v>13</v>
      </c>
      <c r="U125" s="5">
        <v>126</v>
      </c>
      <c r="V125" s="7">
        <v>15.5</v>
      </c>
      <c r="W125" s="7">
        <v>91.17647058823529</v>
      </c>
      <c r="X125" s="7">
        <v>3.6904761904761907</v>
      </c>
      <c r="Y125" s="6">
        <v>0.35714285714285715</v>
      </c>
      <c r="Z125" s="7">
        <v>7.4117647058823533</v>
      </c>
    </row>
    <row r="126" spans="1:26" ht="15.75" x14ac:dyDescent="0.25">
      <c r="A126" s="77"/>
      <c r="B126" s="91"/>
      <c r="C126" s="8" t="s">
        <v>37</v>
      </c>
      <c r="D126" s="4" t="s">
        <v>32</v>
      </c>
      <c r="E126" s="4">
        <v>30</v>
      </c>
      <c r="F126" s="8">
        <v>17</v>
      </c>
      <c r="G126" s="8">
        <v>13</v>
      </c>
      <c r="H126" s="8">
        <v>120</v>
      </c>
      <c r="I126" s="8">
        <v>17</v>
      </c>
      <c r="J126" s="8">
        <v>150</v>
      </c>
      <c r="K126" s="8">
        <v>11</v>
      </c>
      <c r="L126" s="8">
        <v>124</v>
      </c>
      <c r="M126" s="8">
        <v>2</v>
      </c>
      <c r="N126" s="8">
        <v>1</v>
      </c>
      <c r="O126" s="8">
        <v>1</v>
      </c>
      <c r="P126" s="8">
        <v>137</v>
      </c>
      <c r="Q126" s="8">
        <v>459</v>
      </c>
      <c r="R126" s="8">
        <v>1</v>
      </c>
      <c r="S126" s="8">
        <v>465</v>
      </c>
      <c r="T126" s="8">
        <v>13</v>
      </c>
      <c r="U126" s="8">
        <v>126</v>
      </c>
      <c r="V126" s="24">
        <v>15.5</v>
      </c>
      <c r="W126" s="24">
        <v>91.17647058823529</v>
      </c>
      <c r="X126" s="24">
        <v>3.6904761904761907</v>
      </c>
      <c r="Y126" s="24">
        <v>0.35714285714285715</v>
      </c>
      <c r="Z126" s="24">
        <v>7.4117647058823533</v>
      </c>
    </row>
    <row r="127" spans="1:26" ht="15.75" x14ac:dyDescent="0.25">
      <c r="A127" s="76">
        <v>9</v>
      </c>
      <c r="B127" s="91"/>
      <c r="C127" s="5" t="s">
        <v>33</v>
      </c>
      <c r="D127" s="4" t="s">
        <v>32</v>
      </c>
      <c r="E127" s="4">
        <v>30</v>
      </c>
      <c r="F127" s="5">
        <v>20</v>
      </c>
      <c r="G127" s="5">
        <v>23</v>
      </c>
      <c r="H127" s="5">
        <v>191</v>
      </c>
      <c r="I127" s="5">
        <v>18</v>
      </c>
      <c r="J127" s="5">
        <v>232</v>
      </c>
      <c r="K127" s="5">
        <v>7</v>
      </c>
      <c r="L127" s="5">
        <v>181</v>
      </c>
      <c r="M127" s="5">
        <v>22</v>
      </c>
      <c r="N127" s="5">
        <v>12</v>
      </c>
      <c r="O127" s="5">
        <v>10</v>
      </c>
      <c r="P127" s="5">
        <v>210</v>
      </c>
      <c r="Q127" s="5">
        <v>675</v>
      </c>
      <c r="R127" s="5">
        <v>5</v>
      </c>
      <c r="S127" s="5">
        <v>623</v>
      </c>
      <c r="T127" s="5">
        <v>22</v>
      </c>
      <c r="U127" s="5">
        <v>203</v>
      </c>
      <c r="V127" s="7">
        <v>20.766666666666666</v>
      </c>
      <c r="W127" s="7">
        <v>103.83333333333333</v>
      </c>
      <c r="X127" s="7">
        <v>3.0689655172413794</v>
      </c>
      <c r="Y127" s="6">
        <v>-0.1133004926108373</v>
      </c>
      <c r="Z127" s="7">
        <v>10.15</v>
      </c>
    </row>
    <row r="128" spans="1:26" ht="15.75" x14ac:dyDescent="0.25">
      <c r="A128" s="77"/>
      <c r="B128" s="91"/>
      <c r="C128" s="8" t="s">
        <v>33</v>
      </c>
      <c r="D128" s="4" t="s">
        <v>32</v>
      </c>
      <c r="E128" s="4">
        <v>30</v>
      </c>
      <c r="F128" s="8">
        <v>20</v>
      </c>
      <c r="G128" s="8">
        <v>23</v>
      </c>
      <c r="H128" s="8">
        <v>191</v>
      </c>
      <c r="I128" s="8">
        <v>18</v>
      </c>
      <c r="J128" s="8">
        <v>232</v>
      </c>
      <c r="K128" s="8">
        <v>7</v>
      </c>
      <c r="L128" s="8">
        <v>181</v>
      </c>
      <c r="M128" s="8">
        <v>22</v>
      </c>
      <c r="N128" s="8">
        <v>12</v>
      </c>
      <c r="O128" s="8">
        <v>10</v>
      </c>
      <c r="P128" s="8">
        <v>210</v>
      </c>
      <c r="Q128" s="8">
        <v>675</v>
      </c>
      <c r="R128" s="8">
        <v>5</v>
      </c>
      <c r="S128" s="8">
        <v>623</v>
      </c>
      <c r="T128" s="8">
        <v>22</v>
      </c>
      <c r="U128" s="8">
        <v>203</v>
      </c>
      <c r="V128" s="24">
        <v>20.766666666666666</v>
      </c>
      <c r="W128" s="24">
        <v>103.83333333333333</v>
      </c>
      <c r="X128" s="24">
        <v>3.0689655172413794</v>
      </c>
      <c r="Y128" s="24">
        <v>-0.1133004926108373</v>
      </c>
      <c r="Z128" s="24">
        <v>10.15</v>
      </c>
    </row>
    <row r="129" spans="1:26" ht="15.75" x14ac:dyDescent="0.25">
      <c r="A129" s="76">
        <v>10</v>
      </c>
      <c r="B129" s="91"/>
      <c r="C129" s="4" t="s">
        <v>40</v>
      </c>
      <c r="D129" s="4" t="s">
        <v>32</v>
      </c>
      <c r="E129" s="4">
        <v>30</v>
      </c>
      <c r="F129" s="4">
        <v>16</v>
      </c>
      <c r="G129" s="4">
        <v>18</v>
      </c>
      <c r="H129" s="4">
        <v>155</v>
      </c>
      <c r="I129" s="4">
        <v>8</v>
      </c>
      <c r="J129" s="5">
        <v>181</v>
      </c>
      <c r="K129" s="4">
        <v>9</v>
      </c>
      <c r="L129" s="4">
        <v>143</v>
      </c>
      <c r="M129" s="5">
        <v>13</v>
      </c>
      <c r="N129" s="4">
        <v>4</v>
      </c>
      <c r="O129" s="4">
        <v>9</v>
      </c>
      <c r="P129" s="5">
        <v>165</v>
      </c>
      <c r="Q129" s="4">
        <v>603</v>
      </c>
      <c r="R129" s="4">
        <v>1</v>
      </c>
      <c r="S129" s="4">
        <v>523</v>
      </c>
      <c r="T129" s="5">
        <v>16</v>
      </c>
      <c r="U129" s="5">
        <v>156</v>
      </c>
      <c r="V129" s="7">
        <v>17.433333333333334</v>
      </c>
      <c r="W129" s="7">
        <v>108.95833333333333</v>
      </c>
      <c r="X129" s="7">
        <v>3.3525641025641026</v>
      </c>
      <c r="Y129" s="6">
        <v>-0.27564102564102566</v>
      </c>
      <c r="Z129" s="7">
        <v>9.75</v>
      </c>
    </row>
    <row r="130" spans="1:26" ht="15.75" x14ac:dyDescent="0.25">
      <c r="A130" s="77"/>
      <c r="B130" s="91"/>
      <c r="C130" s="8" t="s">
        <v>40</v>
      </c>
      <c r="D130" s="4" t="s">
        <v>32</v>
      </c>
      <c r="E130" s="4">
        <v>30</v>
      </c>
      <c r="F130" s="8">
        <v>16</v>
      </c>
      <c r="G130" s="8">
        <v>18</v>
      </c>
      <c r="H130" s="8">
        <v>155</v>
      </c>
      <c r="I130" s="8">
        <v>8</v>
      </c>
      <c r="J130" s="8">
        <v>181</v>
      </c>
      <c r="K130" s="8">
        <v>9</v>
      </c>
      <c r="L130" s="8">
        <v>143</v>
      </c>
      <c r="M130" s="8">
        <v>13</v>
      </c>
      <c r="N130" s="8">
        <v>4</v>
      </c>
      <c r="O130" s="8">
        <v>9</v>
      </c>
      <c r="P130" s="8">
        <v>165</v>
      </c>
      <c r="Q130" s="8">
        <v>603</v>
      </c>
      <c r="R130" s="8">
        <v>1</v>
      </c>
      <c r="S130" s="8">
        <v>523</v>
      </c>
      <c r="T130" s="8">
        <v>16</v>
      </c>
      <c r="U130" s="8">
        <v>156</v>
      </c>
      <c r="V130" s="24">
        <v>17.433333333333334</v>
      </c>
      <c r="W130" s="24">
        <v>108.95833333333333</v>
      </c>
      <c r="X130" s="24">
        <v>3.3525641025641026</v>
      </c>
      <c r="Y130" s="24">
        <v>-0.27564102564102566</v>
      </c>
      <c r="Z130" s="24">
        <v>9.75</v>
      </c>
    </row>
    <row r="131" spans="1:26" ht="15.75" x14ac:dyDescent="0.25">
      <c r="A131" s="93">
        <v>11</v>
      </c>
      <c r="B131" s="91"/>
      <c r="C131" s="4" t="s">
        <v>56</v>
      </c>
      <c r="D131" s="4" t="s">
        <v>32</v>
      </c>
      <c r="E131" s="4">
        <v>30</v>
      </c>
      <c r="F131" s="4">
        <v>25</v>
      </c>
      <c r="G131" s="4">
        <v>27</v>
      </c>
      <c r="H131" s="4">
        <v>347</v>
      </c>
      <c r="I131" s="4">
        <v>275</v>
      </c>
      <c r="J131" s="5">
        <v>649</v>
      </c>
      <c r="K131" s="4">
        <v>85</v>
      </c>
      <c r="L131" s="4">
        <v>540</v>
      </c>
      <c r="M131" s="5">
        <v>1</v>
      </c>
      <c r="N131" s="4">
        <v>1</v>
      </c>
      <c r="O131" s="4">
        <v>0</v>
      </c>
      <c r="P131" s="5">
        <v>626</v>
      </c>
      <c r="Q131" s="4">
        <v>1220</v>
      </c>
      <c r="R131" s="4">
        <v>55</v>
      </c>
      <c r="S131" s="4">
        <v>747</v>
      </c>
      <c r="T131" s="5">
        <v>23</v>
      </c>
      <c r="U131" s="5">
        <v>541</v>
      </c>
      <c r="V131" s="7">
        <v>24.9</v>
      </c>
      <c r="W131" s="7">
        <v>99.6</v>
      </c>
      <c r="X131" s="7">
        <v>1.3807763401109057</v>
      </c>
      <c r="Y131" s="6">
        <v>5.5452865064695798E-3</v>
      </c>
      <c r="Z131" s="7">
        <v>21.64</v>
      </c>
    </row>
    <row r="132" spans="1:26" ht="15.75" x14ac:dyDescent="0.25">
      <c r="A132" s="94"/>
      <c r="B132" s="91"/>
      <c r="C132" s="4" t="s">
        <v>60</v>
      </c>
      <c r="D132" s="4" t="s">
        <v>32</v>
      </c>
      <c r="E132" s="4">
        <v>30</v>
      </c>
      <c r="F132" s="4">
        <v>0</v>
      </c>
      <c r="G132" s="4">
        <v>0</v>
      </c>
      <c r="H132" s="4">
        <v>0</v>
      </c>
      <c r="I132" s="4">
        <v>0</v>
      </c>
      <c r="J132" s="5">
        <v>0</v>
      </c>
      <c r="K132" s="4">
        <v>0</v>
      </c>
      <c r="L132" s="4">
        <v>0</v>
      </c>
      <c r="M132" s="5">
        <v>0</v>
      </c>
      <c r="N132" s="4">
        <v>0</v>
      </c>
      <c r="O132" s="4">
        <v>0</v>
      </c>
      <c r="P132" s="5">
        <v>0</v>
      </c>
      <c r="Q132" s="4">
        <v>0</v>
      </c>
      <c r="R132" s="4">
        <v>0</v>
      </c>
      <c r="S132" s="4">
        <v>0</v>
      </c>
      <c r="T132" s="5">
        <v>0</v>
      </c>
      <c r="U132" s="5">
        <v>0</v>
      </c>
      <c r="V132" s="7">
        <v>0</v>
      </c>
      <c r="W132" s="7" t="e">
        <v>#DIV/0!</v>
      </c>
      <c r="X132" s="7" t="e">
        <v>#DIV/0!</v>
      </c>
      <c r="Y132" s="6" t="e">
        <v>#DIV/0!</v>
      </c>
      <c r="Z132" s="7" t="e">
        <v>#DIV/0!</v>
      </c>
    </row>
    <row r="133" spans="1:26" ht="15.75" x14ac:dyDescent="0.25">
      <c r="A133" s="95"/>
      <c r="B133" s="92"/>
      <c r="C133" s="10"/>
      <c r="D133" s="31"/>
      <c r="E133" s="67">
        <v>30</v>
      </c>
      <c r="F133" s="8">
        <v>25</v>
      </c>
      <c r="G133" s="8">
        <v>27</v>
      </c>
      <c r="H133" s="8">
        <v>347</v>
      </c>
      <c r="I133" s="8">
        <v>275</v>
      </c>
      <c r="J133" s="8">
        <v>649</v>
      </c>
      <c r="K133" s="8">
        <v>85</v>
      </c>
      <c r="L133" s="8">
        <v>540</v>
      </c>
      <c r="M133" s="8">
        <v>1</v>
      </c>
      <c r="N133" s="8">
        <v>1</v>
      </c>
      <c r="O133" s="8">
        <v>0</v>
      </c>
      <c r="P133" s="8">
        <v>626</v>
      </c>
      <c r="Q133" s="8">
        <v>1220</v>
      </c>
      <c r="R133" s="8">
        <v>55</v>
      </c>
      <c r="S133" s="8">
        <v>747</v>
      </c>
      <c r="T133" s="8">
        <v>23</v>
      </c>
      <c r="U133" s="8">
        <v>541</v>
      </c>
      <c r="V133" s="24">
        <v>24.9</v>
      </c>
      <c r="W133" s="24">
        <v>99.6</v>
      </c>
      <c r="X133" s="24">
        <v>1.3807763401109057</v>
      </c>
      <c r="Y133" s="24">
        <v>5.5452865064695798E-3</v>
      </c>
      <c r="Z133" s="24">
        <v>21.64</v>
      </c>
    </row>
    <row r="134" spans="1:26" ht="15.75" x14ac:dyDescent="0.25">
      <c r="A134" s="79" t="s">
        <v>88</v>
      </c>
      <c r="B134" s="80"/>
      <c r="C134" s="80"/>
      <c r="D134" s="81"/>
      <c r="E134" s="4">
        <v>30</v>
      </c>
      <c r="F134" s="20">
        <v>191</v>
      </c>
      <c r="G134" s="20">
        <v>198</v>
      </c>
      <c r="H134" s="20">
        <v>1745</v>
      </c>
      <c r="I134" s="20">
        <v>409</v>
      </c>
      <c r="J134" s="11">
        <v>2352</v>
      </c>
      <c r="K134" s="20">
        <v>189</v>
      </c>
      <c r="L134" s="20">
        <v>1865</v>
      </c>
      <c r="M134" s="11">
        <v>115</v>
      </c>
      <c r="N134" s="20">
        <v>57</v>
      </c>
      <c r="O134" s="20">
        <v>58</v>
      </c>
      <c r="P134" s="11">
        <v>2169</v>
      </c>
      <c r="Q134" s="20">
        <v>6517</v>
      </c>
      <c r="R134" s="20">
        <v>65</v>
      </c>
      <c r="S134" s="20">
        <v>5714</v>
      </c>
      <c r="T134" s="11">
        <v>183</v>
      </c>
      <c r="U134" s="11">
        <v>1980</v>
      </c>
      <c r="V134" s="22">
        <v>190.46666666666667</v>
      </c>
      <c r="W134" s="12">
        <v>99.720767888307165</v>
      </c>
      <c r="X134" s="12">
        <v>2.8858585858585859</v>
      </c>
      <c r="Y134" s="12">
        <v>8.0808080808080513E-3</v>
      </c>
      <c r="Z134" s="12">
        <v>10.366492146596858</v>
      </c>
    </row>
    <row r="135" spans="1:26" ht="15.75" x14ac:dyDescent="0.25">
      <c r="A135" s="100" t="s">
        <v>84</v>
      </c>
      <c r="B135" s="101"/>
      <c r="C135" s="101"/>
      <c r="D135" s="102"/>
      <c r="E135" s="63">
        <v>30</v>
      </c>
      <c r="F135" s="63">
        <v>248</v>
      </c>
      <c r="G135" s="63">
        <v>261</v>
      </c>
      <c r="H135" s="63">
        <v>2238</v>
      </c>
      <c r="I135" s="63">
        <v>596</v>
      </c>
      <c r="J135" s="63">
        <v>3095</v>
      </c>
      <c r="K135" s="63">
        <v>435</v>
      </c>
      <c r="L135" s="63">
        <v>2288</v>
      </c>
      <c r="M135" s="63">
        <v>141</v>
      </c>
      <c r="N135" s="63">
        <v>67</v>
      </c>
      <c r="O135" s="63">
        <v>74</v>
      </c>
      <c r="P135" s="63">
        <v>2864</v>
      </c>
      <c r="Q135" s="63">
        <v>8195</v>
      </c>
      <c r="R135" s="63">
        <v>66</v>
      </c>
      <c r="S135" s="63">
        <v>7356</v>
      </c>
      <c r="T135" s="63">
        <v>231</v>
      </c>
      <c r="U135" s="63">
        <v>2429</v>
      </c>
      <c r="V135" s="68">
        <v>245.2</v>
      </c>
      <c r="W135" s="69">
        <v>98.870967741935473</v>
      </c>
      <c r="X135" s="69">
        <v>3.0284067517496913</v>
      </c>
      <c r="Y135" s="69">
        <v>3.458213256484164E-2</v>
      </c>
      <c r="Z135" s="69">
        <v>9.7943548387096779</v>
      </c>
    </row>
    <row r="137" spans="1:26" x14ac:dyDescent="0.25">
      <c r="A137" s="78" t="s">
        <v>1</v>
      </c>
      <c r="B137" s="78" t="s">
        <v>2</v>
      </c>
      <c r="C137" s="72" t="s">
        <v>3</v>
      </c>
      <c r="D137" s="72" t="s">
        <v>4</v>
      </c>
      <c r="E137" s="75" t="s">
        <v>5</v>
      </c>
      <c r="F137" s="72" t="s">
        <v>6</v>
      </c>
      <c r="G137" s="72" t="s">
        <v>7</v>
      </c>
      <c r="H137" s="72" t="s">
        <v>8</v>
      </c>
      <c r="I137" s="75" t="s">
        <v>9</v>
      </c>
      <c r="J137" s="72" t="s">
        <v>10</v>
      </c>
      <c r="K137" s="72" t="s">
        <v>11</v>
      </c>
      <c r="L137" s="72" t="s">
        <v>12</v>
      </c>
      <c r="M137" s="72" t="s">
        <v>13</v>
      </c>
      <c r="N137" s="72" t="s">
        <v>14</v>
      </c>
      <c r="O137" s="72" t="s">
        <v>15</v>
      </c>
      <c r="P137" s="72" t="s">
        <v>16</v>
      </c>
      <c r="Q137" s="72" t="s">
        <v>17</v>
      </c>
      <c r="R137" s="72" t="s">
        <v>18</v>
      </c>
      <c r="S137" s="72" t="s">
        <v>19</v>
      </c>
      <c r="T137" s="72" t="s">
        <v>20</v>
      </c>
      <c r="U137" s="73" t="s">
        <v>21</v>
      </c>
      <c r="V137" s="2" t="s">
        <v>22</v>
      </c>
      <c r="W137" s="2" t="s">
        <v>23</v>
      </c>
      <c r="X137" s="2" t="s">
        <v>24</v>
      </c>
      <c r="Y137" s="2" t="s">
        <v>25</v>
      </c>
      <c r="Z137" s="2" t="s">
        <v>26</v>
      </c>
    </row>
    <row r="138" spans="1:26" x14ac:dyDescent="0.25">
      <c r="A138" s="78"/>
      <c r="B138" s="78"/>
      <c r="C138" s="72"/>
      <c r="D138" s="72"/>
      <c r="E138" s="75"/>
      <c r="F138" s="72"/>
      <c r="G138" s="72"/>
      <c r="H138" s="72"/>
      <c r="I138" s="75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3"/>
      <c r="V138" s="71" t="s">
        <v>27</v>
      </c>
      <c r="W138" s="71" t="s">
        <v>28</v>
      </c>
      <c r="X138" s="71" t="s">
        <v>29</v>
      </c>
      <c r="Y138" s="71" t="s">
        <v>30</v>
      </c>
      <c r="Z138" s="71" t="s">
        <v>31</v>
      </c>
    </row>
    <row r="139" spans="1:26" x14ac:dyDescent="0.25">
      <c r="A139" s="78"/>
      <c r="B139" s="78"/>
      <c r="C139" s="72"/>
      <c r="D139" s="72"/>
      <c r="E139" s="75"/>
      <c r="F139" s="72"/>
      <c r="G139" s="72"/>
      <c r="H139" s="72"/>
      <c r="I139" s="75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3"/>
      <c r="V139" s="74"/>
      <c r="W139" s="71"/>
      <c r="X139" s="71"/>
      <c r="Y139" s="71"/>
      <c r="Z139" s="71"/>
    </row>
    <row r="140" spans="1:26" x14ac:dyDescent="0.25">
      <c r="A140" s="78"/>
      <c r="B140" s="78"/>
      <c r="C140" s="72"/>
      <c r="D140" s="72"/>
      <c r="E140" s="75"/>
      <c r="F140" s="72"/>
      <c r="G140" s="3">
        <v>1</v>
      </c>
      <c r="H140" s="3">
        <v>2</v>
      </c>
      <c r="I140" s="3">
        <v>3</v>
      </c>
      <c r="J140" s="3">
        <v>4</v>
      </c>
      <c r="K140" s="3">
        <v>5</v>
      </c>
      <c r="L140" s="3">
        <v>6</v>
      </c>
      <c r="M140" s="3">
        <v>7</v>
      </c>
      <c r="N140" s="3">
        <v>8</v>
      </c>
      <c r="O140" s="3">
        <v>9</v>
      </c>
      <c r="P140" s="3">
        <v>10</v>
      </c>
      <c r="Q140" s="3">
        <v>11</v>
      </c>
      <c r="R140" s="3">
        <v>12</v>
      </c>
      <c r="S140" s="3">
        <v>13</v>
      </c>
      <c r="T140" s="3">
        <v>14</v>
      </c>
      <c r="U140" s="73"/>
      <c r="V140" s="16">
        <v>15</v>
      </c>
      <c r="W140" s="16">
        <v>16</v>
      </c>
      <c r="X140" s="16">
        <v>17</v>
      </c>
      <c r="Y140" s="16">
        <v>18</v>
      </c>
      <c r="Z140" s="16">
        <v>19</v>
      </c>
    </row>
    <row r="141" spans="1:26" ht="15.75" x14ac:dyDescent="0.25">
      <c r="A141" s="82">
        <v>1</v>
      </c>
      <c r="B141" s="82" t="s">
        <v>80</v>
      </c>
      <c r="C141" s="5" t="s">
        <v>68</v>
      </c>
      <c r="D141" s="5" t="s">
        <v>36</v>
      </c>
      <c r="E141" s="4">
        <v>30</v>
      </c>
      <c r="F141" s="5">
        <v>0</v>
      </c>
      <c r="G141" s="5">
        <v>6</v>
      </c>
      <c r="H141" s="5">
        <v>312</v>
      </c>
      <c r="I141" s="5">
        <v>3</v>
      </c>
      <c r="J141" s="5">
        <v>321</v>
      </c>
      <c r="K141" s="5">
        <v>307</v>
      </c>
      <c r="L141" s="5">
        <v>0</v>
      </c>
      <c r="M141" s="5">
        <v>11</v>
      </c>
      <c r="N141" s="5">
        <v>11</v>
      </c>
      <c r="O141" s="5">
        <v>0</v>
      </c>
      <c r="P141" s="5">
        <v>318</v>
      </c>
      <c r="Q141" s="5">
        <v>11</v>
      </c>
      <c r="R141" s="5">
        <v>11</v>
      </c>
      <c r="S141" s="5">
        <v>151</v>
      </c>
      <c r="T141" s="5">
        <v>3</v>
      </c>
      <c r="U141" s="5">
        <v>11</v>
      </c>
      <c r="V141" s="7">
        <v>5.0333333333333332</v>
      </c>
      <c r="W141" s="7" t="e">
        <v>#DIV/0!</v>
      </c>
      <c r="X141" s="7">
        <v>13.727272727272727</v>
      </c>
      <c r="Y141" s="6">
        <v>-13.727272727272727</v>
      </c>
      <c r="Z141" s="7" t="e">
        <v>#DIV/0!</v>
      </c>
    </row>
    <row r="142" spans="1:26" ht="15.75" x14ac:dyDescent="0.25">
      <c r="A142" s="82"/>
      <c r="B142" s="82"/>
      <c r="C142" s="8" t="s">
        <v>68</v>
      </c>
      <c r="D142" s="8" t="s">
        <v>36</v>
      </c>
      <c r="E142" s="4">
        <v>30</v>
      </c>
      <c r="F142" s="8">
        <v>0</v>
      </c>
      <c r="G142" s="8">
        <v>6</v>
      </c>
      <c r="H142" s="8">
        <v>312</v>
      </c>
      <c r="I142" s="8">
        <v>3</v>
      </c>
      <c r="J142" s="8">
        <v>321</v>
      </c>
      <c r="K142" s="8">
        <v>307</v>
      </c>
      <c r="L142" s="8">
        <v>0</v>
      </c>
      <c r="M142" s="8">
        <v>11</v>
      </c>
      <c r="N142" s="8">
        <v>11</v>
      </c>
      <c r="O142" s="8">
        <v>0</v>
      </c>
      <c r="P142" s="8">
        <v>318</v>
      </c>
      <c r="Q142" s="8">
        <v>11</v>
      </c>
      <c r="R142" s="8">
        <v>11</v>
      </c>
      <c r="S142" s="8">
        <v>151</v>
      </c>
      <c r="T142" s="8">
        <v>3</v>
      </c>
      <c r="U142" s="8">
        <v>11</v>
      </c>
      <c r="V142" s="24">
        <v>5.0333333333333332</v>
      </c>
      <c r="W142" s="24" t="e">
        <v>#DIV/0!</v>
      </c>
      <c r="X142" s="24">
        <v>13.727272727272727</v>
      </c>
      <c r="Y142" s="24">
        <v>-13.727272727272727</v>
      </c>
      <c r="Z142" s="24" t="e">
        <v>#DIV/0!</v>
      </c>
    </row>
    <row r="143" spans="1:26" ht="15.75" x14ac:dyDescent="0.25">
      <c r="A143" s="83" t="s">
        <v>70</v>
      </c>
      <c r="B143" s="84"/>
      <c r="C143" s="84"/>
      <c r="D143" s="85"/>
      <c r="E143" s="4">
        <v>30</v>
      </c>
      <c r="F143" s="15">
        <v>388</v>
      </c>
      <c r="G143" s="15">
        <v>356</v>
      </c>
      <c r="H143" s="15">
        <v>3144</v>
      </c>
      <c r="I143" s="15">
        <v>840</v>
      </c>
      <c r="J143" s="15">
        <v>4340</v>
      </c>
      <c r="K143" s="15">
        <v>1119</v>
      </c>
      <c r="L143" s="15">
        <v>2652</v>
      </c>
      <c r="M143" s="15">
        <v>251</v>
      </c>
      <c r="N143" s="15">
        <v>128</v>
      </c>
      <c r="O143" s="15">
        <v>123</v>
      </c>
      <c r="P143" s="15">
        <v>4022</v>
      </c>
      <c r="Q143" s="15">
        <v>10568</v>
      </c>
      <c r="R143" s="15">
        <v>90</v>
      </c>
      <c r="S143" s="15">
        <v>10056</v>
      </c>
      <c r="T143" s="15">
        <v>318</v>
      </c>
      <c r="U143" s="15">
        <v>2903</v>
      </c>
      <c r="V143" s="32">
        <v>335.2</v>
      </c>
      <c r="W143" s="33">
        <v>86.391752577319579</v>
      </c>
      <c r="X143" s="33">
        <v>3.4640027557698931</v>
      </c>
      <c r="Y143" s="33">
        <v>0.54564243885635566</v>
      </c>
      <c r="Z143" s="33">
        <v>7.481958762886598</v>
      </c>
    </row>
    <row r="144" spans="1:26" ht="15.75" x14ac:dyDescent="0.25">
      <c r="A144" s="132"/>
      <c r="B144" s="133"/>
      <c r="C144" s="133"/>
      <c r="D144" s="134"/>
      <c r="E144" s="70">
        <v>30</v>
      </c>
      <c r="F144" s="70">
        <v>388</v>
      </c>
      <c r="G144" s="70">
        <v>356</v>
      </c>
      <c r="H144" s="70">
        <v>3144</v>
      </c>
      <c r="I144" s="70">
        <v>840</v>
      </c>
      <c r="J144" s="70">
        <v>4340</v>
      </c>
      <c r="K144" s="70">
        <v>1119</v>
      </c>
      <c r="L144" s="70">
        <v>2652</v>
      </c>
      <c r="M144" s="70">
        <v>251</v>
      </c>
      <c r="N144" s="70">
        <v>128</v>
      </c>
      <c r="O144" s="70">
        <v>123</v>
      </c>
      <c r="P144" s="70">
        <v>4022</v>
      </c>
      <c r="Q144" s="70">
        <v>10568</v>
      </c>
      <c r="R144" s="70">
        <v>90</v>
      </c>
      <c r="S144" s="70">
        <v>10056</v>
      </c>
      <c r="T144" s="70">
        <v>318</v>
      </c>
      <c r="U144" s="70">
        <v>2903</v>
      </c>
      <c r="V144" s="70">
        <v>335.2</v>
      </c>
      <c r="W144" s="70">
        <v>86.391752577319579</v>
      </c>
      <c r="X144" s="70">
        <v>3.4640027557698931</v>
      </c>
      <c r="Y144" s="70">
        <v>0.54564243885635566</v>
      </c>
      <c r="Z144" s="70">
        <v>7.481958762886598</v>
      </c>
    </row>
  </sheetData>
  <sheetProtection algorithmName="SHA-512" hashValue="47ahSN80pNzyErwetXdIPe8GvtuEIgOekFICT3mWsqkM/tzXu70HhdfU70fwAeV4zRwEYmyxnoGf+KzF4koBtw==" saltValue="Lw8ae+0iSmWYJmRoY8E2XA==" spinCount="100000" sheet="1" objects="1" scenarios="1"/>
  <mergeCells count="265">
    <mergeCell ref="O3:O5"/>
    <mergeCell ref="P3:P5"/>
    <mergeCell ref="Q3:Q5"/>
    <mergeCell ref="L3:L5"/>
    <mergeCell ref="A21:D21"/>
    <mergeCell ref="A24:A27"/>
    <mergeCell ref="B24:B27"/>
    <mergeCell ref="C24:C27"/>
    <mergeCell ref="D24:D27"/>
    <mergeCell ref="E24:E27"/>
    <mergeCell ref="A3:A6"/>
    <mergeCell ref="B3:B6"/>
    <mergeCell ref="C3:C6"/>
    <mergeCell ref="D3:D6"/>
    <mergeCell ref="E3:E6"/>
    <mergeCell ref="F3:F6"/>
    <mergeCell ref="Y4:Y5"/>
    <mergeCell ref="Z4:Z5"/>
    <mergeCell ref="A7:A8"/>
    <mergeCell ref="B7:B20"/>
    <mergeCell ref="A9:A10"/>
    <mergeCell ref="A11:A12"/>
    <mergeCell ref="A13:A14"/>
    <mergeCell ref="A15:A16"/>
    <mergeCell ref="A17:A18"/>
    <mergeCell ref="A19:A20"/>
    <mergeCell ref="S3:S5"/>
    <mergeCell ref="T3:T5"/>
    <mergeCell ref="U3:U6"/>
    <mergeCell ref="V4:V5"/>
    <mergeCell ref="W4:W5"/>
    <mergeCell ref="X4:X5"/>
    <mergeCell ref="M3:M5"/>
    <mergeCell ref="N3:N5"/>
    <mergeCell ref="R3:R5"/>
    <mergeCell ref="G3:G5"/>
    <mergeCell ref="H3:H5"/>
    <mergeCell ref="I3:I5"/>
    <mergeCell ref="J3:J5"/>
    <mergeCell ref="K3:K5"/>
    <mergeCell ref="Y25:Y26"/>
    <mergeCell ref="Z25:Z26"/>
    <mergeCell ref="A28:A32"/>
    <mergeCell ref="B28:B48"/>
    <mergeCell ref="A33:A34"/>
    <mergeCell ref="A35:A36"/>
    <mergeCell ref="A37:A38"/>
    <mergeCell ref="A39:A40"/>
    <mergeCell ref="A41:A42"/>
    <mergeCell ref="R24:R26"/>
    <mergeCell ref="S24:S26"/>
    <mergeCell ref="T24:T26"/>
    <mergeCell ref="U24:U27"/>
    <mergeCell ref="V25:V26"/>
    <mergeCell ref="W25:W26"/>
    <mergeCell ref="L24:L26"/>
    <mergeCell ref="M24:M26"/>
    <mergeCell ref="N24:N26"/>
    <mergeCell ref="O24:O26"/>
    <mergeCell ref="P24:P26"/>
    <mergeCell ref="Q24:Q26"/>
    <mergeCell ref="F24:F27"/>
    <mergeCell ref="G24:G26"/>
    <mergeCell ref="H24:H26"/>
    <mergeCell ref="A43:A44"/>
    <mergeCell ref="A45:A46"/>
    <mergeCell ref="A47:A48"/>
    <mergeCell ref="A49:D49"/>
    <mergeCell ref="A52:A55"/>
    <mergeCell ref="B52:B55"/>
    <mergeCell ref="C52:C55"/>
    <mergeCell ref="D52:D55"/>
    <mergeCell ref="X25:X26"/>
    <mergeCell ref="I24:I26"/>
    <mergeCell ref="J24:J26"/>
    <mergeCell ref="K24:K26"/>
    <mergeCell ref="Y53:Y54"/>
    <mergeCell ref="Z53:Z54"/>
    <mergeCell ref="A57:D57"/>
    <mergeCell ref="A60:A63"/>
    <mergeCell ref="B60:B63"/>
    <mergeCell ref="C60:C63"/>
    <mergeCell ref="D60:D63"/>
    <mergeCell ref="E60:E63"/>
    <mergeCell ref="Q52:Q54"/>
    <mergeCell ref="R52:R54"/>
    <mergeCell ref="S52:S54"/>
    <mergeCell ref="T52:T54"/>
    <mergeCell ref="U52:U55"/>
    <mergeCell ref="V53:V54"/>
    <mergeCell ref="K52:K54"/>
    <mergeCell ref="L52:L54"/>
    <mergeCell ref="M52:M54"/>
    <mergeCell ref="N52:N54"/>
    <mergeCell ref="O52:O54"/>
    <mergeCell ref="P52:P54"/>
    <mergeCell ref="E52:E55"/>
    <mergeCell ref="F52:F55"/>
    <mergeCell ref="G52:G54"/>
    <mergeCell ref="H52:H54"/>
    <mergeCell ref="Q60:Q62"/>
    <mergeCell ref="F60:F63"/>
    <mergeCell ref="G60:G62"/>
    <mergeCell ref="H60:H62"/>
    <mergeCell ref="I60:I62"/>
    <mergeCell ref="J60:J62"/>
    <mergeCell ref="K60:K62"/>
    <mergeCell ref="W53:W54"/>
    <mergeCell ref="X53:X54"/>
    <mergeCell ref="I52:I54"/>
    <mergeCell ref="J52:J54"/>
    <mergeCell ref="A70:C70"/>
    <mergeCell ref="A73:A76"/>
    <mergeCell ref="B73:B76"/>
    <mergeCell ref="C73:C76"/>
    <mergeCell ref="D73:D76"/>
    <mergeCell ref="E73:E76"/>
    <mergeCell ref="X61:X62"/>
    <mergeCell ref="Y61:Y62"/>
    <mergeCell ref="Z61:Z62"/>
    <mergeCell ref="A64:A65"/>
    <mergeCell ref="B64:B69"/>
    <mergeCell ref="A66:A67"/>
    <mergeCell ref="A68:A69"/>
    <mergeCell ref="R60:R62"/>
    <mergeCell ref="S60:S62"/>
    <mergeCell ref="T60:T62"/>
    <mergeCell ref="U60:U63"/>
    <mergeCell ref="V61:V62"/>
    <mergeCell ref="W61:W62"/>
    <mergeCell ref="L60:L62"/>
    <mergeCell ref="M60:M62"/>
    <mergeCell ref="N60:N62"/>
    <mergeCell ref="O60:O62"/>
    <mergeCell ref="P60:P62"/>
    <mergeCell ref="Y74:Y75"/>
    <mergeCell ref="Z74:Z75"/>
    <mergeCell ref="A77:A78"/>
    <mergeCell ref="B77:B87"/>
    <mergeCell ref="A79:A80"/>
    <mergeCell ref="A81:A83"/>
    <mergeCell ref="A84:A85"/>
    <mergeCell ref="A86:A87"/>
    <mergeCell ref="R73:R75"/>
    <mergeCell ref="S73:S75"/>
    <mergeCell ref="T73:T75"/>
    <mergeCell ref="U73:U76"/>
    <mergeCell ref="V74:V75"/>
    <mergeCell ref="W74:W75"/>
    <mergeCell ref="L73:L75"/>
    <mergeCell ref="M73:M75"/>
    <mergeCell ref="N73:N75"/>
    <mergeCell ref="O73:O75"/>
    <mergeCell ref="P73:P75"/>
    <mergeCell ref="Q73:Q75"/>
    <mergeCell ref="F73:F76"/>
    <mergeCell ref="G73:G75"/>
    <mergeCell ref="H73:H75"/>
    <mergeCell ref="I73:I75"/>
    <mergeCell ref="K91:K93"/>
    <mergeCell ref="A88:D88"/>
    <mergeCell ref="A91:A94"/>
    <mergeCell ref="B91:B94"/>
    <mergeCell ref="C91:C94"/>
    <mergeCell ref="D91:D94"/>
    <mergeCell ref="E91:E94"/>
    <mergeCell ref="X74:X75"/>
    <mergeCell ref="J73:J75"/>
    <mergeCell ref="K73:K75"/>
    <mergeCell ref="X92:X93"/>
    <mergeCell ref="Y92:Y93"/>
    <mergeCell ref="Z92:Z93"/>
    <mergeCell ref="A95:A96"/>
    <mergeCell ref="B95:B103"/>
    <mergeCell ref="A97:A98"/>
    <mergeCell ref="A99:A101"/>
    <mergeCell ref="A102:A103"/>
    <mergeCell ref="R91:R93"/>
    <mergeCell ref="S91:S93"/>
    <mergeCell ref="T91:T93"/>
    <mergeCell ref="U91:U94"/>
    <mergeCell ref="V92:V93"/>
    <mergeCell ref="W92:W93"/>
    <mergeCell ref="L91:L93"/>
    <mergeCell ref="M91:M93"/>
    <mergeCell ref="N91:N93"/>
    <mergeCell ref="O91:O93"/>
    <mergeCell ref="P91:P93"/>
    <mergeCell ref="Q91:Q93"/>
    <mergeCell ref="F91:F94"/>
    <mergeCell ref="G91:G93"/>
    <mergeCell ref="H91:H93"/>
    <mergeCell ref="I91:I93"/>
    <mergeCell ref="J91:J93"/>
    <mergeCell ref="H107:H109"/>
    <mergeCell ref="I107:I109"/>
    <mergeCell ref="J107:J109"/>
    <mergeCell ref="K107:K109"/>
    <mergeCell ref="A104:D104"/>
    <mergeCell ref="A107:A110"/>
    <mergeCell ref="B107:B110"/>
    <mergeCell ref="C107:C110"/>
    <mergeCell ref="D107:D110"/>
    <mergeCell ref="E107:E110"/>
    <mergeCell ref="X108:X109"/>
    <mergeCell ref="Y108:Y109"/>
    <mergeCell ref="Z108:Z109"/>
    <mergeCell ref="A111:A112"/>
    <mergeCell ref="B111:B133"/>
    <mergeCell ref="A113:A114"/>
    <mergeCell ref="A115:A116"/>
    <mergeCell ref="A117:A118"/>
    <mergeCell ref="A119:A120"/>
    <mergeCell ref="A121:A122"/>
    <mergeCell ref="R107:R109"/>
    <mergeCell ref="S107:S109"/>
    <mergeCell ref="T107:T109"/>
    <mergeCell ref="U107:U110"/>
    <mergeCell ref="V108:V109"/>
    <mergeCell ref="W108:W109"/>
    <mergeCell ref="L107:L109"/>
    <mergeCell ref="M107:M109"/>
    <mergeCell ref="N107:N109"/>
    <mergeCell ref="O107:O109"/>
    <mergeCell ref="P107:P109"/>
    <mergeCell ref="Q107:Q109"/>
    <mergeCell ref="F107:F110"/>
    <mergeCell ref="G107:G109"/>
    <mergeCell ref="K137:K139"/>
    <mergeCell ref="A135:D135"/>
    <mergeCell ref="A137:A140"/>
    <mergeCell ref="B137:B140"/>
    <mergeCell ref="C137:C140"/>
    <mergeCell ref="D137:D140"/>
    <mergeCell ref="E137:E140"/>
    <mergeCell ref="A123:A124"/>
    <mergeCell ref="A125:A126"/>
    <mergeCell ref="A127:A128"/>
    <mergeCell ref="A129:A130"/>
    <mergeCell ref="A131:A133"/>
    <mergeCell ref="A134:D134"/>
    <mergeCell ref="A144:D144"/>
    <mergeCell ref="X138:X139"/>
    <mergeCell ref="Y138:Y139"/>
    <mergeCell ref="Z138:Z139"/>
    <mergeCell ref="A141:A142"/>
    <mergeCell ref="B141:B142"/>
    <mergeCell ref="A143:D143"/>
    <mergeCell ref="R137:R139"/>
    <mergeCell ref="S137:S139"/>
    <mergeCell ref="T137:T139"/>
    <mergeCell ref="U137:U140"/>
    <mergeCell ref="V138:V139"/>
    <mergeCell ref="W138:W139"/>
    <mergeCell ref="L137:L139"/>
    <mergeCell ref="M137:M139"/>
    <mergeCell ref="N137:N139"/>
    <mergeCell ref="O137:O139"/>
    <mergeCell ref="P137:P139"/>
    <mergeCell ref="Q137:Q139"/>
    <mergeCell ref="F137:F140"/>
    <mergeCell ref="G137:G139"/>
    <mergeCell ref="H137:H139"/>
    <mergeCell ref="I137:I139"/>
    <mergeCell ref="J137:J139"/>
  </mergeCells>
  <printOptions horizontalCentered="1"/>
  <pageMargins left="0.70866141732283472" right="0.70866141732283472" top="0.59055118110236227" bottom="0.74803149606299213" header="0.31496062992125984" footer="0.31496062992125984"/>
  <pageSetup paperSize="5" scale="6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43"/>
  <sheetViews>
    <sheetView zoomScale="70" zoomScaleNormal="70" workbookViewId="0">
      <pane xSplit="3" ySplit="1" topLeftCell="D2" activePane="bottomRight" state="frozen"/>
      <selection activeCell="A60" sqref="A60:XFD60"/>
      <selection pane="topRight" activeCell="A60" sqref="A60:XFD60"/>
      <selection pane="bottomLeft" activeCell="A60" sqref="A60:XFD60"/>
      <selection pane="bottomRight" sqref="A1:Z143"/>
    </sheetView>
  </sheetViews>
  <sheetFormatPr defaultRowHeight="15" x14ac:dyDescent="0.25"/>
  <cols>
    <col min="1" max="1" width="4.85546875" style="17" customWidth="1"/>
    <col min="2" max="2" width="11.5703125" style="17" customWidth="1"/>
    <col min="3" max="3" width="14.28515625" style="17" customWidth="1"/>
    <col min="4" max="4" width="17.5703125" style="17" bestFit="1" customWidth="1"/>
    <col min="5" max="5" width="6.28515625" style="17" customWidth="1"/>
    <col min="6" max="6" width="9.85546875" style="17" customWidth="1"/>
    <col min="7" max="8" width="9.140625" style="17"/>
    <col min="9" max="18" width="0" style="17" hidden="1" customWidth="1"/>
    <col min="19" max="16384" width="9.140625" style="17"/>
  </cols>
  <sheetData>
    <row r="1" spans="1:26" ht="15.75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ht="15.75" x14ac:dyDescent="0.25">
      <c r="A2" s="1" t="s">
        <v>90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ht="15" customHeight="1" x14ac:dyDescent="0.25">
      <c r="A3" s="78" t="s">
        <v>1</v>
      </c>
      <c r="B3" s="78" t="s">
        <v>2</v>
      </c>
      <c r="C3" s="72" t="s">
        <v>3</v>
      </c>
      <c r="D3" s="72" t="s">
        <v>4</v>
      </c>
      <c r="E3" s="75" t="s">
        <v>5</v>
      </c>
      <c r="F3" s="72" t="s">
        <v>6</v>
      </c>
      <c r="G3" s="72" t="s">
        <v>7</v>
      </c>
      <c r="H3" s="72" t="s">
        <v>8</v>
      </c>
      <c r="I3" s="75" t="s">
        <v>9</v>
      </c>
      <c r="J3" s="72" t="s">
        <v>10</v>
      </c>
      <c r="K3" s="72" t="s">
        <v>11</v>
      </c>
      <c r="L3" s="72" t="s">
        <v>12</v>
      </c>
      <c r="M3" s="72" t="s">
        <v>13</v>
      </c>
      <c r="N3" s="72" t="s">
        <v>14</v>
      </c>
      <c r="O3" s="72" t="s">
        <v>15</v>
      </c>
      <c r="P3" s="72" t="s">
        <v>16</v>
      </c>
      <c r="Q3" s="72" t="s">
        <v>17</v>
      </c>
      <c r="R3" s="72" t="s">
        <v>18</v>
      </c>
      <c r="S3" s="72" t="s">
        <v>19</v>
      </c>
      <c r="T3" s="72" t="s">
        <v>20</v>
      </c>
      <c r="U3" s="73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</row>
    <row r="4" spans="1:26" ht="15" customHeight="1" x14ac:dyDescent="0.25">
      <c r="A4" s="78"/>
      <c r="B4" s="78"/>
      <c r="C4" s="72"/>
      <c r="D4" s="72"/>
      <c r="E4" s="75"/>
      <c r="F4" s="72"/>
      <c r="G4" s="72"/>
      <c r="H4" s="72"/>
      <c r="I4" s="75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3"/>
      <c r="V4" s="71" t="s">
        <v>27</v>
      </c>
      <c r="W4" s="71" t="s">
        <v>28</v>
      </c>
      <c r="X4" s="71" t="s">
        <v>29</v>
      </c>
      <c r="Y4" s="71" t="s">
        <v>30</v>
      </c>
      <c r="Z4" s="71" t="s">
        <v>31</v>
      </c>
    </row>
    <row r="5" spans="1:26" x14ac:dyDescent="0.25">
      <c r="A5" s="78"/>
      <c r="B5" s="78"/>
      <c r="C5" s="72"/>
      <c r="D5" s="72"/>
      <c r="E5" s="75"/>
      <c r="F5" s="72"/>
      <c r="G5" s="72"/>
      <c r="H5" s="72"/>
      <c r="I5" s="75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3"/>
      <c r="V5" s="74"/>
      <c r="W5" s="71"/>
      <c r="X5" s="71"/>
      <c r="Y5" s="71"/>
      <c r="Z5" s="71"/>
    </row>
    <row r="6" spans="1:26" x14ac:dyDescent="0.25">
      <c r="A6" s="78"/>
      <c r="B6" s="78"/>
      <c r="C6" s="72"/>
      <c r="D6" s="72"/>
      <c r="E6" s="75"/>
      <c r="F6" s="72"/>
      <c r="G6" s="3">
        <v>1</v>
      </c>
      <c r="H6" s="3">
        <v>2</v>
      </c>
      <c r="I6" s="3">
        <v>3</v>
      </c>
      <c r="J6" s="3">
        <v>4</v>
      </c>
      <c r="K6" s="3">
        <v>5</v>
      </c>
      <c r="L6" s="3">
        <v>6</v>
      </c>
      <c r="M6" s="3">
        <v>7</v>
      </c>
      <c r="N6" s="3">
        <v>8</v>
      </c>
      <c r="O6" s="3">
        <v>9</v>
      </c>
      <c r="P6" s="3">
        <v>10</v>
      </c>
      <c r="Q6" s="3">
        <v>11</v>
      </c>
      <c r="R6" s="3">
        <v>12</v>
      </c>
      <c r="S6" s="3">
        <v>13</v>
      </c>
      <c r="T6" s="3">
        <v>14</v>
      </c>
      <c r="U6" s="73"/>
      <c r="V6" s="16">
        <v>15</v>
      </c>
      <c r="W6" s="16">
        <v>16</v>
      </c>
      <c r="X6" s="16">
        <v>17</v>
      </c>
      <c r="Y6" s="16">
        <v>18</v>
      </c>
      <c r="Z6" s="16">
        <v>19</v>
      </c>
    </row>
    <row r="7" spans="1:26" ht="15.75" x14ac:dyDescent="0.25">
      <c r="A7" s="76">
        <v>1</v>
      </c>
      <c r="B7" s="96" t="s">
        <v>62</v>
      </c>
      <c r="C7" s="4" t="s">
        <v>63</v>
      </c>
      <c r="D7" s="4" t="s">
        <v>43</v>
      </c>
      <c r="E7" s="4">
        <v>31</v>
      </c>
      <c r="F7" s="4">
        <v>14</v>
      </c>
      <c r="G7" s="4">
        <v>11</v>
      </c>
      <c r="H7" s="4">
        <v>16</v>
      </c>
      <c r="I7" s="4">
        <v>105</v>
      </c>
      <c r="J7" s="5">
        <v>132</v>
      </c>
      <c r="K7" s="4">
        <v>106</v>
      </c>
      <c r="L7" s="4">
        <v>0</v>
      </c>
      <c r="M7" s="5">
        <v>18</v>
      </c>
      <c r="N7" s="4">
        <v>2</v>
      </c>
      <c r="O7" s="4">
        <v>16</v>
      </c>
      <c r="P7" s="5">
        <v>124</v>
      </c>
      <c r="Q7" s="4">
        <v>144</v>
      </c>
      <c r="R7" s="4">
        <v>1</v>
      </c>
      <c r="S7" s="4">
        <v>278</v>
      </c>
      <c r="T7" s="5">
        <v>8</v>
      </c>
      <c r="U7" s="5">
        <v>18</v>
      </c>
      <c r="V7" s="7">
        <v>8.9677419354838701</v>
      </c>
      <c r="W7" s="7">
        <v>64.055299539170491</v>
      </c>
      <c r="X7" s="7">
        <v>15.444444444444445</v>
      </c>
      <c r="Y7" s="6">
        <v>8.6666666666666679</v>
      </c>
      <c r="Z7" s="7">
        <v>1.2857142857142858</v>
      </c>
    </row>
    <row r="8" spans="1:26" ht="15.75" x14ac:dyDescent="0.25">
      <c r="A8" s="77"/>
      <c r="B8" s="97"/>
      <c r="C8" s="8" t="s">
        <v>63</v>
      </c>
      <c r="D8" s="8" t="s">
        <v>43</v>
      </c>
      <c r="E8" s="4">
        <v>31</v>
      </c>
      <c r="F8" s="8">
        <v>14</v>
      </c>
      <c r="G8" s="8">
        <v>11</v>
      </c>
      <c r="H8" s="8">
        <v>16</v>
      </c>
      <c r="I8" s="8">
        <v>105</v>
      </c>
      <c r="J8" s="8">
        <v>132</v>
      </c>
      <c r="K8" s="8">
        <v>106</v>
      </c>
      <c r="L8" s="8">
        <v>0</v>
      </c>
      <c r="M8" s="8">
        <v>18</v>
      </c>
      <c r="N8" s="8">
        <v>2</v>
      </c>
      <c r="O8" s="8">
        <v>16</v>
      </c>
      <c r="P8" s="8">
        <v>124</v>
      </c>
      <c r="Q8" s="8">
        <v>144</v>
      </c>
      <c r="R8" s="8">
        <v>1</v>
      </c>
      <c r="S8" s="8">
        <v>278</v>
      </c>
      <c r="T8" s="8">
        <v>8</v>
      </c>
      <c r="U8" s="8">
        <v>18</v>
      </c>
      <c r="V8" s="24">
        <v>8.9677419354838701</v>
      </c>
      <c r="W8" s="24">
        <v>64.055299539170491</v>
      </c>
      <c r="X8" s="24">
        <v>15.444444444444445</v>
      </c>
      <c r="Y8" s="24">
        <v>8.6666666666666679</v>
      </c>
      <c r="Z8" s="24">
        <v>1.2857142857142858</v>
      </c>
    </row>
    <row r="9" spans="1:26" ht="15.75" x14ac:dyDescent="0.25">
      <c r="A9" s="76">
        <v>2</v>
      </c>
      <c r="B9" s="97"/>
      <c r="C9" s="4" t="s">
        <v>64</v>
      </c>
      <c r="D9" s="4" t="s">
        <v>43</v>
      </c>
      <c r="E9" s="4">
        <v>31</v>
      </c>
      <c r="F9" s="4">
        <v>5</v>
      </c>
      <c r="G9" s="4">
        <v>3</v>
      </c>
      <c r="H9" s="4">
        <v>74</v>
      </c>
      <c r="I9" s="4">
        <v>10</v>
      </c>
      <c r="J9" s="5">
        <v>87</v>
      </c>
      <c r="K9" s="4">
        <v>78</v>
      </c>
      <c r="L9" s="4">
        <v>1</v>
      </c>
      <c r="M9" s="5">
        <v>7</v>
      </c>
      <c r="N9" s="4">
        <v>7</v>
      </c>
      <c r="O9" s="4">
        <v>0</v>
      </c>
      <c r="P9" s="5">
        <v>86</v>
      </c>
      <c r="Q9" s="4">
        <v>8</v>
      </c>
      <c r="R9" s="4">
        <v>2</v>
      </c>
      <c r="S9" s="4">
        <v>114</v>
      </c>
      <c r="T9" s="5">
        <v>1</v>
      </c>
      <c r="U9" s="5">
        <v>8</v>
      </c>
      <c r="V9" s="7">
        <v>3.6774193548387095</v>
      </c>
      <c r="W9" s="7">
        <v>73.548387096774192</v>
      </c>
      <c r="X9" s="7">
        <v>14.25</v>
      </c>
      <c r="Y9" s="6">
        <v>5.1250000000000009</v>
      </c>
      <c r="Z9" s="7">
        <v>1.6</v>
      </c>
    </row>
    <row r="10" spans="1:26" ht="15.75" x14ac:dyDescent="0.25">
      <c r="A10" s="77"/>
      <c r="B10" s="97"/>
      <c r="C10" s="8" t="s">
        <v>64</v>
      </c>
      <c r="D10" s="8" t="s">
        <v>43</v>
      </c>
      <c r="E10" s="4">
        <v>31</v>
      </c>
      <c r="F10" s="8">
        <v>5</v>
      </c>
      <c r="G10" s="8">
        <v>3</v>
      </c>
      <c r="H10" s="8">
        <v>74</v>
      </c>
      <c r="I10" s="8">
        <v>10</v>
      </c>
      <c r="J10" s="8">
        <v>87</v>
      </c>
      <c r="K10" s="8">
        <v>78</v>
      </c>
      <c r="L10" s="8">
        <v>1</v>
      </c>
      <c r="M10" s="8">
        <v>7</v>
      </c>
      <c r="N10" s="8">
        <v>7</v>
      </c>
      <c r="O10" s="8">
        <v>0</v>
      </c>
      <c r="P10" s="8">
        <v>86</v>
      </c>
      <c r="Q10" s="8">
        <v>8</v>
      </c>
      <c r="R10" s="8">
        <v>2</v>
      </c>
      <c r="S10" s="8">
        <v>114</v>
      </c>
      <c r="T10" s="8">
        <v>1</v>
      </c>
      <c r="U10" s="8">
        <v>8</v>
      </c>
      <c r="V10" s="24">
        <v>3.6774193548387095</v>
      </c>
      <c r="W10" s="24">
        <v>73.548387096774192</v>
      </c>
      <c r="X10" s="24">
        <v>14.25</v>
      </c>
      <c r="Y10" s="24">
        <v>5.1250000000000009</v>
      </c>
      <c r="Z10" s="24">
        <v>1.6</v>
      </c>
    </row>
    <row r="11" spans="1:26" ht="15.75" x14ac:dyDescent="0.25">
      <c r="A11" s="76">
        <v>3</v>
      </c>
      <c r="B11" s="97"/>
      <c r="C11" s="4" t="s">
        <v>65</v>
      </c>
      <c r="D11" s="4" t="s">
        <v>43</v>
      </c>
      <c r="E11" s="4">
        <v>31</v>
      </c>
      <c r="F11" s="4">
        <v>3</v>
      </c>
      <c r="G11" s="4">
        <v>1</v>
      </c>
      <c r="H11" s="4">
        <v>7</v>
      </c>
      <c r="I11" s="4">
        <v>19</v>
      </c>
      <c r="J11" s="5">
        <v>27</v>
      </c>
      <c r="K11" s="4">
        <v>22</v>
      </c>
      <c r="L11" s="4">
        <v>0</v>
      </c>
      <c r="M11" s="5">
        <v>2</v>
      </c>
      <c r="N11" s="4">
        <v>0</v>
      </c>
      <c r="O11" s="4">
        <v>2</v>
      </c>
      <c r="P11" s="5">
        <v>24</v>
      </c>
      <c r="Q11" s="4">
        <v>16</v>
      </c>
      <c r="R11" s="4">
        <v>0</v>
      </c>
      <c r="S11" s="4">
        <v>67</v>
      </c>
      <c r="T11" s="5">
        <v>3</v>
      </c>
      <c r="U11" s="5">
        <v>2</v>
      </c>
      <c r="V11" s="7">
        <v>2.161290322580645</v>
      </c>
      <c r="W11" s="7">
        <v>72.043010752688161</v>
      </c>
      <c r="X11" s="7">
        <v>33.5</v>
      </c>
      <c r="Y11" s="6">
        <v>13.000000000000002</v>
      </c>
      <c r="Z11" s="7">
        <v>0.66666666666666663</v>
      </c>
    </row>
    <row r="12" spans="1:26" ht="15.75" x14ac:dyDescent="0.25">
      <c r="A12" s="77"/>
      <c r="B12" s="97"/>
      <c r="C12" s="8" t="s">
        <v>65</v>
      </c>
      <c r="D12" s="8" t="s">
        <v>43</v>
      </c>
      <c r="E12" s="4">
        <v>31</v>
      </c>
      <c r="F12" s="8">
        <v>3</v>
      </c>
      <c r="G12" s="8">
        <v>1</v>
      </c>
      <c r="H12" s="8">
        <v>7</v>
      </c>
      <c r="I12" s="8">
        <v>19</v>
      </c>
      <c r="J12" s="8">
        <v>27</v>
      </c>
      <c r="K12" s="8">
        <v>22</v>
      </c>
      <c r="L12" s="8">
        <v>0</v>
      </c>
      <c r="M12" s="8">
        <v>2</v>
      </c>
      <c r="N12" s="8">
        <v>0</v>
      </c>
      <c r="O12" s="8">
        <v>2</v>
      </c>
      <c r="P12" s="8">
        <v>24</v>
      </c>
      <c r="Q12" s="8">
        <v>16</v>
      </c>
      <c r="R12" s="8">
        <v>0</v>
      </c>
      <c r="S12" s="8">
        <v>67</v>
      </c>
      <c r="T12" s="8">
        <v>3</v>
      </c>
      <c r="U12" s="8">
        <v>2</v>
      </c>
      <c r="V12" s="24">
        <v>2.161290322580645</v>
      </c>
      <c r="W12" s="24">
        <v>72.043010752688161</v>
      </c>
      <c r="X12" s="24">
        <v>33.5</v>
      </c>
      <c r="Y12" s="24">
        <v>13.000000000000002</v>
      </c>
      <c r="Z12" s="24">
        <v>0.66666666666666663</v>
      </c>
    </row>
    <row r="13" spans="1:26" ht="15.75" x14ac:dyDescent="0.25">
      <c r="A13" s="76">
        <v>4</v>
      </c>
      <c r="B13" s="97"/>
      <c r="C13" s="5" t="s">
        <v>66</v>
      </c>
      <c r="D13" s="5" t="s">
        <v>43</v>
      </c>
      <c r="E13" s="4">
        <v>31</v>
      </c>
      <c r="F13" s="5">
        <v>5</v>
      </c>
      <c r="G13" s="5">
        <v>4</v>
      </c>
      <c r="H13" s="5">
        <v>17</v>
      </c>
      <c r="I13" s="5">
        <v>15</v>
      </c>
      <c r="J13" s="5">
        <v>36</v>
      </c>
      <c r="K13" s="5">
        <v>19</v>
      </c>
      <c r="L13" s="5">
        <v>0</v>
      </c>
      <c r="M13" s="5">
        <v>12</v>
      </c>
      <c r="N13" s="5">
        <v>7</v>
      </c>
      <c r="O13" s="5">
        <v>5</v>
      </c>
      <c r="P13" s="5">
        <v>31</v>
      </c>
      <c r="Q13" s="5">
        <v>39</v>
      </c>
      <c r="R13" s="5">
        <v>4</v>
      </c>
      <c r="S13" s="5">
        <v>122</v>
      </c>
      <c r="T13" s="5">
        <v>5</v>
      </c>
      <c r="U13" s="5">
        <v>12</v>
      </c>
      <c r="V13" s="7">
        <v>3.935483870967742</v>
      </c>
      <c r="W13" s="7">
        <v>78.709677419354847</v>
      </c>
      <c r="X13" s="7">
        <v>10.166666666666666</v>
      </c>
      <c r="Y13" s="6">
        <v>2.75</v>
      </c>
      <c r="Z13" s="7">
        <v>2.4</v>
      </c>
    </row>
    <row r="14" spans="1:26" ht="15.75" x14ac:dyDescent="0.25">
      <c r="A14" s="77"/>
      <c r="B14" s="97"/>
      <c r="C14" s="8" t="s">
        <v>66</v>
      </c>
      <c r="D14" s="8" t="s">
        <v>43</v>
      </c>
      <c r="E14" s="4">
        <v>31</v>
      </c>
      <c r="F14" s="8">
        <v>5</v>
      </c>
      <c r="G14" s="8">
        <v>4</v>
      </c>
      <c r="H14" s="8">
        <v>17</v>
      </c>
      <c r="I14" s="8">
        <v>15</v>
      </c>
      <c r="J14" s="8">
        <v>36</v>
      </c>
      <c r="K14" s="8">
        <v>19</v>
      </c>
      <c r="L14" s="8">
        <v>0</v>
      </c>
      <c r="M14" s="8">
        <v>12</v>
      </c>
      <c r="N14" s="8">
        <v>7</v>
      </c>
      <c r="O14" s="8">
        <v>5</v>
      </c>
      <c r="P14" s="8">
        <v>31</v>
      </c>
      <c r="Q14" s="8">
        <v>39</v>
      </c>
      <c r="R14" s="8">
        <v>4</v>
      </c>
      <c r="S14" s="8">
        <v>122</v>
      </c>
      <c r="T14" s="8">
        <v>5</v>
      </c>
      <c r="U14" s="8">
        <v>12</v>
      </c>
      <c r="V14" s="24">
        <v>3.935483870967742</v>
      </c>
      <c r="W14" s="24">
        <v>78.709677419354847</v>
      </c>
      <c r="X14" s="24">
        <v>10.166666666666666</v>
      </c>
      <c r="Y14" s="24">
        <v>2.75</v>
      </c>
      <c r="Z14" s="24">
        <v>2.4</v>
      </c>
    </row>
    <row r="15" spans="1:26" ht="15.75" x14ac:dyDescent="0.25">
      <c r="A15" s="76">
        <v>5</v>
      </c>
      <c r="B15" s="97"/>
      <c r="C15" s="5" t="s">
        <v>67</v>
      </c>
      <c r="D15" s="5" t="s">
        <v>43</v>
      </c>
      <c r="E15" s="4">
        <v>31</v>
      </c>
      <c r="F15" s="5">
        <v>4</v>
      </c>
      <c r="G15" s="5">
        <v>3</v>
      </c>
      <c r="H15" s="5">
        <v>23</v>
      </c>
      <c r="I15" s="5">
        <v>10</v>
      </c>
      <c r="J15" s="5">
        <v>36</v>
      </c>
      <c r="K15" s="5">
        <v>23</v>
      </c>
      <c r="L15" s="5">
        <v>0</v>
      </c>
      <c r="M15" s="5">
        <v>10</v>
      </c>
      <c r="N15" s="5">
        <v>8</v>
      </c>
      <c r="O15" s="5">
        <v>2</v>
      </c>
      <c r="P15" s="5">
        <v>33</v>
      </c>
      <c r="Q15" s="5">
        <v>18</v>
      </c>
      <c r="R15" s="5">
        <v>3</v>
      </c>
      <c r="S15" s="5">
        <v>84</v>
      </c>
      <c r="T15" s="5">
        <v>3</v>
      </c>
      <c r="U15" s="5">
        <v>10</v>
      </c>
      <c r="V15" s="7">
        <v>2.7096774193548385</v>
      </c>
      <c r="W15" s="7">
        <v>67.741935483870961</v>
      </c>
      <c r="X15" s="7">
        <v>8.4</v>
      </c>
      <c r="Y15" s="6">
        <v>4.0000000000000009</v>
      </c>
      <c r="Z15" s="7">
        <v>2.5</v>
      </c>
    </row>
    <row r="16" spans="1:26" ht="15.75" x14ac:dyDescent="0.25">
      <c r="A16" s="77"/>
      <c r="B16" s="97"/>
      <c r="C16" s="8" t="s">
        <v>67</v>
      </c>
      <c r="D16" s="8" t="s">
        <v>43</v>
      </c>
      <c r="E16" s="4">
        <v>31</v>
      </c>
      <c r="F16" s="8">
        <v>4</v>
      </c>
      <c r="G16" s="8">
        <v>3</v>
      </c>
      <c r="H16" s="8">
        <v>23</v>
      </c>
      <c r="I16" s="8">
        <v>10</v>
      </c>
      <c r="J16" s="8">
        <v>36</v>
      </c>
      <c r="K16" s="8">
        <v>23</v>
      </c>
      <c r="L16" s="8">
        <v>0</v>
      </c>
      <c r="M16" s="8">
        <v>10</v>
      </c>
      <c r="N16" s="8">
        <v>8</v>
      </c>
      <c r="O16" s="8">
        <v>2</v>
      </c>
      <c r="P16" s="8">
        <v>33</v>
      </c>
      <c r="Q16" s="8">
        <v>18</v>
      </c>
      <c r="R16" s="8">
        <v>3</v>
      </c>
      <c r="S16" s="8">
        <v>84</v>
      </c>
      <c r="T16" s="8">
        <v>3</v>
      </c>
      <c r="U16" s="8">
        <v>10</v>
      </c>
      <c r="V16" s="24">
        <v>2.7096774193548385</v>
      </c>
      <c r="W16" s="24">
        <v>67.741935483870961</v>
      </c>
      <c r="X16" s="24">
        <v>8.4</v>
      </c>
      <c r="Y16" s="24">
        <v>4.0000000000000009</v>
      </c>
      <c r="Z16" s="24">
        <v>2.5</v>
      </c>
    </row>
    <row r="17" spans="1:26" ht="15.75" x14ac:dyDescent="0.25">
      <c r="A17" s="76">
        <v>6</v>
      </c>
      <c r="B17" s="97"/>
      <c r="C17" s="5" t="s">
        <v>58</v>
      </c>
      <c r="D17" s="5" t="s">
        <v>43</v>
      </c>
      <c r="E17" s="4">
        <v>31</v>
      </c>
      <c r="F17" s="5">
        <v>2</v>
      </c>
      <c r="G17" s="5">
        <v>1</v>
      </c>
      <c r="H17" s="5">
        <v>11</v>
      </c>
      <c r="I17" s="5">
        <v>2</v>
      </c>
      <c r="J17" s="5">
        <v>14</v>
      </c>
      <c r="K17" s="5">
        <v>6</v>
      </c>
      <c r="L17" s="5">
        <v>1</v>
      </c>
      <c r="M17" s="5">
        <v>6</v>
      </c>
      <c r="N17" s="5">
        <v>4</v>
      </c>
      <c r="O17" s="5">
        <v>2</v>
      </c>
      <c r="P17" s="5">
        <v>13</v>
      </c>
      <c r="Q17" s="5">
        <v>20</v>
      </c>
      <c r="R17" s="5">
        <v>0</v>
      </c>
      <c r="S17" s="5">
        <v>37</v>
      </c>
      <c r="T17" s="5">
        <v>1</v>
      </c>
      <c r="U17" s="5">
        <v>7</v>
      </c>
      <c r="V17" s="13">
        <v>1.1935483870967742</v>
      </c>
      <c r="W17" s="13">
        <v>59.677419354838712</v>
      </c>
      <c r="X17" s="13">
        <v>5.2857142857142856</v>
      </c>
      <c r="Y17" s="14">
        <v>3.5714285714285716</v>
      </c>
      <c r="Z17" s="13">
        <v>3.5</v>
      </c>
    </row>
    <row r="18" spans="1:26" ht="15.75" x14ac:dyDescent="0.25">
      <c r="A18" s="77"/>
      <c r="B18" s="97"/>
      <c r="C18" s="8" t="s">
        <v>58</v>
      </c>
      <c r="D18" s="8"/>
      <c r="E18" s="4">
        <v>31</v>
      </c>
      <c r="F18" s="8">
        <v>2</v>
      </c>
      <c r="G18" s="8">
        <v>1</v>
      </c>
      <c r="H18" s="8">
        <v>11</v>
      </c>
      <c r="I18" s="8">
        <v>2</v>
      </c>
      <c r="J18" s="8">
        <v>14</v>
      </c>
      <c r="K18" s="8">
        <v>6</v>
      </c>
      <c r="L18" s="8">
        <v>1</v>
      </c>
      <c r="M18" s="8">
        <v>6</v>
      </c>
      <c r="N18" s="8">
        <v>4</v>
      </c>
      <c r="O18" s="8">
        <v>2</v>
      </c>
      <c r="P18" s="8">
        <v>13</v>
      </c>
      <c r="Q18" s="8">
        <v>20</v>
      </c>
      <c r="R18" s="8">
        <v>0</v>
      </c>
      <c r="S18" s="8">
        <v>37</v>
      </c>
      <c r="T18" s="8">
        <v>1</v>
      </c>
      <c r="U18" s="8">
        <v>7</v>
      </c>
      <c r="V18" s="26">
        <v>1.1935483870967742</v>
      </c>
      <c r="W18" s="26">
        <v>59.677419354838712</v>
      </c>
      <c r="X18" s="26">
        <v>5.2857142857142856</v>
      </c>
      <c r="Y18" s="26">
        <v>3.5714285714285716</v>
      </c>
      <c r="Z18" s="26">
        <v>3.5</v>
      </c>
    </row>
    <row r="19" spans="1:26" ht="15.75" x14ac:dyDescent="0.25">
      <c r="A19" s="76">
        <v>7</v>
      </c>
      <c r="B19" s="97"/>
      <c r="C19" s="5" t="s">
        <v>73</v>
      </c>
      <c r="D19" s="5" t="s">
        <v>36</v>
      </c>
      <c r="E19" s="4">
        <v>31</v>
      </c>
      <c r="F19" s="5">
        <v>15</v>
      </c>
      <c r="G19" s="5">
        <v>14</v>
      </c>
      <c r="H19" s="5">
        <v>97</v>
      </c>
      <c r="I19" s="5">
        <v>18</v>
      </c>
      <c r="J19" s="5">
        <v>129</v>
      </c>
      <c r="K19" s="5">
        <v>12</v>
      </c>
      <c r="L19" s="5">
        <v>89</v>
      </c>
      <c r="M19" s="5">
        <v>16</v>
      </c>
      <c r="N19" s="5">
        <v>7</v>
      </c>
      <c r="O19" s="5">
        <v>9</v>
      </c>
      <c r="P19" s="5">
        <v>117</v>
      </c>
      <c r="Q19" s="5">
        <v>497</v>
      </c>
      <c r="R19" s="5">
        <v>1</v>
      </c>
      <c r="S19" s="5">
        <v>417</v>
      </c>
      <c r="T19" s="5">
        <v>12</v>
      </c>
      <c r="U19" s="5">
        <v>105</v>
      </c>
      <c r="V19" s="7">
        <v>13.451612903225806</v>
      </c>
      <c r="W19" s="7">
        <v>89.677419354838705</v>
      </c>
      <c r="X19" s="7">
        <v>3.9714285714285715</v>
      </c>
      <c r="Y19" s="6">
        <v>0.4571428571428573</v>
      </c>
      <c r="Z19" s="7">
        <v>7</v>
      </c>
    </row>
    <row r="20" spans="1:26" ht="15.75" x14ac:dyDescent="0.25">
      <c r="A20" s="77"/>
      <c r="B20" s="99"/>
      <c r="C20" s="8" t="s">
        <v>73</v>
      </c>
      <c r="D20" s="8" t="s">
        <v>36</v>
      </c>
      <c r="E20" s="4">
        <v>31</v>
      </c>
      <c r="F20" s="8">
        <v>15</v>
      </c>
      <c r="G20" s="8">
        <v>14</v>
      </c>
      <c r="H20" s="8">
        <v>97</v>
      </c>
      <c r="I20" s="8">
        <v>18</v>
      </c>
      <c r="J20" s="8">
        <v>129</v>
      </c>
      <c r="K20" s="8">
        <v>12</v>
      </c>
      <c r="L20" s="8">
        <v>89</v>
      </c>
      <c r="M20" s="8">
        <v>16</v>
      </c>
      <c r="N20" s="8">
        <v>7</v>
      </c>
      <c r="O20" s="8">
        <v>9</v>
      </c>
      <c r="P20" s="8">
        <v>117</v>
      </c>
      <c r="Q20" s="8">
        <v>497</v>
      </c>
      <c r="R20" s="8">
        <v>1</v>
      </c>
      <c r="S20" s="8">
        <v>417</v>
      </c>
      <c r="T20" s="8">
        <v>12</v>
      </c>
      <c r="U20" s="8">
        <v>105</v>
      </c>
      <c r="V20" s="24">
        <v>13.451612903225806</v>
      </c>
      <c r="W20" s="24">
        <v>89.677419354838705</v>
      </c>
      <c r="X20" s="24">
        <v>3.9714285714285715</v>
      </c>
      <c r="Y20" s="24">
        <v>0.4571428571428573</v>
      </c>
      <c r="Z20" s="24">
        <v>7</v>
      </c>
    </row>
    <row r="21" spans="1:26" ht="15.75" x14ac:dyDescent="0.25">
      <c r="A21" s="79" t="s">
        <v>69</v>
      </c>
      <c r="B21" s="80"/>
      <c r="C21" s="80"/>
      <c r="D21" s="81"/>
      <c r="E21" s="4">
        <v>31</v>
      </c>
      <c r="F21" s="20">
        <v>48</v>
      </c>
      <c r="G21" s="20">
        <v>37</v>
      </c>
      <c r="H21" s="20">
        <v>245</v>
      </c>
      <c r="I21" s="20">
        <v>179</v>
      </c>
      <c r="J21" s="11">
        <v>461</v>
      </c>
      <c r="K21" s="20">
        <v>266</v>
      </c>
      <c r="L21" s="20">
        <v>91</v>
      </c>
      <c r="M21" s="11">
        <v>71</v>
      </c>
      <c r="N21" s="20">
        <v>35</v>
      </c>
      <c r="O21" s="20">
        <v>36</v>
      </c>
      <c r="P21" s="11">
        <v>428</v>
      </c>
      <c r="Q21" s="20">
        <v>742</v>
      </c>
      <c r="R21" s="20">
        <v>11</v>
      </c>
      <c r="S21" s="20">
        <v>1119</v>
      </c>
      <c r="T21" s="11">
        <v>33</v>
      </c>
      <c r="U21" s="11">
        <v>162</v>
      </c>
      <c r="V21" s="22">
        <v>36.096774193548384</v>
      </c>
      <c r="W21" s="12">
        <v>75.201612903225794</v>
      </c>
      <c r="X21" s="12">
        <v>6.9074074074074074</v>
      </c>
      <c r="Y21" s="12">
        <v>2.2777777777777786</v>
      </c>
      <c r="Z21" s="12">
        <v>3.375</v>
      </c>
    </row>
    <row r="22" spans="1:26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ht="15" customHeight="1" x14ac:dyDescent="0.25">
      <c r="A24" s="78" t="s">
        <v>1</v>
      </c>
      <c r="B24" s="78" t="s">
        <v>2</v>
      </c>
      <c r="C24" s="72" t="s">
        <v>3</v>
      </c>
      <c r="D24" s="72" t="s">
        <v>4</v>
      </c>
      <c r="E24" s="75" t="s">
        <v>5</v>
      </c>
      <c r="F24" s="72" t="s">
        <v>6</v>
      </c>
      <c r="G24" s="72" t="s">
        <v>7</v>
      </c>
      <c r="H24" s="72" t="s">
        <v>8</v>
      </c>
      <c r="I24" s="75" t="s">
        <v>9</v>
      </c>
      <c r="J24" s="72" t="s">
        <v>10</v>
      </c>
      <c r="K24" s="72" t="s">
        <v>11</v>
      </c>
      <c r="L24" s="72" t="s">
        <v>12</v>
      </c>
      <c r="M24" s="72" t="s">
        <v>13</v>
      </c>
      <c r="N24" s="72" t="s">
        <v>14</v>
      </c>
      <c r="O24" s="72" t="s">
        <v>15</v>
      </c>
      <c r="P24" s="72" t="s">
        <v>16</v>
      </c>
      <c r="Q24" s="72" t="s">
        <v>17</v>
      </c>
      <c r="R24" s="72" t="s">
        <v>18</v>
      </c>
      <c r="S24" s="72" t="s">
        <v>19</v>
      </c>
      <c r="T24" s="72" t="s">
        <v>20</v>
      </c>
      <c r="U24" s="73" t="s">
        <v>21</v>
      </c>
      <c r="V24" s="2" t="s">
        <v>22</v>
      </c>
      <c r="W24" s="2" t="s">
        <v>23</v>
      </c>
      <c r="X24" s="2" t="s">
        <v>24</v>
      </c>
      <c r="Y24" s="2" t="s">
        <v>25</v>
      </c>
      <c r="Z24" s="2" t="s">
        <v>26</v>
      </c>
    </row>
    <row r="25" spans="1:26" ht="15" customHeight="1" x14ac:dyDescent="0.25">
      <c r="A25" s="78"/>
      <c r="B25" s="78"/>
      <c r="C25" s="72"/>
      <c r="D25" s="72"/>
      <c r="E25" s="75"/>
      <c r="F25" s="72"/>
      <c r="G25" s="72"/>
      <c r="H25" s="72"/>
      <c r="I25" s="75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3"/>
      <c r="V25" s="71" t="s">
        <v>27</v>
      </c>
      <c r="W25" s="71" t="s">
        <v>28</v>
      </c>
      <c r="X25" s="71" t="s">
        <v>29</v>
      </c>
      <c r="Y25" s="71" t="s">
        <v>30</v>
      </c>
      <c r="Z25" s="71" t="s">
        <v>31</v>
      </c>
    </row>
    <row r="26" spans="1:26" x14ac:dyDescent="0.25">
      <c r="A26" s="78"/>
      <c r="B26" s="78"/>
      <c r="C26" s="72"/>
      <c r="D26" s="72"/>
      <c r="E26" s="75"/>
      <c r="F26" s="72"/>
      <c r="G26" s="72"/>
      <c r="H26" s="72"/>
      <c r="I26" s="75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3"/>
      <c r="V26" s="74"/>
      <c r="W26" s="71"/>
      <c r="X26" s="71"/>
      <c r="Y26" s="71"/>
      <c r="Z26" s="71"/>
    </row>
    <row r="27" spans="1:26" x14ac:dyDescent="0.25">
      <c r="A27" s="78"/>
      <c r="B27" s="78"/>
      <c r="C27" s="72"/>
      <c r="D27" s="72"/>
      <c r="E27" s="75"/>
      <c r="F27" s="72"/>
      <c r="G27" s="3">
        <v>1</v>
      </c>
      <c r="H27" s="3">
        <v>2</v>
      </c>
      <c r="I27" s="3">
        <v>3</v>
      </c>
      <c r="J27" s="3">
        <v>4</v>
      </c>
      <c r="K27" s="3">
        <v>5</v>
      </c>
      <c r="L27" s="3">
        <v>6</v>
      </c>
      <c r="M27" s="3">
        <v>7</v>
      </c>
      <c r="N27" s="3">
        <v>8</v>
      </c>
      <c r="O27" s="3">
        <v>9</v>
      </c>
      <c r="P27" s="3">
        <v>10</v>
      </c>
      <c r="Q27" s="3">
        <v>11</v>
      </c>
      <c r="R27" s="3">
        <v>12</v>
      </c>
      <c r="S27" s="3">
        <v>13</v>
      </c>
      <c r="T27" s="3">
        <v>14</v>
      </c>
      <c r="U27" s="73"/>
      <c r="V27" s="16">
        <v>15</v>
      </c>
      <c r="W27" s="16">
        <v>16</v>
      </c>
      <c r="X27" s="16">
        <v>17</v>
      </c>
      <c r="Y27" s="16">
        <v>18</v>
      </c>
      <c r="Z27" s="16">
        <v>19</v>
      </c>
    </row>
    <row r="28" spans="1:26" ht="15.75" x14ac:dyDescent="0.25">
      <c r="A28" s="76">
        <v>1</v>
      </c>
      <c r="B28" s="96" t="s">
        <v>38</v>
      </c>
      <c r="C28" s="27" t="s">
        <v>53</v>
      </c>
      <c r="D28" s="9" t="s">
        <v>49</v>
      </c>
      <c r="E28" s="4">
        <v>31</v>
      </c>
      <c r="F28" s="4">
        <v>2</v>
      </c>
      <c r="G28" s="4">
        <v>0</v>
      </c>
      <c r="H28" s="4">
        <v>3</v>
      </c>
      <c r="I28" s="4">
        <v>0</v>
      </c>
      <c r="J28" s="5">
        <v>3</v>
      </c>
      <c r="K28" s="4">
        <v>1</v>
      </c>
      <c r="L28" s="4">
        <v>1</v>
      </c>
      <c r="M28" s="5">
        <v>1</v>
      </c>
      <c r="N28" s="4">
        <v>0</v>
      </c>
      <c r="O28" s="4">
        <v>1</v>
      </c>
      <c r="P28" s="5">
        <v>3</v>
      </c>
      <c r="Q28" s="4">
        <v>6</v>
      </c>
      <c r="R28" s="4">
        <v>0</v>
      </c>
      <c r="S28" s="4">
        <v>7</v>
      </c>
      <c r="T28" s="5">
        <v>0</v>
      </c>
      <c r="U28" s="5">
        <v>2</v>
      </c>
      <c r="V28" s="7">
        <v>0.22580645161290322</v>
      </c>
      <c r="W28" s="7">
        <v>11.29032258064516</v>
      </c>
      <c r="X28" s="7">
        <v>3.5</v>
      </c>
      <c r="Y28" s="6">
        <v>27.5</v>
      </c>
      <c r="Z28" s="7">
        <v>1</v>
      </c>
    </row>
    <row r="29" spans="1:26" ht="15.75" x14ac:dyDescent="0.25">
      <c r="A29" s="98"/>
      <c r="B29" s="97"/>
      <c r="C29" s="27" t="s">
        <v>53</v>
      </c>
      <c r="D29" s="18" t="s">
        <v>50</v>
      </c>
      <c r="E29" s="4">
        <v>31</v>
      </c>
      <c r="F29" s="4">
        <v>3</v>
      </c>
      <c r="G29" s="4">
        <v>1</v>
      </c>
      <c r="H29" s="4">
        <v>9</v>
      </c>
      <c r="I29" s="4">
        <v>2</v>
      </c>
      <c r="J29" s="8">
        <v>12</v>
      </c>
      <c r="K29" s="4">
        <v>0</v>
      </c>
      <c r="L29" s="4">
        <v>9</v>
      </c>
      <c r="M29" s="8">
        <v>3</v>
      </c>
      <c r="N29" s="4">
        <v>2</v>
      </c>
      <c r="O29" s="4">
        <v>1</v>
      </c>
      <c r="P29" s="8">
        <v>12</v>
      </c>
      <c r="Q29" s="4">
        <v>49</v>
      </c>
      <c r="R29" s="4">
        <v>0</v>
      </c>
      <c r="S29" s="4">
        <v>40</v>
      </c>
      <c r="T29" s="8">
        <v>0</v>
      </c>
      <c r="U29" s="8">
        <v>12</v>
      </c>
      <c r="V29" s="24">
        <v>1.2903225806451613</v>
      </c>
      <c r="W29" s="24">
        <v>43.01075268817204</v>
      </c>
      <c r="X29" s="24">
        <v>3.3333333333333335</v>
      </c>
      <c r="Y29" s="24">
        <v>4.416666666666667</v>
      </c>
      <c r="Z29" s="24">
        <v>4</v>
      </c>
    </row>
    <row r="30" spans="1:26" ht="15.75" x14ac:dyDescent="0.25">
      <c r="A30" s="98"/>
      <c r="B30" s="97"/>
      <c r="C30" s="23" t="s">
        <v>53</v>
      </c>
      <c r="D30" s="18" t="s">
        <v>51</v>
      </c>
      <c r="E30" s="4">
        <v>31</v>
      </c>
      <c r="F30" s="4">
        <v>2</v>
      </c>
      <c r="G30" s="4">
        <v>1</v>
      </c>
      <c r="H30" s="4">
        <v>5</v>
      </c>
      <c r="I30" s="4">
        <v>0</v>
      </c>
      <c r="J30" s="5">
        <v>6</v>
      </c>
      <c r="K30" s="4">
        <v>1</v>
      </c>
      <c r="L30" s="4">
        <v>3</v>
      </c>
      <c r="M30" s="5">
        <v>0</v>
      </c>
      <c r="N30" s="4">
        <v>0</v>
      </c>
      <c r="O30" s="4">
        <v>0</v>
      </c>
      <c r="P30" s="5">
        <v>4</v>
      </c>
      <c r="Q30" s="4">
        <v>15</v>
      </c>
      <c r="R30" s="4">
        <v>0</v>
      </c>
      <c r="S30" s="4">
        <v>22</v>
      </c>
      <c r="T30" s="5">
        <v>2</v>
      </c>
      <c r="U30" s="5">
        <v>3</v>
      </c>
      <c r="V30" s="7">
        <v>0.70967741935483875</v>
      </c>
      <c r="W30" s="7">
        <v>35.483870967741936</v>
      </c>
      <c r="X30" s="7">
        <v>7.333333333333333</v>
      </c>
      <c r="Y30" s="6">
        <v>13.333333333333334</v>
      </c>
      <c r="Z30" s="7">
        <v>1.5</v>
      </c>
    </row>
    <row r="31" spans="1:26" ht="15.75" x14ac:dyDescent="0.25">
      <c r="A31" s="98"/>
      <c r="B31" s="97"/>
      <c r="C31" s="27" t="s">
        <v>53</v>
      </c>
      <c r="D31" s="18" t="s">
        <v>52</v>
      </c>
      <c r="E31" s="4">
        <v>31</v>
      </c>
      <c r="F31" s="4">
        <v>10</v>
      </c>
      <c r="G31" s="4">
        <v>9</v>
      </c>
      <c r="H31" s="4">
        <v>54</v>
      </c>
      <c r="I31" s="4">
        <v>4</v>
      </c>
      <c r="J31" s="8">
        <v>67</v>
      </c>
      <c r="K31" s="4">
        <v>3</v>
      </c>
      <c r="L31" s="4">
        <v>40</v>
      </c>
      <c r="M31" s="8">
        <v>17</v>
      </c>
      <c r="N31" s="4">
        <v>8</v>
      </c>
      <c r="O31" s="4">
        <v>9</v>
      </c>
      <c r="P31" s="8">
        <v>60</v>
      </c>
      <c r="Q31" s="4">
        <v>249</v>
      </c>
      <c r="R31" s="4">
        <v>0</v>
      </c>
      <c r="S31" s="4">
        <v>225</v>
      </c>
      <c r="T31" s="8">
        <v>7</v>
      </c>
      <c r="U31" s="8">
        <v>57</v>
      </c>
      <c r="V31" s="24">
        <v>7.258064516129032</v>
      </c>
      <c r="W31" s="24">
        <v>72.58064516129032</v>
      </c>
      <c r="X31" s="24">
        <v>3.9473684210526314</v>
      </c>
      <c r="Y31" s="24">
        <v>1.4912280701754386</v>
      </c>
      <c r="Z31" s="24">
        <v>5.7</v>
      </c>
    </row>
    <row r="32" spans="1:26" ht="15.75" x14ac:dyDescent="0.25">
      <c r="A32" s="77"/>
      <c r="B32" s="97"/>
      <c r="C32" s="8" t="s">
        <v>53</v>
      </c>
      <c r="D32" s="8"/>
      <c r="E32" s="4">
        <v>31</v>
      </c>
      <c r="F32" s="8">
        <v>17</v>
      </c>
      <c r="G32" s="8">
        <v>11</v>
      </c>
      <c r="H32" s="8">
        <v>71</v>
      </c>
      <c r="I32" s="8">
        <v>6</v>
      </c>
      <c r="J32" s="8">
        <v>88</v>
      </c>
      <c r="K32" s="8">
        <v>5</v>
      </c>
      <c r="L32" s="8">
        <v>53</v>
      </c>
      <c r="M32" s="8">
        <v>21</v>
      </c>
      <c r="N32" s="8">
        <v>10</v>
      </c>
      <c r="O32" s="8">
        <v>11</v>
      </c>
      <c r="P32" s="8">
        <v>79</v>
      </c>
      <c r="Q32" s="8">
        <v>319</v>
      </c>
      <c r="R32" s="8">
        <v>0</v>
      </c>
      <c r="S32" s="8">
        <v>294</v>
      </c>
      <c r="T32" s="8">
        <v>9</v>
      </c>
      <c r="U32" s="8">
        <v>74</v>
      </c>
      <c r="V32" s="24">
        <v>9.4838709677419359</v>
      </c>
      <c r="W32" s="24">
        <v>55.787476280834916</v>
      </c>
      <c r="X32" s="24">
        <v>3.9729729729729728</v>
      </c>
      <c r="Y32" s="24">
        <v>3.1486486486486487</v>
      </c>
      <c r="Z32" s="24">
        <v>4.3529411764705879</v>
      </c>
    </row>
    <row r="33" spans="1:26" ht="15.75" x14ac:dyDescent="0.25">
      <c r="A33" s="76">
        <v>2</v>
      </c>
      <c r="B33" s="97"/>
      <c r="C33" s="5" t="s">
        <v>71</v>
      </c>
      <c r="D33" s="5" t="s">
        <v>38</v>
      </c>
      <c r="E33" s="4">
        <v>31</v>
      </c>
      <c r="F33" s="5">
        <v>6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7">
        <v>0</v>
      </c>
      <c r="W33" s="7">
        <v>0</v>
      </c>
      <c r="X33" s="7" t="e">
        <v>#DIV/0!</v>
      </c>
      <c r="Y33" s="6" t="e">
        <v>#DIV/0!</v>
      </c>
      <c r="Z33" s="7">
        <v>0</v>
      </c>
    </row>
    <row r="34" spans="1:26" ht="15.75" x14ac:dyDescent="0.25">
      <c r="A34" s="77"/>
      <c r="B34" s="97"/>
      <c r="C34" s="8" t="s">
        <v>71</v>
      </c>
      <c r="D34" s="8"/>
      <c r="E34" s="4">
        <v>31</v>
      </c>
      <c r="F34" s="8">
        <v>6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24">
        <v>0</v>
      </c>
      <c r="W34" s="24">
        <v>0</v>
      </c>
      <c r="X34" s="24" t="e">
        <v>#DIV/0!</v>
      </c>
      <c r="Y34" s="24" t="e">
        <v>#DIV/0!</v>
      </c>
      <c r="Z34" s="24">
        <v>0</v>
      </c>
    </row>
    <row r="35" spans="1:26" ht="15.75" x14ac:dyDescent="0.25">
      <c r="A35" s="76">
        <v>3</v>
      </c>
      <c r="B35" s="97"/>
      <c r="C35" s="5" t="s">
        <v>55</v>
      </c>
      <c r="D35" s="5" t="s">
        <v>32</v>
      </c>
      <c r="E35" s="4">
        <v>31</v>
      </c>
      <c r="F35" s="5">
        <v>4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7">
        <v>0</v>
      </c>
      <c r="W35" s="7">
        <v>0</v>
      </c>
      <c r="X35" s="7" t="e">
        <v>#DIV/0!</v>
      </c>
      <c r="Y35" s="6" t="e">
        <v>#DIV/0!</v>
      </c>
      <c r="Z35" s="7">
        <v>0</v>
      </c>
    </row>
    <row r="36" spans="1:26" ht="15.75" x14ac:dyDescent="0.25">
      <c r="A36" s="77"/>
      <c r="B36" s="97"/>
      <c r="C36" s="8" t="s">
        <v>55</v>
      </c>
      <c r="D36" s="8"/>
      <c r="E36" s="4">
        <v>31</v>
      </c>
      <c r="F36" s="8">
        <v>4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24">
        <v>0</v>
      </c>
      <c r="W36" s="24">
        <v>0</v>
      </c>
      <c r="X36" s="24" t="e">
        <v>#DIV/0!</v>
      </c>
      <c r="Y36" s="24" t="e">
        <v>#DIV/0!</v>
      </c>
      <c r="Z36" s="24">
        <v>0</v>
      </c>
    </row>
    <row r="37" spans="1:26" ht="15.75" x14ac:dyDescent="0.25">
      <c r="A37" s="76">
        <v>4</v>
      </c>
      <c r="B37" s="97"/>
      <c r="C37" s="5" t="s">
        <v>47</v>
      </c>
      <c r="D37" s="5" t="s">
        <v>43</v>
      </c>
      <c r="E37" s="4">
        <v>31</v>
      </c>
      <c r="F37" s="5">
        <v>2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13">
        <v>0</v>
      </c>
      <c r="W37" s="13">
        <v>0</v>
      </c>
      <c r="X37" s="13" t="e">
        <v>#DIV/0!</v>
      </c>
      <c r="Y37" s="14" t="e">
        <v>#DIV/0!</v>
      </c>
      <c r="Z37" s="13">
        <v>0</v>
      </c>
    </row>
    <row r="38" spans="1:26" ht="15.75" x14ac:dyDescent="0.25">
      <c r="A38" s="77"/>
      <c r="B38" s="97"/>
      <c r="C38" s="8" t="s">
        <v>47</v>
      </c>
      <c r="D38" s="8"/>
      <c r="E38" s="4">
        <v>31</v>
      </c>
      <c r="F38" s="8">
        <v>2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26">
        <v>0</v>
      </c>
      <c r="W38" s="26">
        <v>0</v>
      </c>
      <c r="X38" s="26" t="e">
        <v>#DIV/0!</v>
      </c>
      <c r="Y38" s="26" t="e">
        <v>#DIV/0!</v>
      </c>
      <c r="Z38" s="26">
        <v>0</v>
      </c>
    </row>
    <row r="39" spans="1:26" ht="15.75" x14ac:dyDescent="0.25">
      <c r="A39" s="76">
        <v>5</v>
      </c>
      <c r="B39" s="97"/>
      <c r="C39" s="5" t="s">
        <v>40</v>
      </c>
      <c r="D39" s="5" t="s">
        <v>32</v>
      </c>
      <c r="E39" s="4">
        <v>31</v>
      </c>
      <c r="F39" s="5">
        <v>4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7">
        <v>0</v>
      </c>
      <c r="W39" s="7">
        <v>0</v>
      </c>
      <c r="X39" s="7" t="e">
        <v>#DIV/0!</v>
      </c>
      <c r="Y39" s="6" t="e">
        <v>#DIV/0!</v>
      </c>
      <c r="Z39" s="7">
        <v>0</v>
      </c>
    </row>
    <row r="40" spans="1:26" ht="15.75" x14ac:dyDescent="0.25">
      <c r="A40" s="77"/>
      <c r="B40" s="97"/>
      <c r="C40" s="8" t="s">
        <v>40</v>
      </c>
      <c r="D40" s="8"/>
      <c r="E40" s="4">
        <v>31</v>
      </c>
      <c r="F40" s="8">
        <v>4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24">
        <v>0</v>
      </c>
      <c r="W40" s="24">
        <v>0</v>
      </c>
      <c r="X40" s="24" t="e">
        <v>#DIV/0!</v>
      </c>
      <c r="Y40" s="24" t="e">
        <v>#DIV/0!</v>
      </c>
      <c r="Z40" s="24">
        <v>0</v>
      </c>
    </row>
    <row r="41" spans="1:26" ht="15.75" x14ac:dyDescent="0.25">
      <c r="A41" s="76">
        <v>6</v>
      </c>
      <c r="B41" s="97"/>
      <c r="C41" s="5" t="s">
        <v>42</v>
      </c>
      <c r="D41" s="5" t="s">
        <v>43</v>
      </c>
      <c r="E41" s="4">
        <v>31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7">
        <v>0</v>
      </c>
      <c r="W41" s="7">
        <v>0</v>
      </c>
      <c r="X41" s="7" t="e">
        <v>#DIV/0!</v>
      </c>
      <c r="Y41" s="6" t="e">
        <v>#DIV/0!</v>
      </c>
      <c r="Z41" s="7">
        <v>0</v>
      </c>
    </row>
    <row r="42" spans="1:26" ht="15.75" x14ac:dyDescent="0.25">
      <c r="A42" s="77"/>
      <c r="B42" s="97"/>
      <c r="C42" s="8" t="s">
        <v>42</v>
      </c>
      <c r="D42" s="8"/>
      <c r="E42" s="4">
        <v>31</v>
      </c>
      <c r="F42" s="8">
        <v>1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24">
        <v>0</v>
      </c>
      <c r="W42" s="24">
        <v>0</v>
      </c>
      <c r="X42" s="24" t="e">
        <v>#DIV/0!</v>
      </c>
      <c r="Y42" s="24" t="e">
        <v>#DIV/0!</v>
      </c>
      <c r="Z42" s="24">
        <v>0</v>
      </c>
    </row>
    <row r="43" spans="1:26" ht="15.75" x14ac:dyDescent="0.25">
      <c r="A43" s="76">
        <v>7</v>
      </c>
      <c r="B43" s="97"/>
      <c r="C43" s="5" t="s">
        <v>74</v>
      </c>
      <c r="D43" s="5" t="s">
        <v>32</v>
      </c>
      <c r="E43" s="4">
        <v>31</v>
      </c>
      <c r="F43" s="5">
        <v>4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7">
        <v>0</v>
      </c>
      <c r="W43" s="7">
        <v>0</v>
      </c>
      <c r="X43" s="7" t="e">
        <v>#DIV/0!</v>
      </c>
      <c r="Y43" s="6" t="e">
        <v>#DIV/0!</v>
      </c>
      <c r="Z43" s="7">
        <v>0</v>
      </c>
    </row>
    <row r="44" spans="1:26" ht="15.75" x14ac:dyDescent="0.25">
      <c r="A44" s="77"/>
      <c r="B44" s="97"/>
      <c r="C44" s="8" t="s">
        <v>74</v>
      </c>
      <c r="D44" s="8"/>
      <c r="E44" s="4">
        <v>31</v>
      </c>
      <c r="F44" s="8">
        <v>4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24">
        <v>0</v>
      </c>
      <c r="W44" s="24">
        <v>0</v>
      </c>
      <c r="X44" s="24" t="e">
        <v>#DIV/0!</v>
      </c>
      <c r="Y44" s="24" t="e">
        <v>#DIV/0!</v>
      </c>
      <c r="Z44" s="24">
        <v>0</v>
      </c>
    </row>
    <row r="45" spans="1:26" ht="15.75" x14ac:dyDescent="0.25">
      <c r="A45" s="76">
        <v>8</v>
      </c>
      <c r="B45" s="97"/>
      <c r="C45" s="4" t="s">
        <v>44</v>
      </c>
      <c r="D45" s="4" t="s">
        <v>32</v>
      </c>
      <c r="E45" s="4">
        <v>31</v>
      </c>
      <c r="F45" s="4">
        <v>1</v>
      </c>
      <c r="G45" s="4">
        <v>0</v>
      </c>
      <c r="H45" s="4">
        <v>0</v>
      </c>
      <c r="I45" s="4">
        <v>0</v>
      </c>
      <c r="J45" s="5">
        <v>0</v>
      </c>
      <c r="K45" s="4">
        <v>0</v>
      </c>
      <c r="L45" s="4">
        <v>0</v>
      </c>
      <c r="M45" s="5">
        <v>0</v>
      </c>
      <c r="N45" s="4">
        <v>0</v>
      </c>
      <c r="O45" s="4">
        <v>0</v>
      </c>
      <c r="P45" s="5">
        <v>0</v>
      </c>
      <c r="Q45" s="4">
        <v>0</v>
      </c>
      <c r="R45" s="4">
        <v>0</v>
      </c>
      <c r="S45" s="4">
        <v>0</v>
      </c>
      <c r="T45" s="5">
        <v>0</v>
      </c>
      <c r="U45" s="5">
        <v>0</v>
      </c>
      <c r="V45" s="7">
        <v>0</v>
      </c>
      <c r="W45" s="7">
        <v>0</v>
      </c>
      <c r="X45" s="7" t="e">
        <v>#DIV/0!</v>
      </c>
      <c r="Y45" s="6" t="e">
        <v>#DIV/0!</v>
      </c>
      <c r="Z45" s="7">
        <v>0</v>
      </c>
    </row>
    <row r="46" spans="1:26" ht="15.75" x14ac:dyDescent="0.25">
      <c r="A46" s="77"/>
      <c r="B46" s="97"/>
      <c r="C46" s="8" t="s">
        <v>44</v>
      </c>
      <c r="D46" s="8"/>
      <c r="E46" s="4">
        <v>31</v>
      </c>
      <c r="F46" s="8">
        <v>1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24">
        <v>0</v>
      </c>
      <c r="W46" s="24">
        <v>0</v>
      </c>
      <c r="X46" s="24" t="e">
        <v>#DIV/0!</v>
      </c>
      <c r="Y46" s="24" t="e">
        <v>#DIV/0!</v>
      </c>
      <c r="Z46" s="24">
        <v>0</v>
      </c>
    </row>
    <row r="47" spans="1:26" ht="15.75" x14ac:dyDescent="0.25">
      <c r="A47" s="76">
        <v>9</v>
      </c>
      <c r="B47" s="97"/>
      <c r="C47" s="4" t="s">
        <v>37</v>
      </c>
      <c r="D47" s="4" t="s">
        <v>32</v>
      </c>
      <c r="E47" s="4">
        <v>31</v>
      </c>
      <c r="F47" s="4">
        <v>5</v>
      </c>
      <c r="G47" s="4">
        <v>4</v>
      </c>
      <c r="H47" s="4">
        <v>23</v>
      </c>
      <c r="I47" s="4">
        <v>6</v>
      </c>
      <c r="J47" s="5">
        <v>33</v>
      </c>
      <c r="K47" s="4">
        <v>4</v>
      </c>
      <c r="L47" s="4">
        <v>28</v>
      </c>
      <c r="M47" s="5">
        <v>1</v>
      </c>
      <c r="N47" s="4">
        <v>1</v>
      </c>
      <c r="O47" s="4">
        <v>0</v>
      </c>
      <c r="P47" s="5">
        <v>33</v>
      </c>
      <c r="Q47" s="4">
        <v>123</v>
      </c>
      <c r="R47" s="4">
        <v>0</v>
      </c>
      <c r="S47" s="4">
        <v>100</v>
      </c>
      <c r="T47" s="5">
        <v>0</v>
      </c>
      <c r="U47" s="5">
        <v>29</v>
      </c>
      <c r="V47" s="7">
        <v>3.225806451612903</v>
      </c>
      <c r="W47" s="7">
        <v>64.516129032258064</v>
      </c>
      <c r="X47" s="7">
        <v>3.4482758620689653</v>
      </c>
      <c r="Y47" s="6">
        <v>1.8965517241379313</v>
      </c>
      <c r="Z47" s="7">
        <v>5.8</v>
      </c>
    </row>
    <row r="48" spans="1:26" ht="15.75" x14ac:dyDescent="0.25">
      <c r="A48" s="77"/>
      <c r="B48" s="99"/>
      <c r="C48" s="8" t="s">
        <v>37</v>
      </c>
      <c r="D48" s="8"/>
      <c r="E48" s="4">
        <v>31</v>
      </c>
      <c r="F48" s="8">
        <v>5</v>
      </c>
      <c r="G48" s="8">
        <v>4</v>
      </c>
      <c r="H48" s="8">
        <v>23</v>
      </c>
      <c r="I48" s="8">
        <v>6</v>
      </c>
      <c r="J48" s="8">
        <v>33</v>
      </c>
      <c r="K48" s="8">
        <v>4</v>
      </c>
      <c r="L48" s="8">
        <v>28</v>
      </c>
      <c r="M48" s="8">
        <v>1</v>
      </c>
      <c r="N48" s="8">
        <v>1</v>
      </c>
      <c r="O48" s="8">
        <v>0</v>
      </c>
      <c r="P48" s="8">
        <v>33</v>
      </c>
      <c r="Q48" s="8">
        <v>123</v>
      </c>
      <c r="R48" s="8">
        <v>0</v>
      </c>
      <c r="S48" s="8">
        <v>100</v>
      </c>
      <c r="T48" s="8">
        <v>0</v>
      </c>
      <c r="U48" s="8">
        <v>29</v>
      </c>
      <c r="V48" s="24">
        <v>3.225806451612903</v>
      </c>
      <c r="W48" s="24">
        <v>64.516129032258064</v>
      </c>
      <c r="X48" s="24">
        <v>3.4482758620689653</v>
      </c>
      <c r="Y48" s="24">
        <v>1.8965517241379313</v>
      </c>
      <c r="Z48" s="24">
        <v>5.8</v>
      </c>
    </row>
    <row r="49" spans="1:26" ht="15.75" x14ac:dyDescent="0.25">
      <c r="A49" s="79" t="s">
        <v>85</v>
      </c>
      <c r="B49" s="80"/>
      <c r="C49" s="80"/>
      <c r="D49" s="81"/>
      <c r="E49" s="4">
        <v>31</v>
      </c>
      <c r="F49" s="20">
        <v>44</v>
      </c>
      <c r="G49" s="20">
        <v>15</v>
      </c>
      <c r="H49" s="20">
        <v>94</v>
      </c>
      <c r="I49" s="20">
        <v>12</v>
      </c>
      <c r="J49" s="11">
        <v>121</v>
      </c>
      <c r="K49" s="20">
        <v>9</v>
      </c>
      <c r="L49" s="20">
        <v>81</v>
      </c>
      <c r="M49" s="11">
        <v>22</v>
      </c>
      <c r="N49" s="20">
        <v>11</v>
      </c>
      <c r="O49" s="20">
        <v>11</v>
      </c>
      <c r="P49" s="11">
        <v>112</v>
      </c>
      <c r="Q49" s="20">
        <v>442</v>
      </c>
      <c r="R49" s="20">
        <v>0</v>
      </c>
      <c r="S49" s="20">
        <v>394</v>
      </c>
      <c r="T49" s="11">
        <v>9</v>
      </c>
      <c r="U49" s="11">
        <v>103</v>
      </c>
      <c r="V49" s="22">
        <v>12.709677419354838</v>
      </c>
      <c r="W49" s="12">
        <v>28.885630498533722</v>
      </c>
      <c r="X49" s="12">
        <v>3.825242718446602</v>
      </c>
      <c r="Y49" s="12">
        <v>9.4174757281553401</v>
      </c>
      <c r="Z49" s="12">
        <v>2.3409090909090908</v>
      </c>
    </row>
    <row r="50" spans="1:26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ht="15" customHeight="1" x14ac:dyDescent="0.25">
      <c r="A52" s="78" t="s">
        <v>1</v>
      </c>
      <c r="B52" s="78" t="s">
        <v>2</v>
      </c>
      <c r="C52" s="72" t="s">
        <v>3</v>
      </c>
      <c r="D52" s="72" t="s">
        <v>4</v>
      </c>
      <c r="E52" s="75" t="s">
        <v>5</v>
      </c>
      <c r="F52" s="72" t="s">
        <v>6</v>
      </c>
      <c r="G52" s="72" t="s">
        <v>7</v>
      </c>
      <c r="H52" s="72" t="s">
        <v>8</v>
      </c>
      <c r="I52" s="75" t="s">
        <v>9</v>
      </c>
      <c r="J52" s="72" t="s">
        <v>10</v>
      </c>
      <c r="K52" s="72" t="s">
        <v>11</v>
      </c>
      <c r="L52" s="72" t="s">
        <v>12</v>
      </c>
      <c r="M52" s="72" t="s">
        <v>13</v>
      </c>
      <c r="N52" s="72" t="s">
        <v>14</v>
      </c>
      <c r="O52" s="72" t="s">
        <v>15</v>
      </c>
      <c r="P52" s="72" t="s">
        <v>16</v>
      </c>
      <c r="Q52" s="72" t="s">
        <v>17</v>
      </c>
      <c r="R52" s="72" t="s">
        <v>18</v>
      </c>
      <c r="S52" s="72" t="s">
        <v>19</v>
      </c>
      <c r="T52" s="72" t="s">
        <v>20</v>
      </c>
      <c r="U52" s="73" t="s">
        <v>21</v>
      </c>
      <c r="V52" s="2" t="s">
        <v>22</v>
      </c>
      <c r="W52" s="2" t="s">
        <v>23</v>
      </c>
      <c r="X52" s="2" t="s">
        <v>24</v>
      </c>
      <c r="Y52" s="2" t="s">
        <v>25</v>
      </c>
      <c r="Z52" s="2" t="s">
        <v>26</v>
      </c>
    </row>
    <row r="53" spans="1:26" ht="15" customHeight="1" x14ac:dyDescent="0.25">
      <c r="A53" s="78"/>
      <c r="B53" s="78"/>
      <c r="C53" s="72"/>
      <c r="D53" s="72"/>
      <c r="E53" s="75"/>
      <c r="F53" s="72"/>
      <c r="G53" s="72"/>
      <c r="H53" s="72"/>
      <c r="I53" s="75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3"/>
      <c r="V53" s="71" t="s">
        <v>27</v>
      </c>
      <c r="W53" s="71" t="s">
        <v>28</v>
      </c>
      <c r="X53" s="71" t="s">
        <v>29</v>
      </c>
      <c r="Y53" s="71" t="s">
        <v>30</v>
      </c>
      <c r="Z53" s="71" t="s">
        <v>31</v>
      </c>
    </row>
    <row r="54" spans="1:26" x14ac:dyDescent="0.25">
      <c r="A54" s="78"/>
      <c r="B54" s="78"/>
      <c r="C54" s="72"/>
      <c r="D54" s="72"/>
      <c r="E54" s="75"/>
      <c r="F54" s="72"/>
      <c r="G54" s="72"/>
      <c r="H54" s="72"/>
      <c r="I54" s="75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3"/>
      <c r="V54" s="74"/>
      <c r="W54" s="71"/>
      <c r="X54" s="71"/>
      <c r="Y54" s="71"/>
      <c r="Z54" s="71"/>
    </row>
    <row r="55" spans="1:26" x14ac:dyDescent="0.25">
      <c r="A55" s="78"/>
      <c r="B55" s="78"/>
      <c r="C55" s="72"/>
      <c r="D55" s="72"/>
      <c r="E55" s="75"/>
      <c r="F55" s="72"/>
      <c r="G55" s="3">
        <v>1</v>
      </c>
      <c r="H55" s="3">
        <v>2</v>
      </c>
      <c r="I55" s="3">
        <v>3</v>
      </c>
      <c r="J55" s="3">
        <v>4</v>
      </c>
      <c r="K55" s="3">
        <v>5</v>
      </c>
      <c r="L55" s="3">
        <v>6</v>
      </c>
      <c r="M55" s="3">
        <v>7</v>
      </c>
      <c r="N55" s="3">
        <v>8</v>
      </c>
      <c r="O55" s="3">
        <v>9</v>
      </c>
      <c r="P55" s="3">
        <v>10</v>
      </c>
      <c r="Q55" s="3">
        <v>11</v>
      </c>
      <c r="R55" s="3">
        <v>12</v>
      </c>
      <c r="S55" s="3">
        <v>13</v>
      </c>
      <c r="T55" s="3">
        <v>14</v>
      </c>
      <c r="U55" s="73"/>
      <c r="V55" s="16">
        <v>15</v>
      </c>
      <c r="W55" s="16">
        <v>16</v>
      </c>
      <c r="X55" s="16">
        <v>17</v>
      </c>
      <c r="Y55" s="16">
        <v>18</v>
      </c>
      <c r="Z55" s="16">
        <v>19</v>
      </c>
    </row>
    <row r="56" spans="1:26" ht="15.75" x14ac:dyDescent="0.25">
      <c r="A56" s="19">
        <v>1</v>
      </c>
      <c r="B56" s="19" t="s">
        <v>59</v>
      </c>
      <c r="C56" s="4" t="s">
        <v>57</v>
      </c>
      <c r="D56" s="4" t="s">
        <v>36</v>
      </c>
      <c r="E56" s="4">
        <v>31</v>
      </c>
      <c r="F56" s="4">
        <v>30</v>
      </c>
      <c r="G56" s="4">
        <v>22</v>
      </c>
      <c r="H56" s="4">
        <v>204</v>
      </c>
      <c r="I56" s="4">
        <v>17</v>
      </c>
      <c r="J56" s="5">
        <v>243</v>
      </c>
      <c r="K56" s="4">
        <v>98</v>
      </c>
      <c r="L56" s="4">
        <v>113</v>
      </c>
      <c r="M56" s="5">
        <v>8</v>
      </c>
      <c r="N56" s="4">
        <v>6</v>
      </c>
      <c r="O56" s="4">
        <v>2</v>
      </c>
      <c r="P56" s="5">
        <v>219</v>
      </c>
      <c r="Q56" s="4">
        <v>651</v>
      </c>
      <c r="R56" s="4">
        <v>0</v>
      </c>
      <c r="S56" s="4">
        <v>725</v>
      </c>
      <c r="T56" s="5">
        <v>24</v>
      </c>
      <c r="U56" s="5">
        <v>121</v>
      </c>
      <c r="V56" s="7">
        <v>23.387096774193548</v>
      </c>
      <c r="W56" s="7">
        <v>77.956989247311824</v>
      </c>
      <c r="X56" s="7">
        <v>5.9917355371900829</v>
      </c>
      <c r="Y56" s="6">
        <v>1.6942148760330578</v>
      </c>
      <c r="Z56" s="7">
        <v>4.0333333333333332</v>
      </c>
    </row>
    <row r="57" spans="1:26" ht="15.75" x14ac:dyDescent="0.25">
      <c r="A57" s="103" t="s">
        <v>57</v>
      </c>
      <c r="B57" s="104"/>
      <c r="C57" s="104"/>
      <c r="D57" s="105"/>
      <c r="E57" s="4">
        <v>31</v>
      </c>
      <c r="F57" s="20">
        <v>30</v>
      </c>
      <c r="G57" s="20">
        <v>22</v>
      </c>
      <c r="H57" s="20">
        <v>204</v>
      </c>
      <c r="I57" s="20">
        <v>17</v>
      </c>
      <c r="J57" s="11">
        <v>243</v>
      </c>
      <c r="K57" s="20">
        <v>98</v>
      </c>
      <c r="L57" s="20">
        <v>113</v>
      </c>
      <c r="M57" s="11">
        <v>8</v>
      </c>
      <c r="N57" s="20">
        <v>6</v>
      </c>
      <c r="O57" s="20">
        <v>2</v>
      </c>
      <c r="P57" s="11">
        <v>219</v>
      </c>
      <c r="Q57" s="20">
        <v>651</v>
      </c>
      <c r="R57" s="20">
        <v>0</v>
      </c>
      <c r="S57" s="20">
        <v>725</v>
      </c>
      <c r="T57" s="11">
        <v>24</v>
      </c>
      <c r="U57" s="11">
        <v>121</v>
      </c>
      <c r="V57" s="20">
        <v>23.387096774193548</v>
      </c>
      <c r="W57" s="12">
        <v>77.956989247311824</v>
      </c>
      <c r="X57" s="12">
        <v>5.9917355371900829</v>
      </c>
      <c r="Y57" s="12">
        <v>1.6942148760330578</v>
      </c>
      <c r="Z57" s="12">
        <v>4.0333333333333332</v>
      </c>
    </row>
    <row r="58" spans="1:26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ht="15" customHeight="1" x14ac:dyDescent="0.25">
      <c r="A60" s="78" t="s">
        <v>1</v>
      </c>
      <c r="B60" s="78" t="s">
        <v>2</v>
      </c>
      <c r="C60" s="72" t="s">
        <v>3</v>
      </c>
      <c r="D60" s="72" t="s">
        <v>4</v>
      </c>
      <c r="E60" s="75" t="s">
        <v>5</v>
      </c>
      <c r="F60" s="72" t="s">
        <v>6</v>
      </c>
      <c r="G60" s="72" t="s">
        <v>7</v>
      </c>
      <c r="H60" s="72" t="s">
        <v>8</v>
      </c>
      <c r="I60" s="75" t="s">
        <v>9</v>
      </c>
      <c r="J60" s="72" t="s">
        <v>10</v>
      </c>
      <c r="K60" s="72" t="s">
        <v>11</v>
      </c>
      <c r="L60" s="72" t="s">
        <v>12</v>
      </c>
      <c r="M60" s="72" t="s">
        <v>13</v>
      </c>
      <c r="N60" s="72" t="s">
        <v>14</v>
      </c>
      <c r="O60" s="72" t="s">
        <v>15</v>
      </c>
      <c r="P60" s="72" t="s">
        <v>16</v>
      </c>
      <c r="Q60" s="72" t="s">
        <v>17</v>
      </c>
      <c r="R60" s="72" t="s">
        <v>18</v>
      </c>
      <c r="S60" s="72" t="s">
        <v>19</v>
      </c>
      <c r="T60" s="72" t="s">
        <v>20</v>
      </c>
      <c r="U60" s="73" t="s">
        <v>21</v>
      </c>
      <c r="V60" s="2" t="s">
        <v>22</v>
      </c>
      <c r="W60" s="2" t="s">
        <v>23</v>
      </c>
      <c r="X60" s="2" t="s">
        <v>24</v>
      </c>
      <c r="Y60" s="2" t="s">
        <v>25</v>
      </c>
      <c r="Z60" s="2" t="s">
        <v>26</v>
      </c>
    </row>
    <row r="61" spans="1:26" ht="15" customHeight="1" x14ac:dyDescent="0.25">
      <c r="A61" s="78"/>
      <c r="B61" s="78"/>
      <c r="C61" s="72"/>
      <c r="D61" s="72"/>
      <c r="E61" s="75"/>
      <c r="F61" s="72"/>
      <c r="G61" s="72"/>
      <c r="H61" s="72"/>
      <c r="I61" s="75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3"/>
      <c r="V61" s="71" t="s">
        <v>27</v>
      </c>
      <c r="W61" s="71" t="s">
        <v>28</v>
      </c>
      <c r="X61" s="71" t="s">
        <v>29</v>
      </c>
      <c r="Y61" s="71" t="s">
        <v>30</v>
      </c>
      <c r="Z61" s="71" t="s">
        <v>31</v>
      </c>
    </row>
    <row r="62" spans="1:26" x14ac:dyDescent="0.25">
      <c r="A62" s="78"/>
      <c r="B62" s="78"/>
      <c r="C62" s="72"/>
      <c r="D62" s="72"/>
      <c r="E62" s="75"/>
      <c r="F62" s="72"/>
      <c r="G62" s="72"/>
      <c r="H62" s="72"/>
      <c r="I62" s="75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1"/>
      <c r="X62" s="71"/>
      <c r="Y62" s="71"/>
      <c r="Z62" s="71"/>
    </row>
    <row r="63" spans="1:26" x14ac:dyDescent="0.25">
      <c r="A63" s="78"/>
      <c r="B63" s="78"/>
      <c r="C63" s="72"/>
      <c r="D63" s="72"/>
      <c r="E63" s="75"/>
      <c r="F63" s="72"/>
      <c r="G63" s="3">
        <v>1</v>
      </c>
      <c r="H63" s="3">
        <v>2</v>
      </c>
      <c r="I63" s="3">
        <v>3</v>
      </c>
      <c r="J63" s="3">
        <v>4</v>
      </c>
      <c r="K63" s="3">
        <v>5</v>
      </c>
      <c r="L63" s="3">
        <v>6</v>
      </c>
      <c r="M63" s="3">
        <v>7</v>
      </c>
      <c r="N63" s="3">
        <v>8</v>
      </c>
      <c r="O63" s="3">
        <v>9</v>
      </c>
      <c r="P63" s="3">
        <v>10</v>
      </c>
      <c r="Q63" s="3">
        <v>11</v>
      </c>
      <c r="R63" s="3">
        <v>12</v>
      </c>
      <c r="S63" s="3">
        <v>13</v>
      </c>
      <c r="T63" s="3">
        <v>14</v>
      </c>
      <c r="U63" s="73"/>
      <c r="V63" s="16">
        <v>15</v>
      </c>
      <c r="W63" s="16">
        <v>16</v>
      </c>
      <c r="X63" s="16">
        <v>17</v>
      </c>
      <c r="Y63" s="16">
        <v>18</v>
      </c>
      <c r="Z63" s="16">
        <v>19</v>
      </c>
    </row>
    <row r="64" spans="1:26" ht="15.75" x14ac:dyDescent="0.25">
      <c r="A64" s="76">
        <v>1</v>
      </c>
      <c r="B64" s="96" t="s">
        <v>75</v>
      </c>
      <c r="C64" s="4" t="s">
        <v>54</v>
      </c>
      <c r="D64" s="4" t="s">
        <v>48</v>
      </c>
      <c r="E64" s="4">
        <v>31</v>
      </c>
      <c r="F64" s="4">
        <v>8</v>
      </c>
      <c r="G64" s="4">
        <v>4</v>
      </c>
      <c r="H64" s="4">
        <v>35</v>
      </c>
      <c r="I64" s="4">
        <v>3</v>
      </c>
      <c r="J64" s="5">
        <v>42</v>
      </c>
      <c r="K64" s="4">
        <v>4</v>
      </c>
      <c r="L64" s="4">
        <v>32</v>
      </c>
      <c r="M64" s="5">
        <v>2</v>
      </c>
      <c r="N64" s="4">
        <v>2</v>
      </c>
      <c r="O64" s="4">
        <v>0</v>
      </c>
      <c r="P64" s="5">
        <v>38</v>
      </c>
      <c r="Q64" s="4">
        <v>138</v>
      </c>
      <c r="R64" s="4">
        <v>0</v>
      </c>
      <c r="S64" s="4">
        <v>135</v>
      </c>
      <c r="T64" s="5">
        <v>4</v>
      </c>
      <c r="U64" s="5">
        <v>34</v>
      </c>
      <c r="V64" s="7">
        <v>4.354838709677419</v>
      </c>
      <c r="W64" s="7">
        <v>54.435483870967737</v>
      </c>
      <c r="X64" s="7">
        <v>3.9705882352941178</v>
      </c>
      <c r="Y64" s="6">
        <v>3.3235294117647065</v>
      </c>
      <c r="Z64" s="7">
        <v>4.25</v>
      </c>
    </row>
    <row r="65" spans="1:26" ht="15.75" x14ac:dyDescent="0.25">
      <c r="A65" s="77"/>
      <c r="B65" s="97"/>
      <c r="C65" s="8" t="s">
        <v>54</v>
      </c>
      <c r="D65" s="8" t="s">
        <v>48</v>
      </c>
      <c r="E65" s="4">
        <v>31</v>
      </c>
      <c r="F65" s="8">
        <v>8</v>
      </c>
      <c r="G65" s="8">
        <v>4</v>
      </c>
      <c r="H65" s="8">
        <v>35</v>
      </c>
      <c r="I65" s="8">
        <v>3</v>
      </c>
      <c r="J65" s="8">
        <v>42</v>
      </c>
      <c r="K65" s="8">
        <v>4</v>
      </c>
      <c r="L65" s="8">
        <v>32</v>
      </c>
      <c r="M65" s="8">
        <v>2</v>
      </c>
      <c r="N65" s="8">
        <v>2</v>
      </c>
      <c r="O65" s="8">
        <v>0</v>
      </c>
      <c r="P65" s="8">
        <v>38</v>
      </c>
      <c r="Q65" s="8">
        <v>138</v>
      </c>
      <c r="R65" s="8">
        <v>0</v>
      </c>
      <c r="S65" s="8">
        <v>135</v>
      </c>
      <c r="T65" s="8">
        <v>4</v>
      </c>
      <c r="U65" s="8">
        <v>34</v>
      </c>
      <c r="V65" s="24">
        <v>4.354838709677419</v>
      </c>
      <c r="W65" s="24">
        <v>54.435483870967737</v>
      </c>
      <c r="X65" s="24">
        <v>3.9705882352941178</v>
      </c>
      <c r="Y65" s="24">
        <v>3.3235294117647065</v>
      </c>
      <c r="Z65" s="24">
        <v>4.25</v>
      </c>
    </row>
    <row r="66" spans="1:26" ht="15.75" x14ac:dyDescent="0.25">
      <c r="A66" s="76">
        <v>2</v>
      </c>
      <c r="B66" s="97"/>
      <c r="C66" s="4" t="s">
        <v>47</v>
      </c>
      <c r="D66" s="4" t="s">
        <v>48</v>
      </c>
      <c r="E66" s="4">
        <v>31</v>
      </c>
      <c r="F66" s="4">
        <v>2</v>
      </c>
      <c r="G66" s="4">
        <v>0</v>
      </c>
      <c r="H66" s="4">
        <v>2</v>
      </c>
      <c r="I66" s="4">
        <v>2</v>
      </c>
      <c r="J66" s="5">
        <v>4</v>
      </c>
      <c r="K66" s="4">
        <v>2</v>
      </c>
      <c r="L66" s="4">
        <v>2</v>
      </c>
      <c r="M66" s="5">
        <v>0</v>
      </c>
      <c r="N66" s="4">
        <v>0</v>
      </c>
      <c r="O66" s="4">
        <v>0</v>
      </c>
      <c r="P66" s="5">
        <v>4</v>
      </c>
      <c r="Q66" s="4">
        <v>6</v>
      </c>
      <c r="R66" s="4">
        <v>0</v>
      </c>
      <c r="S66" s="4">
        <v>5</v>
      </c>
      <c r="T66" s="5">
        <v>0</v>
      </c>
      <c r="U66" s="5">
        <v>2</v>
      </c>
      <c r="V66" s="7">
        <v>0.16129032258064516</v>
      </c>
      <c r="W66" s="7">
        <v>8.064516129032258</v>
      </c>
      <c r="X66" s="7">
        <v>2.5</v>
      </c>
      <c r="Y66" s="6">
        <v>28.5</v>
      </c>
      <c r="Z66" s="7">
        <v>1</v>
      </c>
    </row>
    <row r="67" spans="1:26" ht="15.75" x14ac:dyDescent="0.25">
      <c r="A67" s="77"/>
      <c r="B67" s="97"/>
      <c r="C67" s="8" t="s">
        <v>47</v>
      </c>
      <c r="D67" s="8" t="s">
        <v>48</v>
      </c>
      <c r="E67" s="4">
        <v>31</v>
      </c>
      <c r="F67" s="8">
        <v>2</v>
      </c>
      <c r="G67" s="8">
        <v>0</v>
      </c>
      <c r="H67" s="8">
        <v>2</v>
      </c>
      <c r="I67" s="8">
        <v>2</v>
      </c>
      <c r="J67" s="8">
        <v>4</v>
      </c>
      <c r="K67" s="8">
        <v>2</v>
      </c>
      <c r="L67" s="8">
        <v>2</v>
      </c>
      <c r="M67" s="8">
        <v>0</v>
      </c>
      <c r="N67" s="8">
        <v>0</v>
      </c>
      <c r="O67" s="8">
        <v>0</v>
      </c>
      <c r="P67" s="8">
        <v>4</v>
      </c>
      <c r="Q67" s="8">
        <v>6</v>
      </c>
      <c r="R67" s="8">
        <v>0</v>
      </c>
      <c r="S67" s="8">
        <v>5</v>
      </c>
      <c r="T67" s="8">
        <v>0</v>
      </c>
      <c r="U67" s="8">
        <v>2</v>
      </c>
      <c r="V67" s="24">
        <v>0.16129032258064516</v>
      </c>
      <c r="W67" s="24">
        <v>8.064516129032258</v>
      </c>
      <c r="X67" s="24">
        <v>2.5</v>
      </c>
      <c r="Y67" s="24">
        <v>28.5</v>
      </c>
      <c r="Z67" s="24">
        <v>1</v>
      </c>
    </row>
    <row r="68" spans="1:26" ht="15.75" x14ac:dyDescent="0.25">
      <c r="A68" s="76">
        <v>3</v>
      </c>
      <c r="B68" s="97"/>
      <c r="C68" s="4" t="s">
        <v>42</v>
      </c>
      <c r="D68" s="4" t="s">
        <v>48</v>
      </c>
      <c r="E68" s="4">
        <v>31</v>
      </c>
      <c r="F68" s="4">
        <v>8</v>
      </c>
      <c r="G68" s="4">
        <v>6</v>
      </c>
      <c r="H68" s="4">
        <v>37</v>
      </c>
      <c r="I68" s="4">
        <v>13</v>
      </c>
      <c r="J68" s="5">
        <v>56</v>
      </c>
      <c r="K68" s="4">
        <v>10</v>
      </c>
      <c r="L68" s="4">
        <v>40</v>
      </c>
      <c r="M68" s="5">
        <v>3</v>
      </c>
      <c r="N68" s="4">
        <v>1</v>
      </c>
      <c r="O68" s="4">
        <v>2</v>
      </c>
      <c r="P68" s="5">
        <v>53</v>
      </c>
      <c r="Q68" s="4">
        <v>182</v>
      </c>
      <c r="R68" s="4">
        <v>0</v>
      </c>
      <c r="S68" s="4">
        <v>162</v>
      </c>
      <c r="T68" s="5">
        <v>3</v>
      </c>
      <c r="U68" s="5">
        <v>43</v>
      </c>
      <c r="V68" s="7">
        <v>5.225806451612903</v>
      </c>
      <c r="W68" s="7">
        <v>65.322580645161281</v>
      </c>
      <c r="X68" s="7">
        <v>3.7674418604651163</v>
      </c>
      <c r="Y68" s="6">
        <v>2</v>
      </c>
      <c r="Z68" s="7">
        <v>5.375</v>
      </c>
    </row>
    <row r="69" spans="1:26" ht="15.75" x14ac:dyDescent="0.25">
      <c r="A69" s="77"/>
      <c r="B69" s="97"/>
      <c r="C69" s="8" t="s">
        <v>42</v>
      </c>
      <c r="D69" s="8" t="s">
        <v>48</v>
      </c>
      <c r="E69" s="4">
        <v>31</v>
      </c>
      <c r="F69" s="8">
        <v>8</v>
      </c>
      <c r="G69" s="8">
        <v>6</v>
      </c>
      <c r="H69" s="8">
        <v>37</v>
      </c>
      <c r="I69" s="8">
        <v>13</v>
      </c>
      <c r="J69" s="8">
        <v>56</v>
      </c>
      <c r="K69" s="8">
        <v>10</v>
      </c>
      <c r="L69" s="8">
        <v>40</v>
      </c>
      <c r="M69" s="8">
        <v>3</v>
      </c>
      <c r="N69" s="8">
        <v>1</v>
      </c>
      <c r="O69" s="8">
        <v>2</v>
      </c>
      <c r="P69" s="8">
        <v>53</v>
      </c>
      <c r="Q69" s="8">
        <v>182</v>
      </c>
      <c r="R69" s="8">
        <v>0</v>
      </c>
      <c r="S69" s="8">
        <v>162</v>
      </c>
      <c r="T69" s="8">
        <v>3</v>
      </c>
      <c r="U69" s="8">
        <v>43</v>
      </c>
      <c r="V69" s="24">
        <v>5.225806451612903</v>
      </c>
      <c r="W69" s="24">
        <v>65.322580645161281</v>
      </c>
      <c r="X69" s="24">
        <v>3.7674418604651163</v>
      </c>
      <c r="Y69" s="24">
        <v>2</v>
      </c>
      <c r="Z69" s="24">
        <v>5.375</v>
      </c>
    </row>
    <row r="70" spans="1:26" ht="15.75" x14ac:dyDescent="0.25">
      <c r="A70" s="103" t="s">
        <v>75</v>
      </c>
      <c r="B70" s="104"/>
      <c r="C70" s="105"/>
      <c r="D70" s="25" t="s">
        <v>48</v>
      </c>
      <c r="E70" s="4">
        <v>31</v>
      </c>
      <c r="F70" s="20">
        <v>18</v>
      </c>
      <c r="G70" s="20">
        <v>10</v>
      </c>
      <c r="H70" s="20">
        <v>74</v>
      </c>
      <c r="I70" s="20">
        <v>18</v>
      </c>
      <c r="J70" s="11">
        <v>102</v>
      </c>
      <c r="K70" s="20">
        <v>16</v>
      </c>
      <c r="L70" s="20">
        <v>74</v>
      </c>
      <c r="M70" s="11">
        <v>5</v>
      </c>
      <c r="N70" s="20">
        <v>3</v>
      </c>
      <c r="O70" s="20">
        <v>2</v>
      </c>
      <c r="P70" s="11">
        <v>95</v>
      </c>
      <c r="Q70" s="20">
        <v>326</v>
      </c>
      <c r="R70" s="20">
        <v>0</v>
      </c>
      <c r="S70" s="20">
        <v>302</v>
      </c>
      <c r="T70" s="11">
        <v>7</v>
      </c>
      <c r="U70" s="11">
        <v>79</v>
      </c>
      <c r="V70" s="20">
        <v>9.741935483870968</v>
      </c>
      <c r="W70" s="12">
        <v>54.121863799283155</v>
      </c>
      <c r="X70" s="12">
        <v>3.8227848101265822</v>
      </c>
      <c r="Y70" s="12">
        <v>3.240506329113924</v>
      </c>
      <c r="Z70" s="12">
        <v>4.3888888888888893</v>
      </c>
    </row>
    <row r="71" spans="1:26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1:26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26" ht="15" customHeight="1" x14ac:dyDescent="0.25">
      <c r="A73" s="78" t="s">
        <v>1</v>
      </c>
      <c r="B73" s="78" t="s">
        <v>2</v>
      </c>
      <c r="C73" s="72" t="s">
        <v>3</v>
      </c>
      <c r="D73" s="72" t="s">
        <v>4</v>
      </c>
      <c r="E73" s="75" t="s">
        <v>5</v>
      </c>
      <c r="F73" s="72" t="s">
        <v>6</v>
      </c>
      <c r="G73" s="72" t="s">
        <v>7</v>
      </c>
      <c r="H73" s="72" t="s">
        <v>8</v>
      </c>
      <c r="I73" s="75" t="s">
        <v>9</v>
      </c>
      <c r="J73" s="72" t="s">
        <v>10</v>
      </c>
      <c r="K73" s="72" t="s">
        <v>11</v>
      </c>
      <c r="L73" s="72" t="s">
        <v>12</v>
      </c>
      <c r="M73" s="72" t="s">
        <v>13</v>
      </c>
      <c r="N73" s="72" t="s">
        <v>14</v>
      </c>
      <c r="O73" s="72" t="s">
        <v>15</v>
      </c>
      <c r="P73" s="72" t="s">
        <v>16</v>
      </c>
      <c r="Q73" s="72" t="s">
        <v>17</v>
      </c>
      <c r="R73" s="72" t="s">
        <v>18</v>
      </c>
      <c r="S73" s="72" t="s">
        <v>19</v>
      </c>
      <c r="T73" s="72" t="s">
        <v>20</v>
      </c>
      <c r="U73" s="73" t="s">
        <v>21</v>
      </c>
      <c r="V73" s="2" t="s">
        <v>22</v>
      </c>
      <c r="W73" s="2" t="s">
        <v>23</v>
      </c>
      <c r="X73" s="2" t="s">
        <v>24</v>
      </c>
      <c r="Y73" s="2" t="s">
        <v>25</v>
      </c>
      <c r="Z73" s="2" t="s">
        <v>26</v>
      </c>
    </row>
    <row r="74" spans="1:26" ht="15" customHeight="1" x14ac:dyDescent="0.25">
      <c r="A74" s="78"/>
      <c r="B74" s="78"/>
      <c r="C74" s="72"/>
      <c r="D74" s="72"/>
      <c r="E74" s="75"/>
      <c r="F74" s="72"/>
      <c r="G74" s="72"/>
      <c r="H74" s="72"/>
      <c r="I74" s="75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3"/>
      <c r="V74" s="71" t="s">
        <v>27</v>
      </c>
      <c r="W74" s="71" t="s">
        <v>28</v>
      </c>
      <c r="X74" s="71" t="s">
        <v>29</v>
      </c>
      <c r="Y74" s="71" t="s">
        <v>30</v>
      </c>
      <c r="Z74" s="71" t="s">
        <v>31</v>
      </c>
    </row>
    <row r="75" spans="1:26" x14ac:dyDescent="0.25">
      <c r="A75" s="78"/>
      <c r="B75" s="78"/>
      <c r="C75" s="72"/>
      <c r="D75" s="72"/>
      <c r="E75" s="75"/>
      <c r="F75" s="72"/>
      <c r="G75" s="72"/>
      <c r="H75" s="72"/>
      <c r="I75" s="75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3"/>
      <c r="V75" s="74"/>
      <c r="W75" s="71"/>
      <c r="X75" s="71"/>
      <c r="Y75" s="71"/>
      <c r="Z75" s="71"/>
    </row>
    <row r="76" spans="1:26" x14ac:dyDescent="0.25">
      <c r="A76" s="78"/>
      <c r="B76" s="78"/>
      <c r="C76" s="72"/>
      <c r="D76" s="72"/>
      <c r="E76" s="75"/>
      <c r="F76" s="72"/>
      <c r="G76" s="3">
        <v>1</v>
      </c>
      <c r="H76" s="3">
        <v>2</v>
      </c>
      <c r="I76" s="3">
        <v>3</v>
      </c>
      <c r="J76" s="3">
        <v>4</v>
      </c>
      <c r="K76" s="3">
        <v>5</v>
      </c>
      <c r="L76" s="3">
        <v>6</v>
      </c>
      <c r="M76" s="3">
        <v>7</v>
      </c>
      <c r="N76" s="3">
        <v>8</v>
      </c>
      <c r="O76" s="3">
        <v>9</v>
      </c>
      <c r="P76" s="3">
        <v>10</v>
      </c>
      <c r="Q76" s="3">
        <v>11</v>
      </c>
      <c r="R76" s="3">
        <v>12</v>
      </c>
      <c r="S76" s="3">
        <v>13</v>
      </c>
      <c r="T76" s="3">
        <v>14</v>
      </c>
      <c r="U76" s="73"/>
      <c r="V76" s="16">
        <v>15</v>
      </c>
      <c r="W76" s="16">
        <v>16</v>
      </c>
      <c r="X76" s="16">
        <v>17</v>
      </c>
      <c r="Y76" s="16">
        <v>18</v>
      </c>
      <c r="Z76" s="16">
        <v>19</v>
      </c>
    </row>
    <row r="77" spans="1:26" ht="15.75" x14ac:dyDescent="0.25">
      <c r="A77" s="76">
        <v>1</v>
      </c>
      <c r="B77" s="96" t="s">
        <v>76</v>
      </c>
      <c r="C77" s="4" t="s">
        <v>44</v>
      </c>
      <c r="D77" s="4" t="s">
        <v>43</v>
      </c>
      <c r="E77" s="4">
        <v>31</v>
      </c>
      <c r="F77" s="4">
        <v>2</v>
      </c>
      <c r="G77" s="4">
        <v>2</v>
      </c>
      <c r="H77" s="4">
        <v>15</v>
      </c>
      <c r="I77" s="4">
        <v>3</v>
      </c>
      <c r="J77" s="5">
        <v>20</v>
      </c>
      <c r="K77" s="4">
        <v>1</v>
      </c>
      <c r="L77" s="4">
        <v>15</v>
      </c>
      <c r="M77" s="5">
        <v>2</v>
      </c>
      <c r="N77" s="4">
        <v>1</v>
      </c>
      <c r="O77" s="4">
        <v>1</v>
      </c>
      <c r="P77" s="5">
        <v>18</v>
      </c>
      <c r="Q77" s="4">
        <v>73</v>
      </c>
      <c r="R77" s="4">
        <v>0</v>
      </c>
      <c r="S77" s="4">
        <v>67</v>
      </c>
      <c r="T77" s="5">
        <v>2</v>
      </c>
      <c r="U77" s="5">
        <v>17</v>
      </c>
      <c r="V77" s="7">
        <v>2.161290322580645</v>
      </c>
      <c r="W77" s="7">
        <v>108.06451612903226</v>
      </c>
      <c r="X77" s="7">
        <v>3.9411764705882355</v>
      </c>
      <c r="Y77" s="6">
        <v>-0.29411764705882326</v>
      </c>
      <c r="Z77" s="7">
        <v>8.5</v>
      </c>
    </row>
    <row r="78" spans="1:26" ht="15.75" x14ac:dyDescent="0.25">
      <c r="A78" s="77"/>
      <c r="B78" s="97"/>
      <c r="C78" s="8" t="s">
        <v>44</v>
      </c>
      <c r="D78" s="8" t="s">
        <v>43</v>
      </c>
      <c r="E78" s="4">
        <v>31</v>
      </c>
      <c r="F78" s="8">
        <v>2</v>
      </c>
      <c r="G78" s="8">
        <v>2</v>
      </c>
      <c r="H78" s="8">
        <v>15</v>
      </c>
      <c r="I78" s="8">
        <v>3</v>
      </c>
      <c r="J78" s="8">
        <v>20</v>
      </c>
      <c r="K78" s="8">
        <v>1</v>
      </c>
      <c r="L78" s="8">
        <v>15</v>
      </c>
      <c r="M78" s="8">
        <v>2</v>
      </c>
      <c r="N78" s="8">
        <v>1</v>
      </c>
      <c r="O78" s="8">
        <v>1</v>
      </c>
      <c r="P78" s="8">
        <v>18</v>
      </c>
      <c r="Q78" s="8">
        <v>73</v>
      </c>
      <c r="R78" s="8">
        <v>0</v>
      </c>
      <c r="S78" s="8">
        <v>67</v>
      </c>
      <c r="T78" s="8">
        <v>2</v>
      </c>
      <c r="U78" s="8">
        <v>17</v>
      </c>
      <c r="V78" s="24">
        <v>2.161290322580645</v>
      </c>
      <c r="W78" s="24">
        <v>108.06451612903226</v>
      </c>
      <c r="X78" s="24">
        <v>3.9411764705882355</v>
      </c>
      <c r="Y78" s="24">
        <v>-0.29411764705882326</v>
      </c>
      <c r="Z78" s="24">
        <v>8.5</v>
      </c>
    </row>
    <row r="79" spans="1:26" ht="15.75" x14ac:dyDescent="0.25">
      <c r="A79" s="76">
        <v>2</v>
      </c>
      <c r="B79" s="97"/>
      <c r="C79" s="4" t="s">
        <v>47</v>
      </c>
      <c r="D79" s="4" t="s">
        <v>43</v>
      </c>
      <c r="E79" s="4">
        <v>31</v>
      </c>
      <c r="F79" s="4">
        <v>13</v>
      </c>
      <c r="G79" s="4">
        <v>10</v>
      </c>
      <c r="H79" s="4">
        <v>119</v>
      </c>
      <c r="I79" s="4">
        <v>17</v>
      </c>
      <c r="J79" s="5">
        <v>146</v>
      </c>
      <c r="K79" s="4">
        <v>10</v>
      </c>
      <c r="L79" s="4">
        <v>112</v>
      </c>
      <c r="M79" s="5">
        <v>12</v>
      </c>
      <c r="N79" s="4">
        <v>6</v>
      </c>
      <c r="O79" s="4">
        <v>6</v>
      </c>
      <c r="P79" s="5">
        <v>134</v>
      </c>
      <c r="Q79" s="4">
        <v>469</v>
      </c>
      <c r="R79" s="4">
        <v>1</v>
      </c>
      <c r="S79" s="4">
        <v>399</v>
      </c>
      <c r="T79" s="5">
        <v>12</v>
      </c>
      <c r="U79" s="5">
        <v>124</v>
      </c>
      <c r="V79" s="7">
        <v>12.870967741935484</v>
      </c>
      <c r="W79" s="7">
        <v>99.007444168734494</v>
      </c>
      <c r="X79" s="7">
        <v>3.217741935483871</v>
      </c>
      <c r="Y79" s="6">
        <v>3.2258064516129004E-2</v>
      </c>
      <c r="Z79" s="7">
        <v>9.5384615384615383</v>
      </c>
    </row>
    <row r="80" spans="1:26" ht="15.75" x14ac:dyDescent="0.25">
      <c r="A80" s="77"/>
      <c r="B80" s="97"/>
      <c r="C80" s="8" t="s">
        <v>47</v>
      </c>
      <c r="D80" s="8" t="s">
        <v>43</v>
      </c>
      <c r="E80" s="4">
        <v>31</v>
      </c>
      <c r="F80" s="8">
        <v>13</v>
      </c>
      <c r="G80" s="8">
        <v>10</v>
      </c>
      <c r="H80" s="8">
        <v>119</v>
      </c>
      <c r="I80" s="8">
        <v>17</v>
      </c>
      <c r="J80" s="8">
        <v>146</v>
      </c>
      <c r="K80" s="8">
        <v>10</v>
      </c>
      <c r="L80" s="8">
        <v>112</v>
      </c>
      <c r="M80" s="8">
        <v>12</v>
      </c>
      <c r="N80" s="8">
        <v>6</v>
      </c>
      <c r="O80" s="8">
        <v>6</v>
      </c>
      <c r="P80" s="8">
        <v>134</v>
      </c>
      <c r="Q80" s="8">
        <v>469</v>
      </c>
      <c r="R80" s="8">
        <v>1</v>
      </c>
      <c r="S80" s="8">
        <v>399</v>
      </c>
      <c r="T80" s="8">
        <v>12</v>
      </c>
      <c r="U80" s="8">
        <v>124</v>
      </c>
      <c r="V80" s="24">
        <v>12.870967741935484</v>
      </c>
      <c r="W80" s="24">
        <v>99.007444168734494</v>
      </c>
      <c r="X80" s="24">
        <v>3.217741935483871</v>
      </c>
      <c r="Y80" s="24">
        <v>3.2258064516129004E-2</v>
      </c>
      <c r="Z80" s="24">
        <v>9.5384615384615383</v>
      </c>
    </row>
    <row r="81" spans="1:26" ht="15.75" x14ac:dyDescent="0.25">
      <c r="A81" s="76">
        <v>3</v>
      </c>
      <c r="B81" s="97"/>
      <c r="C81" s="4" t="s">
        <v>56</v>
      </c>
      <c r="D81" s="4" t="s">
        <v>43</v>
      </c>
      <c r="E81" s="4">
        <v>31</v>
      </c>
      <c r="F81" s="4">
        <v>3</v>
      </c>
      <c r="G81" s="4">
        <v>0</v>
      </c>
      <c r="H81" s="4">
        <v>39</v>
      </c>
      <c r="I81" s="4">
        <v>17</v>
      </c>
      <c r="J81" s="5">
        <v>56</v>
      </c>
      <c r="K81" s="4">
        <v>41</v>
      </c>
      <c r="L81" s="4">
        <v>12</v>
      </c>
      <c r="M81" s="5">
        <v>0</v>
      </c>
      <c r="N81" s="4">
        <v>0</v>
      </c>
      <c r="O81" s="4">
        <v>0</v>
      </c>
      <c r="P81" s="5">
        <v>53</v>
      </c>
      <c r="Q81" s="4">
        <v>27</v>
      </c>
      <c r="R81" s="4">
        <v>0</v>
      </c>
      <c r="S81" s="4">
        <v>57</v>
      </c>
      <c r="T81" s="5">
        <v>3</v>
      </c>
      <c r="U81" s="5">
        <v>12</v>
      </c>
      <c r="V81" s="7">
        <v>1.8387096774193548</v>
      </c>
      <c r="W81" s="7">
        <v>61.29032258064516</v>
      </c>
      <c r="X81" s="7">
        <v>4.75</v>
      </c>
      <c r="Y81" s="6">
        <v>3</v>
      </c>
      <c r="Z81" s="7">
        <v>4</v>
      </c>
    </row>
    <row r="82" spans="1:26" ht="15.75" x14ac:dyDescent="0.25">
      <c r="A82" s="98"/>
      <c r="B82" s="97"/>
      <c r="C82" s="4" t="s">
        <v>60</v>
      </c>
      <c r="D82" s="4" t="s">
        <v>43</v>
      </c>
      <c r="E82" s="4">
        <v>31</v>
      </c>
      <c r="F82" s="4">
        <v>0</v>
      </c>
      <c r="G82" s="4">
        <v>0</v>
      </c>
      <c r="H82" s="4">
        <v>0</v>
      </c>
      <c r="I82" s="4">
        <v>0</v>
      </c>
      <c r="J82" s="5">
        <v>0</v>
      </c>
      <c r="K82" s="4">
        <v>0</v>
      </c>
      <c r="L82" s="4">
        <v>0</v>
      </c>
      <c r="M82" s="5">
        <v>0</v>
      </c>
      <c r="N82" s="4">
        <v>0</v>
      </c>
      <c r="O82" s="4">
        <v>0</v>
      </c>
      <c r="P82" s="5">
        <v>0</v>
      </c>
      <c r="Q82" s="4">
        <v>0</v>
      </c>
      <c r="R82" s="4">
        <v>0</v>
      </c>
      <c r="S82" s="4">
        <v>0</v>
      </c>
      <c r="T82" s="5">
        <v>0</v>
      </c>
      <c r="U82" s="5">
        <v>0</v>
      </c>
      <c r="V82" s="7">
        <v>0</v>
      </c>
      <c r="W82" s="7" t="e">
        <v>#DIV/0!</v>
      </c>
      <c r="X82" s="7" t="e">
        <v>#DIV/0!</v>
      </c>
      <c r="Y82" s="6" t="e">
        <v>#DIV/0!</v>
      </c>
      <c r="Z82" s="7" t="e">
        <v>#DIV/0!</v>
      </c>
    </row>
    <row r="83" spans="1:26" ht="15.75" x14ac:dyDescent="0.25">
      <c r="A83" s="77"/>
      <c r="B83" s="97"/>
      <c r="C83" s="8" t="s">
        <v>77</v>
      </c>
      <c r="D83" s="8" t="s">
        <v>43</v>
      </c>
      <c r="E83" s="4">
        <v>31</v>
      </c>
      <c r="F83" s="8">
        <v>3</v>
      </c>
      <c r="G83" s="8">
        <v>0</v>
      </c>
      <c r="H83" s="8">
        <v>39</v>
      </c>
      <c r="I83" s="8">
        <v>17</v>
      </c>
      <c r="J83" s="8">
        <v>56</v>
      </c>
      <c r="K83" s="8">
        <v>41</v>
      </c>
      <c r="L83" s="8">
        <v>12</v>
      </c>
      <c r="M83" s="8">
        <v>0</v>
      </c>
      <c r="N83" s="8">
        <v>0</v>
      </c>
      <c r="O83" s="8">
        <v>0</v>
      </c>
      <c r="P83" s="8">
        <v>53</v>
      </c>
      <c r="Q83" s="8">
        <v>27</v>
      </c>
      <c r="R83" s="8">
        <v>0</v>
      </c>
      <c r="S83" s="8">
        <v>57</v>
      </c>
      <c r="T83" s="8">
        <v>3</v>
      </c>
      <c r="U83" s="8">
        <v>12</v>
      </c>
      <c r="V83" s="24">
        <v>1.8387096774193548</v>
      </c>
      <c r="W83" s="24">
        <v>61.29032258064516</v>
      </c>
      <c r="X83" s="24">
        <v>4.75</v>
      </c>
      <c r="Y83" s="24">
        <v>3</v>
      </c>
      <c r="Z83" s="24">
        <v>4</v>
      </c>
    </row>
    <row r="84" spans="1:26" ht="15.75" x14ac:dyDescent="0.25">
      <c r="A84" s="76">
        <v>4</v>
      </c>
      <c r="B84" s="97"/>
      <c r="C84" s="5" t="s">
        <v>42</v>
      </c>
      <c r="D84" s="5" t="s">
        <v>43</v>
      </c>
      <c r="E84" s="4">
        <v>31</v>
      </c>
      <c r="F84" s="5">
        <v>3</v>
      </c>
      <c r="G84" s="5">
        <v>4</v>
      </c>
      <c r="H84" s="5">
        <v>22</v>
      </c>
      <c r="I84" s="5">
        <v>17</v>
      </c>
      <c r="J84" s="5">
        <v>43</v>
      </c>
      <c r="K84" s="5">
        <v>10</v>
      </c>
      <c r="L84" s="5">
        <v>31</v>
      </c>
      <c r="M84" s="5">
        <v>0</v>
      </c>
      <c r="N84" s="5">
        <v>0</v>
      </c>
      <c r="O84" s="5">
        <v>0</v>
      </c>
      <c r="P84" s="5">
        <v>41</v>
      </c>
      <c r="Q84" s="5">
        <v>133</v>
      </c>
      <c r="R84" s="5">
        <v>0</v>
      </c>
      <c r="S84" s="5">
        <v>105</v>
      </c>
      <c r="T84" s="5">
        <v>2</v>
      </c>
      <c r="U84" s="5">
        <v>31</v>
      </c>
      <c r="V84" s="7">
        <v>3.3870967741935485</v>
      </c>
      <c r="W84" s="7">
        <v>112.90322580645163</v>
      </c>
      <c r="X84" s="7">
        <v>3.3870967741935485</v>
      </c>
      <c r="Y84" s="6">
        <v>-0.38709677419354849</v>
      </c>
      <c r="Z84" s="7">
        <v>10.333333333333334</v>
      </c>
    </row>
    <row r="85" spans="1:26" ht="15.75" x14ac:dyDescent="0.25">
      <c r="A85" s="77"/>
      <c r="B85" s="97"/>
      <c r="C85" s="8" t="s">
        <v>42</v>
      </c>
      <c r="D85" s="8" t="s">
        <v>43</v>
      </c>
      <c r="E85" s="4">
        <v>31</v>
      </c>
      <c r="F85" s="8">
        <v>3</v>
      </c>
      <c r="G85" s="8">
        <v>4</v>
      </c>
      <c r="H85" s="8">
        <v>22</v>
      </c>
      <c r="I85" s="8">
        <v>17</v>
      </c>
      <c r="J85" s="8">
        <v>43</v>
      </c>
      <c r="K85" s="8">
        <v>10</v>
      </c>
      <c r="L85" s="8">
        <v>31</v>
      </c>
      <c r="M85" s="8">
        <v>0</v>
      </c>
      <c r="N85" s="8">
        <v>0</v>
      </c>
      <c r="O85" s="8">
        <v>0</v>
      </c>
      <c r="P85" s="8">
        <v>41</v>
      </c>
      <c r="Q85" s="8">
        <v>133</v>
      </c>
      <c r="R85" s="8">
        <v>0</v>
      </c>
      <c r="S85" s="8">
        <v>105</v>
      </c>
      <c r="T85" s="8">
        <v>2</v>
      </c>
      <c r="U85" s="8">
        <v>31</v>
      </c>
      <c r="V85" s="24">
        <v>3.3870967741935485</v>
      </c>
      <c r="W85" s="24">
        <v>112.90322580645163</v>
      </c>
      <c r="X85" s="24">
        <v>3.3870967741935485</v>
      </c>
      <c r="Y85" s="24">
        <v>-0.38709677419354849</v>
      </c>
      <c r="Z85" s="24">
        <v>10.333333333333334</v>
      </c>
    </row>
    <row r="86" spans="1:26" ht="15.75" x14ac:dyDescent="0.25">
      <c r="A86" s="76">
        <v>5</v>
      </c>
      <c r="B86" s="97"/>
      <c r="C86" s="5" t="s">
        <v>46</v>
      </c>
      <c r="D86" s="5" t="s">
        <v>43</v>
      </c>
      <c r="E86" s="4">
        <v>31</v>
      </c>
      <c r="F86" s="5">
        <v>14</v>
      </c>
      <c r="G86" s="5">
        <v>9</v>
      </c>
      <c r="H86" s="5">
        <v>97</v>
      </c>
      <c r="I86" s="5">
        <v>9</v>
      </c>
      <c r="J86" s="5">
        <v>115</v>
      </c>
      <c r="K86" s="5">
        <v>12</v>
      </c>
      <c r="L86" s="5">
        <v>89</v>
      </c>
      <c r="M86" s="5">
        <v>8</v>
      </c>
      <c r="N86" s="5">
        <v>3</v>
      </c>
      <c r="O86" s="5">
        <v>5</v>
      </c>
      <c r="P86" s="5">
        <v>109</v>
      </c>
      <c r="Q86" s="5">
        <v>332</v>
      </c>
      <c r="R86" s="5">
        <v>0</v>
      </c>
      <c r="S86" s="5">
        <v>301</v>
      </c>
      <c r="T86" s="5">
        <v>6</v>
      </c>
      <c r="U86" s="5">
        <v>97</v>
      </c>
      <c r="V86" s="7">
        <v>9.7096774193548381</v>
      </c>
      <c r="W86" s="7">
        <v>69.354838709677409</v>
      </c>
      <c r="X86" s="7">
        <v>3.1030927835051547</v>
      </c>
      <c r="Y86" s="6">
        <v>1.3711340206185569</v>
      </c>
      <c r="Z86" s="7">
        <v>6.9285714285714288</v>
      </c>
    </row>
    <row r="87" spans="1:26" ht="15.75" x14ac:dyDescent="0.25">
      <c r="A87" s="77"/>
      <c r="B87" s="97"/>
      <c r="C87" s="8" t="s">
        <v>46</v>
      </c>
      <c r="D87" s="8" t="s">
        <v>43</v>
      </c>
      <c r="E87" s="4">
        <v>31</v>
      </c>
      <c r="F87" s="8">
        <v>14</v>
      </c>
      <c r="G87" s="8">
        <v>9</v>
      </c>
      <c r="H87" s="8">
        <v>97</v>
      </c>
      <c r="I87" s="8">
        <v>9</v>
      </c>
      <c r="J87" s="8">
        <v>115</v>
      </c>
      <c r="K87" s="8">
        <v>12</v>
      </c>
      <c r="L87" s="8">
        <v>89</v>
      </c>
      <c r="M87" s="8">
        <v>8</v>
      </c>
      <c r="N87" s="8">
        <v>3</v>
      </c>
      <c r="O87" s="8">
        <v>5</v>
      </c>
      <c r="P87" s="8">
        <v>109</v>
      </c>
      <c r="Q87" s="8">
        <v>332</v>
      </c>
      <c r="R87" s="8">
        <v>0</v>
      </c>
      <c r="S87" s="8">
        <v>301</v>
      </c>
      <c r="T87" s="8">
        <v>6</v>
      </c>
      <c r="U87" s="8">
        <v>97</v>
      </c>
      <c r="V87" s="24">
        <v>9.7096774193548381</v>
      </c>
      <c r="W87" s="24">
        <v>69.354838709677409</v>
      </c>
      <c r="X87" s="24">
        <v>3.1030927835051547</v>
      </c>
      <c r="Y87" s="24">
        <v>1.3711340206185569</v>
      </c>
      <c r="Z87" s="24">
        <v>6.9285714285714288</v>
      </c>
    </row>
    <row r="88" spans="1:26" ht="15.75" x14ac:dyDescent="0.25">
      <c r="A88" s="79" t="s">
        <v>86</v>
      </c>
      <c r="B88" s="80"/>
      <c r="C88" s="80"/>
      <c r="D88" s="81"/>
      <c r="E88" s="4">
        <v>31</v>
      </c>
      <c r="F88" s="20">
        <v>35</v>
      </c>
      <c r="G88" s="20">
        <v>25</v>
      </c>
      <c r="H88" s="20">
        <v>292</v>
      </c>
      <c r="I88" s="20">
        <v>63</v>
      </c>
      <c r="J88" s="11">
        <v>380</v>
      </c>
      <c r="K88" s="20">
        <v>74</v>
      </c>
      <c r="L88" s="20">
        <v>259</v>
      </c>
      <c r="M88" s="11">
        <v>22</v>
      </c>
      <c r="N88" s="20">
        <v>10</v>
      </c>
      <c r="O88" s="20">
        <v>12</v>
      </c>
      <c r="P88" s="11">
        <v>355</v>
      </c>
      <c r="Q88" s="20">
        <v>1034</v>
      </c>
      <c r="R88" s="20">
        <v>1</v>
      </c>
      <c r="S88" s="20">
        <v>929</v>
      </c>
      <c r="T88" s="11">
        <v>25</v>
      </c>
      <c r="U88" s="11">
        <v>281</v>
      </c>
      <c r="V88" s="22">
        <v>29.967741935483872</v>
      </c>
      <c r="W88" s="12">
        <v>85.622119815668214</v>
      </c>
      <c r="X88" s="12">
        <v>3.3060498220640571</v>
      </c>
      <c r="Y88" s="12">
        <v>0.55516014234875433</v>
      </c>
      <c r="Z88" s="12">
        <v>8.0285714285714285</v>
      </c>
    </row>
    <row r="89" spans="1:26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 ht="15" customHeight="1" x14ac:dyDescent="0.25">
      <c r="A91" s="78" t="s">
        <v>1</v>
      </c>
      <c r="B91" s="78" t="s">
        <v>2</v>
      </c>
      <c r="C91" s="72" t="s">
        <v>3</v>
      </c>
      <c r="D91" s="72" t="s">
        <v>4</v>
      </c>
      <c r="E91" s="75" t="s">
        <v>5</v>
      </c>
      <c r="F91" s="72" t="s">
        <v>6</v>
      </c>
      <c r="G91" s="72" t="s">
        <v>7</v>
      </c>
      <c r="H91" s="72" t="s">
        <v>8</v>
      </c>
      <c r="I91" s="75" t="s">
        <v>9</v>
      </c>
      <c r="J91" s="72" t="s">
        <v>10</v>
      </c>
      <c r="K91" s="72" t="s">
        <v>11</v>
      </c>
      <c r="L91" s="72" t="s">
        <v>12</v>
      </c>
      <c r="M91" s="72" t="s">
        <v>13</v>
      </c>
      <c r="N91" s="72" t="s">
        <v>14</v>
      </c>
      <c r="O91" s="72" t="s">
        <v>15</v>
      </c>
      <c r="P91" s="72" t="s">
        <v>16</v>
      </c>
      <c r="Q91" s="72" t="s">
        <v>17</v>
      </c>
      <c r="R91" s="72" t="s">
        <v>18</v>
      </c>
      <c r="S91" s="72" t="s">
        <v>19</v>
      </c>
      <c r="T91" s="72" t="s">
        <v>20</v>
      </c>
      <c r="U91" s="73" t="s">
        <v>21</v>
      </c>
      <c r="V91" s="2" t="s">
        <v>22</v>
      </c>
      <c r="W91" s="2" t="s">
        <v>23</v>
      </c>
      <c r="X91" s="2" t="s">
        <v>24</v>
      </c>
      <c r="Y91" s="2" t="s">
        <v>25</v>
      </c>
      <c r="Z91" s="2" t="s">
        <v>26</v>
      </c>
    </row>
    <row r="92" spans="1:26" ht="15" customHeight="1" x14ac:dyDescent="0.25">
      <c r="A92" s="78"/>
      <c r="B92" s="78"/>
      <c r="C92" s="72"/>
      <c r="D92" s="72"/>
      <c r="E92" s="75"/>
      <c r="F92" s="72"/>
      <c r="G92" s="72"/>
      <c r="H92" s="72"/>
      <c r="I92" s="75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3"/>
      <c r="V92" s="71" t="s">
        <v>27</v>
      </c>
      <c r="W92" s="71" t="s">
        <v>28</v>
      </c>
      <c r="X92" s="71" t="s">
        <v>29</v>
      </c>
      <c r="Y92" s="71" t="s">
        <v>30</v>
      </c>
      <c r="Z92" s="71" t="s">
        <v>31</v>
      </c>
    </row>
    <row r="93" spans="1:26" x14ac:dyDescent="0.25">
      <c r="A93" s="78"/>
      <c r="B93" s="78"/>
      <c r="C93" s="72"/>
      <c r="D93" s="72"/>
      <c r="E93" s="75"/>
      <c r="F93" s="72"/>
      <c r="G93" s="72"/>
      <c r="H93" s="72"/>
      <c r="I93" s="75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3"/>
      <c r="V93" s="74"/>
      <c r="W93" s="71"/>
      <c r="X93" s="71"/>
      <c r="Y93" s="71"/>
      <c r="Z93" s="71"/>
    </row>
    <row r="94" spans="1:26" x14ac:dyDescent="0.25">
      <c r="A94" s="78"/>
      <c r="B94" s="78"/>
      <c r="C94" s="72"/>
      <c r="D94" s="72"/>
      <c r="E94" s="75"/>
      <c r="F94" s="72"/>
      <c r="G94" s="3">
        <v>1</v>
      </c>
      <c r="H94" s="3">
        <v>2</v>
      </c>
      <c r="I94" s="3">
        <v>3</v>
      </c>
      <c r="J94" s="3">
        <v>4</v>
      </c>
      <c r="K94" s="3">
        <v>5</v>
      </c>
      <c r="L94" s="3">
        <v>6</v>
      </c>
      <c r="M94" s="3">
        <v>7</v>
      </c>
      <c r="N94" s="3">
        <v>8</v>
      </c>
      <c r="O94" s="3">
        <v>9</v>
      </c>
      <c r="P94" s="3">
        <v>10</v>
      </c>
      <c r="Q94" s="3">
        <v>11</v>
      </c>
      <c r="R94" s="3">
        <v>12</v>
      </c>
      <c r="S94" s="3">
        <v>13</v>
      </c>
      <c r="T94" s="3">
        <v>14</v>
      </c>
      <c r="U94" s="73"/>
      <c r="V94" s="16">
        <v>15</v>
      </c>
      <c r="W94" s="16">
        <v>16</v>
      </c>
      <c r="X94" s="16">
        <v>17</v>
      </c>
      <c r="Y94" s="16">
        <v>18</v>
      </c>
      <c r="Z94" s="16">
        <v>19</v>
      </c>
    </row>
    <row r="95" spans="1:26" ht="15.75" x14ac:dyDescent="0.25">
      <c r="A95" s="76">
        <v>1</v>
      </c>
      <c r="B95" s="96" t="s">
        <v>78</v>
      </c>
      <c r="C95" s="4" t="s">
        <v>44</v>
      </c>
      <c r="D95" s="4" t="s">
        <v>36</v>
      </c>
      <c r="E95" s="4">
        <v>31</v>
      </c>
      <c r="F95" s="4">
        <v>4</v>
      </c>
      <c r="G95" s="4">
        <v>4</v>
      </c>
      <c r="H95" s="4">
        <v>22</v>
      </c>
      <c r="I95" s="4">
        <v>3</v>
      </c>
      <c r="J95" s="5">
        <v>29</v>
      </c>
      <c r="K95" s="4">
        <v>1</v>
      </c>
      <c r="L95" s="4">
        <v>24</v>
      </c>
      <c r="M95" s="5">
        <v>2</v>
      </c>
      <c r="N95" s="4">
        <v>0</v>
      </c>
      <c r="O95" s="4">
        <v>2</v>
      </c>
      <c r="P95" s="5">
        <v>27</v>
      </c>
      <c r="Q95" s="4">
        <v>110</v>
      </c>
      <c r="R95" s="4">
        <v>0</v>
      </c>
      <c r="S95" s="4">
        <v>101</v>
      </c>
      <c r="T95" s="5">
        <v>2</v>
      </c>
      <c r="U95" s="5">
        <v>26</v>
      </c>
      <c r="V95" s="7">
        <v>3.2580645161290325</v>
      </c>
      <c r="W95" s="7">
        <v>81.451612903225808</v>
      </c>
      <c r="X95" s="7">
        <v>3.8846153846153846</v>
      </c>
      <c r="Y95" s="6">
        <v>0.88461538461538436</v>
      </c>
      <c r="Z95" s="7">
        <v>6.5</v>
      </c>
    </row>
    <row r="96" spans="1:26" ht="15.75" x14ac:dyDescent="0.25">
      <c r="A96" s="77"/>
      <c r="B96" s="97"/>
      <c r="C96" s="8" t="s">
        <v>44</v>
      </c>
      <c r="D96" s="8" t="s">
        <v>36</v>
      </c>
      <c r="E96" s="4">
        <v>31</v>
      </c>
      <c r="F96" s="8">
        <v>4</v>
      </c>
      <c r="G96" s="8">
        <v>4</v>
      </c>
      <c r="H96" s="8">
        <v>22</v>
      </c>
      <c r="I96" s="8">
        <v>3</v>
      </c>
      <c r="J96" s="8">
        <v>29</v>
      </c>
      <c r="K96" s="8">
        <v>1</v>
      </c>
      <c r="L96" s="8">
        <v>24</v>
      </c>
      <c r="M96" s="8">
        <v>2</v>
      </c>
      <c r="N96" s="8">
        <v>0</v>
      </c>
      <c r="O96" s="8">
        <v>2</v>
      </c>
      <c r="P96" s="8">
        <v>27</v>
      </c>
      <c r="Q96" s="8">
        <v>110</v>
      </c>
      <c r="R96" s="8">
        <v>0</v>
      </c>
      <c r="S96" s="8">
        <v>101</v>
      </c>
      <c r="T96" s="8">
        <v>2</v>
      </c>
      <c r="U96" s="8">
        <v>26</v>
      </c>
      <c r="V96" s="24">
        <v>3.2580645161290325</v>
      </c>
      <c r="W96" s="24">
        <v>81.451612903225808</v>
      </c>
      <c r="X96" s="24">
        <v>3.8846153846153846</v>
      </c>
      <c r="Y96" s="24">
        <v>0.88461538461538436</v>
      </c>
      <c r="Z96" s="24">
        <v>6.5</v>
      </c>
    </row>
    <row r="97" spans="1:26" ht="15.75" x14ac:dyDescent="0.25">
      <c r="A97" s="76">
        <v>2</v>
      </c>
      <c r="B97" s="97"/>
      <c r="C97" s="4" t="s">
        <v>45</v>
      </c>
      <c r="D97" s="4" t="s">
        <v>36</v>
      </c>
      <c r="E97" s="4">
        <v>31</v>
      </c>
      <c r="F97" s="4">
        <v>8</v>
      </c>
      <c r="G97" s="4">
        <v>11</v>
      </c>
      <c r="H97" s="4">
        <v>99</v>
      </c>
      <c r="I97" s="4">
        <v>11</v>
      </c>
      <c r="J97" s="5">
        <v>121</v>
      </c>
      <c r="K97" s="4">
        <v>6</v>
      </c>
      <c r="L97" s="4">
        <v>103</v>
      </c>
      <c r="M97" s="5">
        <v>4</v>
      </c>
      <c r="N97" s="4">
        <v>3</v>
      </c>
      <c r="O97" s="4">
        <v>1</v>
      </c>
      <c r="P97" s="5">
        <v>113</v>
      </c>
      <c r="Q97" s="4">
        <v>375</v>
      </c>
      <c r="R97" s="4">
        <v>0</v>
      </c>
      <c r="S97" s="4">
        <v>315</v>
      </c>
      <c r="T97" s="5">
        <v>8</v>
      </c>
      <c r="U97" s="5">
        <v>107</v>
      </c>
      <c r="V97" s="7">
        <v>10.161290322580646</v>
      </c>
      <c r="W97" s="7">
        <v>127.01612903225808</v>
      </c>
      <c r="X97" s="7">
        <v>2.94392523364486</v>
      </c>
      <c r="Y97" s="6">
        <v>-0.62616822429906571</v>
      </c>
      <c r="Z97" s="7">
        <v>13.375</v>
      </c>
    </row>
    <row r="98" spans="1:26" ht="15.75" x14ac:dyDescent="0.25">
      <c r="A98" s="77"/>
      <c r="B98" s="97"/>
      <c r="C98" s="8" t="s">
        <v>45</v>
      </c>
      <c r="D98" s="8" t="s">
        <v>36</v>
      </c>
      <c r="E98" s="4">
        <v>31</v>
      </c>
      <c r="F98" s="8">
        <v>8</v>
      </c>
      <c r="G98" s="8">
        <v>11</v>
      </c>
      <c r="H98" s="8">
        <v>99</v>
      </c>
      <c r="I98" s="8">
        <v>11</v>
      </c>
      <c r="J98" s="8">
        <v>121</v>
      </c>
      <c r="K98" s="8">
        <v>6</v>
      </c>
      <c r="L98" s="8">
        <v>103</v>
      </c>
      <c r="M98" s="8">
        <v>4</v>
      </c>
      <c r="N98" s="8">
        <v>3</v>
      </c>
      <c r="O98" s="8">
        <v>1</v>
      </c>
      <c r="P98" s="8">
        <v>113</v>
      </c>
      <c r="Q98" s="8">
        <v>375</v>
      </c>
      <c r="R98" s="8">
        <v>0</v>
      </c>
      <c r="S98" s="8">
        <v>315</v>
      </c>
      <c r="T98" s="8">
        <v>8</v>
      </c>
      <c r="U98" s="8">
        <v>107</v>
      </c>
      <c r="V98" s="24">
        <v>10.161290322580646</v>
      </c>
      <c r="W98" s="24">
        <v>127.01612903225808</v>
      </c>
      <c r="X98" s="24">
        <v>2.94392523364486</v>
      </c>
      <c r="Y98" s="24">
        <v>-0.62616822429906571</v>
      </c>
      <c r="Z98" s="24">
        <v>13.375</v>
      </c>
    </row>
    <row r="99" spans="1:26" ht="15.75" x14ac:dyDescent="0.25">
      <c r="A99" s="76">
        <v>3</v>
      </c>
      <c r="B99" s="97"/>
      <c r="C99" s="4" t="s">
        <v>56</v>
      </c>
      <c r="D99" s="4" t="s">
        <v>36</v>
      </c>
      <c r="E99" s="4">
        <v>31</v>
      </c>
      <c r="F99" s="4">
        <v>8</v>
      </c>
      <c r="G99" s="4">
        <v>6</v>
      </c>
      <c r="H99" s="4">
        <v>93</v>
      </c>
      <c r="I99" s="4">
        <v>76</v>
      </c>
      <c r="J99" s="5">
        <v>175</v>
      </c>
      <c r="K99" s="4">
        <v>145</v>
      </c>
      <c r="L99" s="4">
        <v>26</v>
      </c>
      <c r="M99" s="5">
        <v>1</v>
      </c>
      <c r="N99" s="4">
        <v>1</v>
      </c>
      <c r="O99" s="4">
        <v>0</v>
      </c>
      <c r="P99" s="5">
        <v>172</v>
      </c>
      <c r="Q99" s="4">
        <v>77</v>
      </c>
      <c r="R99" s="4">
        <v>1</v>
      </c>
      <c r="S99" s="4">
        <v>214</v>
      </c>
      <c r="T99" s="5">
        <v>3</v>
      </c>
      <c r="U99" s="5">
        <v>27</v>
      </c>
      <c r="V99" s="7">
        <v>6.903225806451613</v>
      </c>
      <c r="W99" s="7">
        <v>86.290322580645167</v>
      </c>
      <c r="X99" s="7">
        <v>7.9259259259259256</v>
      </c>
      <c r="Y99" s="6">
        <v>1.2592592592592593</v>
      </c>
      <c r="Z99" s="7">
        <v>3.375</v>
      </c>
    </row>
    <row r="100" spans="1:26" ht="15.75" x14ac:dyDescent="0.25">
      <c r="A100" s="98"/>
      <c r="B100" s="97"/>
      <c r="C100" s="4" t="s">
        <v>60</v>
      </c>
      <c r="D100" s="4" t="s">
        <v>36</v>
      </c>
      <c r="E100" s="4">
        <v>31</v>
      </c>
      <c r="F100" s="4">
        <v>0</v>
      </c>
      <c r="G100" s="4">
        <v>0</v>
      </c>
      <c r="H100" s="4">
        <v>0</v>
      </c>
      <c r="I100" s="4">
        <v>0</v>
      </c>
      <c r="J100" s="5">
        <v>0</v>
      </c>
      <c r="K100" s="4">
        <v>0</v>
      </c>
      <c r="L100" s="4">
        <v>0</v>
      </c>
      <c r="M100" s="5">
        <v>0</v>
      </c>
      <c r="N100" s="4">
        <v>0</v>
      </c>
      <c r="O100" s="4">
        <v>0</v>
      </c>
      <c r="P100" s="5">
        <v>0</v>
      </c>
      <c r="Q100" s="4">
        <v>0</v>
      </c>
      <c r="R100" s="4">
        <v>0</v>
      </c>
      <c r="S100" s="4">
        <v>0</v>
      </c>
      <c r="T100" s="5">
        <v>0</v>
      </c>
      <c r="U100" s="5">
        <v>0</v>
      </c>
      <c r="V100" s="7">
        <v>0</v>
      </c>
      <c r="W100" s="7" t="e">
        <v>#DIV/0!</v>
      </c>
      <c r="X100" s="7" t="e">
        <v>#DIV/0!</v>
      </c>
      <c r="Y100" s="6" t="e">
        <v>#DIV/0!</v>
      </c>
      <c r="Z100" s="7" t="e">
        <v>#DIV/0!</v>
      </c>
    </row>
    <row r="101" spans="1:26" ht="15.75" x14ac:dyDescent="0.25">
      <c r="A101" s="77"/>
      <c r="B101" s="97"/>
      <c r="C101" s="8" t="s">
        <v>77</v>
      </c>
      <c r="D101" s="8" t="s">
        <v>36</v>
      </c>
      <c r="E101" s="4">
        <v>31</v>
      </c>
      <c r="F101" s="8">
        <v>8</v>
      </c>
      <c r="G101" s="8">
        <v>6</v>
      </c>
      <c r="H101" s="8">
        <v>93</v>
      </c>
      <c r="I101" s="8">
        <v>76</v>
      </c>
      <c r="J101" s="8">
        <v>175</v>
      </c>
      <c r="K101" s="8">
        <v>145</v>
      </c>
      <c r="L101" s="8">
        <v>26</v>
      </c>
      <c r="M101" s="8">
        <v>1</v>
      </c>
      <c r="N101" s="8">
        <v>1</v>
      </c>
      <c r="O101" s="8">
        <v>0</v>
      </c>
      <c r="P101" s="8">
        <v>172</v>
      </c>
      <c r="Q101" s="8">
        <v>77</v>
      </c>
      <c r="R101" s="8">
        <v>1</v>
      </c>
      <c r="S101" s="8">
        <v>214</v>
      </c>
      <c r="T101" s="8">
        <v>3</v>
      </c>
      <c r="U101" s="8">
        <v>27</v>
      </c>
      <c r="V101" s="24">
        <v>6.903225806451613</v>
      </c>
      <c r="W101" s="24">
        <v>86.290322580645167</v>
      </c>
      <c r="X101" s="24">
        <v>7.9259259259259256</v>
      </c>
      <c r="Y101" s="24">
        <v>1.2592592592592593</v>
      </c>
      <c r="Z101" s="24">
        <v>3.375</v>
      </c>
    </row>
    <row r="102" spans="1:26" ht="15.75" x14ac:dyDescent="0.25">
      <c r="A102" s="76">
        <v>4</v>
      </c>
      <c r="B102" s="97"/>
      <c r="C102" s="5" t="s">
        <v>37</v>
      </c>
      <c r="D102" s="5" t="s">
        <v>36</v>
      </c>
      <c r="E102" s="4">
        <v>31</v>
      </c>
      <c r="F102" s="5">
        <v>2</v>
      </c>
      <c r="G102" s="5">
        <v>2</v>
      </c>
      <c r="H102" s="5">
        <v>11</v>
      </c>
      <c r="I102" s="5">
        <v>2</v>
      </c>
      <c r="J102" s="5">
        <v>15</v>
      </c>
      <c r="K102" s="5">
        <v>3</v>
      </c>
      <c r="L102" s="5">
        <v>10</v>
      </c>
      <c r="M102" s="5">
        <v>0</v>
      </c>
      <c r="N102" s="5">
        <v>0</v>
      </c>
      <c r="O102" s="5">
        <v>0</v>
      </c>
      <c r="P102" s="5">
        <v>13</v>
      </c>
      <c r="Q102" s="5">
        <v>40</v>
      </c>
      <c r="R102" s="5">
        <v>0</v>
      </c>
      <c r="S102" s="5">
        <v>46</v>
      </c>
      <c r="T102" s="5">
        <v>2</v>
      </c>
      <c r="U102" s="5">
        <v>10</v>
      </c>
      <c r="V102" s="7">
        <v>1.4838709677419355</v>
      </c>
      <c r="W102" s="7">
        <v>74.193548387096769</v>
      </c>
      <c r="X102" s="7">
        <v>4.5999999999999996</v>
      </c>
      <c r="Y102" s="6">
        <v>1.6</v>
      </c>
      <c r="Z102" s="7">
        <v>5</v>
      </c>
    </row>
    <row r="103" spans="1:26" ht="15.75" x14ac:dyDescent="0.25">
      <c r="A103" s="77"/>
      <c r="B103" s="97"/>
      <c r="C103" s="8" t="s">
        <v>37</v>
      </c>
      <c r="D103" s="8" t="s">
        <v>36</v>
      </c>
      <c r="E103" s="4">
        <v>31</v>
      </c>
      <c r="F103" s="8">
        <v>2</v>
      </c>
      <c r="G103" s="8">
        <v>2</v>
      </c>
      <c r="H103" s="8">
        <v>11</v>
      </c>
      <c r="I103" s="8">
        <v>2</v>
      </c>
      <c r="J103" s="8">
        <v>15</v>
      </c>
      <c r="K103" s="8">
        <v>3</v>
      </c>
      <c r="L103" s="8">
        <v>10</v>
      </c>
      <c r="M103" s="8">
        <v>0</v>
      </c>
      <c r="N103" s="8">
        <v>0</v>
      </c>
      <c r="O103" s="8">
        <v>0</v>
      </c>
      <c r="P103" s="8">
        <v>13</v>
      </c>
      <c r="Q103" s="8">
        <v>40</v>
      </c>
      <c r="R103" s="8">
        <v>0</v>
      </c>
      <c r="S103" s="8">
        <v>46</v>
      </c>
      <c r="T103" s="8">
        <v>2</v>
      </c>
      <c r="U103" s="8">
        <v>10</v>
      </c>
      <c r="V103" s="24">
        <v>1.4838709677419355</v>
      </c>
      <c r="W103" s="24">
        <v>74.193548387096769</v>
      </c>
      <c r="X103" s="24">
        <v>4.5999999999999996</v>
      </c>
      <c r="Y103" s="24">
        <v>1.6</v>
      </c>
      <c r="Z103" s="24">
        <v>5</v>
      </c>
    </row>
    <row r="104" spans="1:26" ht="15.75" x14ac:dyDescent="0.25">
      <c r="A104" s="79" t="s">
        <v>83</v>
      </c>
      <c r="B104" s="80"/>
      <c r="C104" s="80"/>
      <c r="D104" s="81"/>
      <c r="E104" s="4">
        <v>31</v>
      </c>
      <c r="F104" s="20">
        <v>22</v>
      </c>
      <c r="G104" s="20">
        <v>23</v>
      </c>
      <c r="H104" s="20">
        <v>225</v>
      </c>
      <c r="I104" s="20">
        <v>92</v>
      </c>
      <c r="J104" s="11">
        <v>340</v>
      </c>
      <c r="K104" s="20">
        <v>155</v>
      </c>
      <c r="L104" s="20">
        <v>163</v>
      </c>
      <c r="M104" s="11">
        <v>7</v>
      </c>
      <c r="N104" s="20">
        <v>4</v>
      </c>
      <c r="O104" s="20">
        <v>3</v>
      </c>
      <c r="P104" s="11">
        <v>325</v>
      </c>
      <c r="Q104" s="20">
        <v>602</v>
      </c>
      <c r="R104" s="20">
        <v>1</v>
      </c>
      <c r="S104" s="20">
        <v>676</v>
      </c>
      <c r="T104" s="11">
        <v>15</v>
      </c>
      <c r="U104" s="11">
        <v>170</v>
      </c>
      <c r="V104" s="22">
        <v>21.806451612903224</v>
      </c>
      <c r="W104" s="12">
        <v>99.120234604105562</v>
      </c>
      <c r="X104" s="12">
        <v>3.9764705882352942</v>
      </c>
      <c r="Y104" s="12">
        <v>3.5294117647059114E-2</v>
      </c>
      <c r="Z104" s="12">
        <v>7.7272727272727275</v>
      </c>
    </row>
    <row r="105" spans="1:26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26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15" customHeight="1" x14ac:dyDescent="0.25">
      <c r="A107" s="78" t="s">
        <v>1</v>
      </c>
      <c r="B107" s="78" t="s">
        <v>2</v>
      </c>
      <c r="C107" s="72" t="s">
        <v>3</v>
      </c>
      <c r="D107" s="72" t="s">
        <v>4</v>
      </c>
      <c r="E107" s="75" t="s">
        <v>5</v>
      </c>
      <c r="F107" s="72" t="s">
        <v>6</v>
      </c>
      <c r="G107" s="72" t="s">
        <v>7</v>
      </c>
      <c r="H107" s="72" t="s">
        <v>8</v>
      </c>
      <c r="I107" s="75" t="s">
        <v>9</v>
      </c>
      <c r="J107" s="72" t="s">
        <v>10</v>
      </c>
      <c r="K107" s="72" t="s">
        <v>11</v>
      </c>
      <c r="L107" s="72" t="s">
        <v>12</v>
      </c>
      <c r="M107" s="72" t="s">
        <v>13</v>
      </c>
      <c r="N107" s="72" t="s">
        <v>14</v>
      </c>
      <c r="O107" s="72" t="s">
        <v>15</v>
      </c>
      <c r="P107" s="72" t="s">
        <v>16</v>
      </c>
      <c r="Q107" s="72" t="s">
        <v>17</v>
      </c>
      <c r="R107" s="72" t="s">
        <v>18</v>
      </c>
      <c r="S107" s="72" t="s">
        <v>19</v>
      </c>
      <c r="T107" s="72" t="s">
        <v>20</v>
      </c>
      <c r="U107" s="73" t="s">
        <v>21</v>
      </c>
      <c r="V107" s="2" t="s">
        <v>22</v>
      </c>
      <c r="W107" s="2" t="s">
        <v>23</v>
      </c>
      <c r="X107" s="2" t="s">
        <v>24</v>
      </c>
      <c r="Y107" s="2" t="s">
        <v>25</v>
      </c>
      <c r="Z107" s="2" t="s">
        <v>26</v>
      </c>
    </row>
    <row r="108" spans="1:26" ht="15" customHeight="1" x14ac:dyDescent="0.25">
      <c r="A108" s="78"/>
      <c r="B108" s="78"/>
      <c r="C108" s="72"/>
      <c r="D108" s="72"/>
      <c r="E108" s="75"/>
      <c r="F108" s="72"/>
      <c r="G108" s="72"/>
      <c r="H108" s="72"/>
      <c r="I108" s="75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3"/>
      <c r="V108" s="71" t="s">
        <v>27</v>
      </c>
      <c r="W108" s="71" t="s">
        <v>28</v>
      </c>
      <c r="X108" s="71" t="s">
        <v>29</v>
      </c>
      <c r="Y108" s="71" t="s">
        <v>30</v>
      </c>
      <c r="Z108" s="71" t="s">
        <v>31</v>
      </c>
    </row>
    <row r="109" spans="1:26" x14ac:dyDescent="0.25">
      <c r="A109" s="78"/>
      <c r="B109" s="78"/>
      <c r="C109" s="72"/>
      <c r="D109" s="72"/>
      <c r="E109" s="75"/>
      <c r="F109" s="72"/>
      <c r="G109" s="72"/>
      <c r="H109" s="72"/>
      <c r="I109" s="75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3"/>
      <c r="V109" s="74"/>
      <c r="W109" s="71"/>
      <c r="X109" s="71"/>
      <c r="Y109" s="71"/>
      <c r="Z109" s="71"/>
    </row>
    <row r="110" spans="1:26" x14ac:dyDescent="0.25">
      <c r="A110" s="78"/>
      <c r="B110" s="78"/>
      <c r="C110" s="72"/>
      <c r="D110" s="72"/>
      <c r="E110" s="75"/>
      <c r="F110" s="72"/>
      <c r="G110" s="3">
        <v>1</v>
      </c>
      <c r="H110" s="3">
        <v>2</v>
      </c>
      <c r="I110" s="3">
        <v>3</v>
      </c>
      <c r="J110" s="3">
        <v>4</v>
      </c>
      <c r="K110" s="3">
        <v>5</v>
      </c>
      <c r="L110" s="3">
        <v>6</v>
      </c>
      <c r="M110" s="3">
        <v>7</v>
      </c>
      <c r="N110" s="3">
        <v>8</v>
      </c>
      <c r="O110" s="3">
        <v>9</v>
      </c>
      <c r="P110" s="3">
        <v>10</v>
      </c>
      <c r="Q110" s="3">
        <v>11</v>
      </c>
      <c r="R110" s="3">
        <v>12</v>
      </c>
      <c r="S110" s="3">
        <v>13</v>
      </c>
      <c r="T110" s="3">
        <v>14</v>
      </c>
      <c r="U110" s="73"/>
      <c r="V110" s="16">
        <v>15</v>
      </c>
      <c r="W110" s="16">
        <v>16</v>
      </c>
      <c r="X110" s="16">
        <v>17</v>
      </c>
      <c r="Y110" s="16">
        <v>18</v>
      </c>
      <c r="Z110" s="16">
        <v>19</v>
      </c>
    </row>
    <row r="111" spans="1:26" ht="15.75" x14ac:dyDescent="0.25">
      <c r="A111" s="76">
        <v>1</v>
      </c>
      <c r="B111" s="90" t="s">
        <v>79</v>
      </c>
      <c r="C111" s="4" t="s">
        <v>44</v>
      </c>
      <c r="D111" s="4" t="s">
        <v>32</v>
      </c>
      <c r="E111" s="4">
        <v>31</v>
      </c>
      <c r="F111" s="4">
        <v>12</v>
      </c>
      <c r="G111" s="4">
        <v>11</v>
      </c>
      <c r="H111" s="4">
        <v>76</v>
      </c>
      <c r="I111" s="4">
        <v>7</v>
      </c>
      <c r="J111" s="5">
        <v>94</v>
      </c>
      <c r="K111" s="4">
        <v>1</v>
      </c>
      <c r="L111" s="4">
        <v>85</v>
      </c>
      <c r="M111" s="5">
        <v>1</v>
      </c>
      <c r="N111" s="4">
        <v>0</v>
      </c>
      <c r="O111" s="4">
        <v>1</v>
      </c>
      <c r="P111" s="5">
        <v>87</v>
      </c>
      <c r="Q111" s="4">
        <v>329</v>
      </c>
      <c r="R111" s="4">
        <v>0</v>
      </c>
      <c r="S111" s="4">
        <v>316</v>
      </c>
      <c r="T111" s="5">
        <v>7</v>
      </c>
      <c r="U111" s="5">
        <v>86</v>
      </c>
      <c r="V111" s="7">
        <v>10.193548387096774</v>
      </c>
      <c r="W111" s="7">
        <v>84.946236559139791</v>
      </c>
      <c r="X111" s="7">
        <v>3.6744186046511627</v>
      </c>
      <c r="Y111" s="6">
        <v>0.65116279069767447</v>
      </c>
      <c r="Z111" s="7">
        <v>7.166666666666667</v>
      </c>
    </row>
    <row r="112" spans="1:26" ht="15.75" x14ac:dyDescent="0.25">
      <c r="A112" s="77"/>
      <c r="B112" s="91"/>
      <c r="C112" s="8" t="s">
        <v>44</v>
      </c>
      <c r="D112" s="4" t="s">
        <v>32</v>
      </c>
      <c r="E112" s="4">
        <v>31</v>
      </c>
      <c r="F112" s="8">
        <v>12</v>
      </c>
      <c r="G112" s="8">
        <v>11</v>
      </c>
      <c r="H112" s="8">
        <v>76</v>
      </c>
      <c r="I112" s="8">
        <v>7</v>
      </c>
      <c r="J112" s="8">
        <v>94</v>
      </c>
      <c r="K112" s="8">
        <v>1</v>
      </c>
      <c r="L112" s="8">
        <v>85</v>
      </c>
      <c r="M112" s="8">
        <v>1</v>
      </c>
      <c r="N112" s="8">
        <v>0</v>
      </c>
      <c r="O112" s="8">
        <v>1</v>
      </c>
      <c r="P112" s="8">
        <v>87</v>
      </c>
      <c r="Q112" s="8">
        <v>329</v>
      </c>
      <c r="R112" s="8">
        <v>0</v>
      </c>
      <c r="S112" s="8">
        <v>316</v>
      </c>
      <c r="T112" s="8">
        <v>7</v>
      </c>
      <c r="U112" s="8">
        <v>86</v>
      </c>
      <c r="V112" s="24">
        <v>10.193548387096774</v>
      </c>
      <c r="W112" s="24">
        <v>84.946236559139791</v>
      </c>
      <c r="X112" s="24">
        <v>3.6744186046511627</v>
      </c>
      <c r="Y112" s="24">
        <v>0.65116279069767447</v>
      </c>
      <c r="Z112" s="24">
        <v>7.166666666666667</v>
      </c>
    </row>
    <row r="113" spans="1:26" ht="15.75" x14ac:dyDescent="0.25">
      <c r="A113" s="76">
        <v>2</v>
      </c>
      <c r="B113" s="91"/>
      <c r="C113" s="4" t="s">
        <v>55</v>
      </c>
      <c r="D113" s="4" t="s">
        <v>32</v>
      </c>
      <c r="E113" s="4">
        <v>31</v>
      </c>
      <c r="F113" s="4">
        <v>14</v>
      </c>
      <c r="G113" s="4">
        <v>18</v>
      </c>
      <c r="H113" s="4">
        <v>122</v>
      </c>
      <c r="I113" s="4">
        <v>18</v>
      </c>
      <c r="J113" s="5">
        <v>158</v>
      </c>
      <c r="K113" s="4">
        <v>9</v>
      </c>
      <c r="L113" s="4">
        <v>115</v>
      </c>
      <c r="M113" s="5">
        <v>23</v>
      </c>
      <c r="N113" s="4">
        <v>8</v>
      </c>
      <c r="O113" s="4">
        <v>15</v>
      </c>
      <c r="P113" s="5">
        <v>147</v>
      </c>
      <c r="Q113" s="4">
        <v>565</v>
      </c>
      <c r="R113" s="4">
        <v>1</v>
      </c>
      <c r="S113" s="4">
        <v>498</v>
      </c>
      <c r="T113" s="5">
        <v>11</v>
      </c>
      <c r="U113" s="5">
        <v>138</v>
      </c>
      <c r="V113" s="7">
        <v>16.06451612903226</v>
      </c>
      <c r="W113" s="7">
        <v>114.74654377880185</v>
      </c>
      <c r="X113" s="7">
        <v>3.6086956521739131</v>
      </c>
      <c r="Y113" s="6">
        <v>-0.46376811594202938</v>
      </c>
      <c r="Z113" s="7">
        <v>9.8571428571428577</v>
      </c>
    </row>
    <row r="114" spans="1:26" ht="15.75" x14ac:dyDescent="0.25">
      <c r="A114" s="77"/>
      <c r="B114" s="91"/>
      <c r="C114" s="8" t="s">
        <v>55</v>
      </c>
      <c r="D114" s="4" t="s">
        <v>32</v>
      </c>
      <c r="E114" s="4">
        <v>31</v>
      </c>
      <c r="F114" s="8">
        <v>14</v>
      </c>
      <c r="G114" s="8">
        <v>18</v>
      </c>
      <c r="H114" s="8">
        <v>122</v>
      </c>
      <c r="I114" s="8">
        <v>18</v>
      </c>
      <c r="J114" s="8">
        <v>158</v>
      </c>
      <c r="K114" s="8">
        <v>9</v>
      </c>
      <c r="L114" s="8">
        <v>115</v>
      </c>
      <c r="M114" s="8">
        <v>23</v>
      </c>
      <c r="N114" s="8">
        <v>8</v>
      </c>
      <c r="O114" s="8">
        <v>15</v>
      </c>
      <c r="P114" s="8">
        <v>147</v>
      </c>
      <c r="Q114" s="8">
        <v>565</v>
      </c>
      <c r="R114" s="8">
        <v>1</v>
      </c>
      <c r="S114" s="8">
        <v>498</v>
      </c>
      <c r="T114" s="8">
        <v>11</v>
      </c>
      <c r="U114" s="8">
        <v>138</v>
      </c>
      <c r="V114" s="24">
        <v>16.06451612903226</v>
      </c>
      <c r="W114" s="24">
        <v>114.74654377880185</v>
      </c>
      <c r="X114" s="24">
        <v>3.6086956521739131</v>
      </c>
      <c r="Y114" s="24">
        <v>-0.46376811594202938</v>
      </c>
      <c r="Z114" s="24">
        <v>9.8571428571428577</v>
      </c>
    </row>
    <row r="115" spans="1:26" ht="15.75" x14ac:dyDescent="0.25">
      <c r="A115" s="76">
        <v>3</v>
      </c>
      <c r="B115" s="91"/>
      <c r="C115" s="4" t="s">
        <v>74</v>
      </c>
      <c r="D115" s="4" t="s">
        <v>32</v>
      </c>
      <c r="E115" s="4">
        <v>31</v>
      </c>
      <c r="F115" s="4">
        <v>15</v>
      </c>
      <c r="G115" s="4">
        <v>19</v>
      </c>
      <c r="H115" s="4">
        <v>142</v>
      </c>
      <c r="I115" s="4">
        <v>15</v>
      </c>
      <c r="J115" s="5">
        <v>176</v>
      </c>
      <c r="K115" s="4">
        <v>20</v>
      </c>
      <c r="L115" s="4">
        <v>113</v>
      </c>
      <c r="M115" s="5">
        <v>23</v>
      </c>
      <c r="N115" s="4">
        <v>18</v>
      </c>
      <c r="O115" s="4">
        <v>5</v>
      </c>
      <c r="P115" s="5">
        <v>156</v>
      </c>
      <c r="Q115" s="4">
        <v>611</v>
      </c>
      <c r="R115" s="4">
        <v>3</v>
      </c>
      <c r="S115" s="4">
        <v>572</v>
      </c>
      <c r="T115" s="5">
        <v>20</v>
      </c>
      <c r="U115" s="5">
        <v>136</v>
      </c>
      <c r="V115" s="7">
        <v>18.451612903225808</v>
      </c>
      <c r="W115" s="7">
        <v>123.01075268817205</v>
      </c>
      <c r="X115" s="7">
        <v>4.2058823529411766</v>
      </c>
      <c r="Y115" s="6">
        <v>-0.78676470588235325</v>
      </c>
      <c r="Z115" s="7">
        <v>9.0666666666666664</v>
      </c>
    </row>
    <row r="116" spans="1:26" ht="15.75" x14ac:dyDescent="0.25">
      <c r="A116" s="77"/>
      <c r="B116" s="91"/>
      <c r="C116" s="8" t="s">
        <v>74</v>
      </c>
      <c r="D116" s="4" t="s">
        <v>32</v>
      </c>
      <c r="E116" s="4">
        <v>31</v>
      </c>
      <c r="F116" s="8">
        <v>15</v>
      </c>
      <c r="G116" s="8">
        <v>19</v>
      </c>
      <c r="H116" s="8">
        <v>142</v>
      </c>
      <c r="I116" s="8">
        <v>15</v>
      </c>
      <c r="J116" s="8">
        <v>176</v>
      </c>
      <c r="K116" s="8">
        <v>20</v>
      </c>
      <c r="L116" s="8">
        <v>113</v>
      </c>
      <c r="M116" s="8">
        <v>23</v>
      </c>
      <c r="N116" s="8">
        <v>18</v>
      </c>
      <c r="O116" s="8">
        <v>5</v>
      </c>
      <c r="P116" s="8">
        <v>156</v>
      </c>
      <c r="Q116" s="8">
        <v>611</v>
      </c>
      <c r="R116" s="8">
        <v>3</v>
      </c>
      <c r="S116" s="8">
        <v>572</v>
      </c>
      <c r="T116" s="8">
        <v>20</v>
      </c>
      <c r="U116" s="8">
        <v>136</v>
      </c>
      <c r="V116" s="24">
        <v>18.451612903225808</v>
      </c>
      <c r="W116" s="24">
        <v>123.01075268817205</v>
      </c>
      <c r="X116" s="24">
        <v>4.2058823529411766</v>
      </c>
      <c r="Y116" s="24">
        <v>-0.78676470588235325</v>
      </c>
      <c r="Z116" s="24">
        <v>9.0666666666666664</v>
      </c>
    </row>
    <row r="117" spans="1:26" ht="15.75" x14ac:dyDescent="0.25">
      <c r="A117" s="76">
        <v>4</v>
      </c>
      <c r="B117" s="91"/>
      <c r="C117" s="5" t="s">
        <v>39</v>
      </c>
      <c r="D117" s="4" t="s">
        <v>32</v>
      </c>
      <c r="E117" s="4">
        <v>31</v>
      </c>
      <c r="F117" s="5">
        <v>24</v>
      </c>
      <c r="G117" s="5">
        <v>18</v>
      </c>
      <c r="H117" s="5">
        <v>174</v>
      </c>
      <c r="I117" s="5">
        <v>14</v>
      </c>
      <c r="J117" s="5">
        <v>206</v>
      </c>
      <c r="K117" s="5">
        <v>12</v>
      </c>
      <c r="L117" s="5">
        <v>172</v>
      </c>
      <c r="M117" s="5">
        <v>10</v>
      </c>
      <c r="N117" s="5">
        <v>1</v>
      </c>
      <c r="O117" s="5">
        <v>9</v>
      </c>
      <c r="P117" s="5">
        <v>194</v>
      </c>
      <c r="Q117" s="5">
        <v>711</v>
      </c>
      <c r="R117" s="5">
        <v>0</v>
      </c>
      <c r="S117" s="5">
        <v>608</v>
      </c>
      <c r="T117" s="5">
        <v>12</v>
      </c>
      <c r="U117" s="5">
        <v>182</v>
      </c>
      <c r="V117" s="7">
        <v>19.612903225806452</v>
      </c>
      <c r="W117" s="7">
        <v>81.72043010752688</v>
      </c>
      <c r="X117" s="7">
        <v>3.3406593406593408</v>
      </c>
      <c r="Y117" s="6">
        <v>0.74725274725274726</v>
      </c>
      <c r="Z117" s="7">
        <v>7.583333333333333</v>
      </c>
    </row>
    <row r="118" spans="1:26" ht="15.75" x14ac:dyDescent="0.25">
      <c r="A118" s="77"/>
      <c r="B118" s="91"/>
      <c r="C118" s="8" t="s">
        <v>39</v>
      </c>
      <c r="D118" s="4" t="s">
        <v>32</v>
      </c>
      <c r="E118" s="4">
        <v>31</v>
      </c>
      <c r="F118" s="8">
        <v>24</v>
      </c>
      <c r="G118" s="8">
        <v>18</v>
      </c>
      <c r="H118" s="8">
        <v>174</v>
      </c>
      <c r="I118" s="8">
        <v>14</v>
      </c>
      <c r="J118" s="8">
        <v>206</v>
      </c>
      <c r="K118" s="8">
        <v>12</v>
      </c>
      <c r="L118" s="8">
        <v>172</v>
      </c>
      <c r="M118" s="8">
        <v>10</v>
      </c>
      <c r="N118" s="8">
        <v>1</v>
      </c>
      <c r="O118" s="8">
        <v>9</v>
      </c>
      <c r="P118" s="8">
        <v>194</v>
      </c>
      <c r="Q118" s="8">
        <v>711</v>
      </c>
      <c r="R118" s="8">
        <v>0</v>
      </c>
      <c r="S118" s="8">
        <v>608</v>
      </c>
      <c r="T118" s="8">
        <v>12</v>
      </c>
      <c r="U118" s="8">
        <v>182</v>
      </c>
      <c r="V118" s="24">
        <v>19.612903225806452</v>
      </c>
      <c r="W118" s="24">
        <v>81.72043010752688</v>
      </c>
      <c r="X118" s="24">
        <v>3.3406593406593408</v>
      </c>
      <c r="Y118" s="24">
        <v>0.74725274725274726</v>
      </c>
      <c r="Z118" s="24">
        <v>7.583333333333333</v>
      </c>
    </row>
    <row r="119" spans="1:26" ht="15.75" x14ac:dyDescent="0.25">
      <c r="A119" s="76">
        <v>5</v>
      </c>
      <c r="B119" s="91"/>
      <c r="C119" s="5" t="s">
        <v>41</v>
      </c>
      <c r="D119" s="4" t="s">
        <v>32</v>
      </c>
      <c r="E119" s="4">
        <v>31</v>
      </c>
      <c r="F119" s="5">
        <v>20</v>
      </c>
      <c r="G119" s="5">
        <v>15</v>
      </c>
      <c r="H119" s="5">
        <v>168</v>
      </c>
      <c r="I119" s="5">
        <v>8</v>
      </c>
      <c r="J119" s="5">
        <v>191</v>
      </c>
      <c r="K119" s="5">
        <v>15</v>
      </c>
      <c r="L119" s="5">
        <v>152</v>
      </c>
      <c r="M119" s="5">
        <v>12</v>
      </c>
      <c r="N119" s="5">
        <v>6</v>
      </c>
      <c r="O119" s="5">
        <v>6</v>
      </c>
      <c r="P119" s="5">
        <v>179</v>
      </c>
      <c r="Q119" s="5">
        <v>573</v>
      </c>
      <c r="R119" s="5">
        <v>1</v>
      </c>
      <c r="S119" s="5">
        <v>527</v>
      </c>
      <c r="T119" s="5">
        <v>12</v>
      </c>
      <c r="U119" s="5">
        <v>164</v>
      </c>
      <c r="V119" s="7">
        <v>17</v>
      </c>
      <c r="W119" s="7">
        <v>85</v>
      </c>
      <c r="X119" s="7">
        <v>3.2134146341463414</v>
      </c>
      <c r="Y119" s="6">
        <v>0.56707317073170727</v>
      </c>
      <c r="Z119" s="7">
        <v>8.1999999999999993</v>
      </c>
    </row>
    <row r="120" spans="1:26" ht="15.75" x14ac:dyDescent="0.25">
      <c r="A120" s="77"/>
      <c r="B120" s="91"/>
      <c r="C120" s="8" t="s">
        <v>41</v>
      </c>
      <c r="D120" s="4" t="s">
        <v>32</v>
      </c>
      <c r="E120" s="4">
        <v>31</v>
      </c>
      <c r="F120" s="8">
        <v>20</v>
      </c>
      <c r="G120" s="8">
        <v>15</v>
      </c>
      <c r="H120" s="8">
        <v>168</v>
      </c>
      <c r="I120" s="8">
        <v>8</v>
      </c>
      <c r="J120" s="8">
        <v>191</v>
      </c>
      <c r="K120" s="8">
        <v>15</v>
      </c>
      <c r="L120" s="8">
        <v>152</v>
      </c>
      <c r="M120" s="8">
        <v>12</v>
      </c>
      <c r="N120" s="8">
        <v>6</v>
      </c>
      <c r="O120" s="8">
        <v>6</v>
      </c>
      <c r="P120" s="8">
        <v>179</v>
      </c>
      <c r="Q120" s="8">
        <v>573</v>
      </c>
      <c r="R120" s="8">
        <v>1</v>
      </c>
      <c r="S120" s="8">
        <v>527</v>
      </c>
      <c r="T120" s="8">
        <v>12</v>
      </c>
      <c r="U120" s="8">
        <v>164</v>
      </c>
      <c r="V120" s="24">
        <v>17</v>
      </c>
      <c r="W120" s="24">
        <v>85</v>
      </c>
      <c r="X120" s="24">
        <v>3.2134146341463414</v>
      </c>
      <c r="Y120" s="24">
        <v>0.56707317073170727</v>
      </c>
      <c r="Z120" s="24">
        <v>8.1999999999999993</v>
      </c>
    </row>
    <row r="121" spans="1:26" ht="15.75" x14ac:dyDescent="0.25">
      <c r="A121" s="76">
        <v>6</v>
      </c>
      <c r="B121" s="91"/>
      <c r="C121" s="5" t="s">
        <v>35</v>
      </c>
      <c r="D121" s="4" t="s">
        <v>32</v>
      </c>
      <c r="E121" s="4">
        <v>31</v>
      </c>
      <c r="F121" s="5">
        <v>12</v>
      </c>
      <c r="G121" s="5">
        <v>12</v>
      </c>
      <c r="H121" s="5">
        <v>102</v>
      </c>
      <c r="I121" s="5">
        <v>5</v>
      </c>
      <c r="J121" s="5">
        <v>119</v>
      </c>
      <c r="K121" s="5">
        <v>7</v>
      </c>
      <c r="L121" s="5">
        <v>92</v>
      </c>
      <c r="M121" s="5">
        <v>10</v>
      </c>
      <c r="N121" s="5">
        <v>6</v>
      </c>
      <c r="O121" s="5">
        <v>4</v>
      </c>
      <c r="P121" s="5">
        <v>109</v>
      </c>
      <c r="Q121" s="5">
        <v>345</v>
      </c>
      <c r="R121" s="5">
        <v>0</v>
      </c>
      <c r="S121" s="5">
        <v>314</v>
      </c>
      <c r="T121" s="5">
        <v>10</v>
      </c>
      <c r="U121" s="5">
        <v>102</v>
      </c>
      <c r="V121" s="13">
        <v>10.129032258064516</v>
      </c>
      <c r="W121" s="13">
        <v>84.408602150537632</v>
      </c>
      <c r="X121" s="13">
        <v>3.0784313725490198</v>
      </c>
      <c r="Y121" s="14">
        <v>0.56862745098039214</v>
      </c>
      <c r="Z121" s="13">
        <v>8.5</v>
      </c>
    </row>
    <row r="122" spans="1:26" ht="15.75" x14ac:dyDescent="0.25">
      <c r="A122" s="77"/>
      <c r="B122" s="91"/>
      <c r="C122" s="8" t="s">
        <v>35</v>
      </c>
      <c r="D122" s="4" t="s">
        <v>32</v>
      </c>
      <c r="E122" s="4">
        <v>31</v>
      </c>
      <c r="F122" s="8">
        <v>12</v>
      </c>
      <c r="G122" s="8">
        <v>12</v>
      </c>
      <c r="H122" s="8">
        <v>102</v>
      </c>
      <c r="I122" s="8">
        <v>5</v>
      </c>
      <c r="J122" s="8">
        <v>119</v>
      </c>
      <c r="K122" s="8">
        <v>7</v>
      </c>
      <c r="L122" s="8">
        <v>92</v>
      </c>
      <c r="M122" s="8">
        <v>10</v>
      </c>
      <c r="N122" s="8">
        <v>6</v>
      </c>
      <c r="O122" s="8">
        <v>4</v>
      </c>
      <c r="P122" s="8">
        <v>109</v>
      </c>
      <c r="Q122" s="8">
        <v>345</v>
      </c>
      <c r="R122" s="8">
        <v>0</v>
      </c>
      <c r="S122" s="8">
        <v>314</v>
      </c>
      <c r="T122" s="8">
        <v>10</v>
      </c>
      <c r="U122" s="8">
        <v>102</v>
      </c>
      <c r="V122" s="26">
        <v>10.129032258064516</v>
      </c>
      <c r="W122" s="26">
        <v>84.408602150537632</v>
      </c>
      <c r="X122" s="26">
        <v>3.0784313725490198</v>
      </c>
      <c r="Y122" s="26">
        <v>0.56862745098039214</v>
      </c>
      <c r="Z122" s="26">
        <v>8.5</v>
      </c>
    </row>
    <row r="123" spans="1:26" ht="15.75" x14ac:dyDescent="0.25">
      <c r="A123" s="76">
        <v>7</v>
      </c>
      <c r="B123" s="91"/>
      <c r="C123" s="5" t="s">
        <v>34</v>
      </c>
      <c r="D123" s="4" t="s">
        <v>32</v>
      </c>
      <c r="E123" s="4">
        <v>31</v>
      </c>
      <c r="F123" s="5">
        <v>16</v>
      </c>
      <c r="G123" s="5">
        <v>16</v>
      </c>
      <c r="H123" s="5">
        <v>105</v>
      </c>
      <c r="I123" s="5">
        <v>47</v>
      </c>
      <c r="J123" s="5">
        <v>168</v>
      </c>
      <c r="K123" s="5">
        <v>11</v>
      </c>
      <c r="L123" s="5">
        <v>127</v>
      </c>
      <c r="M123" s="5">
        <v>18</v>
      </c>
      <c r="N123" s="5">
        <v>9</v>
      </c>
      <c r="O123" s="5">
        <v>9</v>
      </c>
      <c r="P123" s="5">
        <v>156</v>
      </c>
      <c r="Q123" s="5">
        <v>572</v>
      </c>
      <c r="R123" s="5">
        <v>1</v>
      </c>
      <c r="S123" s="5">
        <v>463</v>
      </c>
      <c r="T123" s="5">
        <v>12</v>
      </c>
      <c r="U123" s="5">
        <v>145</v>
      </c>
      <c r="V123" s="7">
        <v>14.935483870967742</v>
      </c>
      <c r="W123" s="7">
        <v>93.346774193548384</v>
      </c>
      <c r="X123" s="7">
        <v>3.193103448275862</v>
      </c>
      <c r="Y123" s="6">
        <v>0.22758620689655173</v>
      </c>
      <c r="Z123" s="7">
        <v>9.0625</v>
      </c>
    </row>
    <row r="124" spans="1:26" ht="15.75" x14ac:dyDescent="0.25">
      <c r="A124" s="77"/>
      <c r="B124" s="91"/>
      <c r="C124" s="8" t="s">
        <v>34</v>
      </c>
      <c r="D124" s="4" t="s">
        <v>32</v>
      </c>
      <c r="E124" s="4">
        <v>31</v>
      </c>
      <c r="F124" s="8">
        <v>16</v>
      </c>
      <c r="G124" s="8">
        <v>16</v>
      </c>
      <c r="H124" s="8">
        <v>105</v>
      </c>
      <c r="I124" s="8">
        <v>47</v>
      </c>
      <c r="J124" s="8">
        <v>168</v>
      </c>
      <c r="K124" s="8">
        <v>11</v>
      </c>
      <c r="L124" s="8">
        <v>127</v>
      </c>
      <c r="M124" s="8">
        <v>18</v>
      </c>
      <c r="N124" s="8">
        <v>9</v>
      </c>
      <c r="O124" s="8">
        <v>9</v>
      </c>
      <c r="P124" s="8">
        <v>156</v>
      </c>
      <c r="Q124" s="8">
        <v>572</v>
      </c>
      <c r="R124" s="8">
        <v>1</v>
      </c>
      <c r="S124" s="8">
        <v>463</v>
      </c>
      <c r="T124" s="8">
        <v>12</v>
      </c>
      <c r="U124" s="8">
        <v>145</v>
      </c>
      <c r="V124" s="24">
        <v>14.935483870967742</v>
      </c>
      <c r="W124" s="24">
        <v>93.346774193548384</v>
      </c>
      <c r="X124" s="24">
        <v>3.193103448275862</v>
      </c>
      <c r="Y124" s="24">
        <v>0.22758620689655173</v>
      </c>
      <c r="Z124" s="24">
        <v>9.0625</v>
      </c>
    </row>
    <row r="125" spans="1:26" ht="15.75" x14ac:dyDescent="0.25">
      <c r="A125" s="76">
        <v>8</v>
      </c>
      <c r="B125" s="91"/>
      <c r="C125" s="5" t="s">
        <v>37</v>
      </c>
      <c r="D125" s="4" t="s">
        <v>32</v>
      </c>
      <c r="E125" s="4">
        <v>31</v>
      </c>
      <c r="F125" s="5">
        <v>17</v>
      </c>
      <c r="G125" s="5">
        <v>13</v>
      </c>
      <c r="H125" s="5">
        <v>122</v>
      </c>
      <c r="I125" s="5">
        <v>17</v>
      </c>
      <c r="J125" s="5">
        <v>152</v>
      </c>
      <c r="K125" s="5">
        <v>12</v>
      </c>
      <c r="L125" s="5">
        <v>123</v>
      </c>
      <c r="M125" s="5">
        <v>3</v>
      </c>
      <c r="N125" s="5">
        <v>2</v>
      </c>
      <c r="O125" s="5">
        <v>1</v>
      </c>
      <c r="P125" s="5">
        <v>138</v>
      </c>
      <c r="Q125" s="5">
        <v>559</v>
      </c>
      <c r="R125" s="5">
        <v>0</v>
      </c>
      <c r="S125" s="5">
        <v>474</v>
      </c>
      <c r="T125" s="5">
        <v>14</v>
      </c>
      <c r="U125" s="5">
        <v>126</v>
      </c>
      <c r="V125" s="7">
        <v>15.290322580645162</v>
      </c>
      <c r="W125" s="7">
        <v>89.943074003795061</v>
      </c>
      <c r="X125" s="7">
        <v>3.7619047619047619</v>
      </c>
      <c r="Y125" s="6">
        <v>0.42063492063492047</v>
      </c>
      <c r="Z125" s="7">
        <v>7.4117647058823533</v>
      </c>
    </row>
    <row r="126" spans="1:26" ht="15.75" x14ac:dyDescent="0.25">
      <c r="A126" s="77"/>
      <c r="B126" s="91"/>
      <c r="C126" s="8" t="s">
        <v>37</v>
      </c>
      <c r="D126" s="4" t="s">
        <v>32</v>
      </c>
      <c r="E126" s="4">
        <v>31</v>
      </c>
      <c r="F126" s="8">
        <v>17</v>
      </c>
      <c r="G126" s="8">
        <v>13</v>
      </c>
      <c r="H126" s="8">
        <v>122</v>
      </c>
      <c r="I126" s="8">
        <v>17</v>
      </c>
      <c r="J126" s="8">
        <v>152</v>
      </c>
      <c r="K126" s="8">
        <v>12</v>
      </c>
      <c r="L126" s="8">
        <v>123</v>
      </c>
      <c r="M126" s="8">
        <v>3</v>
      </c>
      <c r="N126" s="8">
        <v>2</v>
      </c>
      <c r="O126" s="8">
        <v>1</v>
      </c>
      <c r="P126" s="8">
        <v>138</v>
      </c>
      <c r="Q126" s="8">
        <v>559</v>
      </c>
      <c r="R126" s="8">
        <v>0</v>
      </c>
      <c r="S126" s="8">
        <v>474</v>
      </c>
      <c r="T126" s="8">
        <v>14</v>
      </c>
      <c r="U126" s="8">
        <v>126</v>
      </c>
      <c r="V126" s="24">
        <v>15.290322580645162</v>
      </c>
      <c r="W126" s="24">
        <v>89.943074003795061</v>
      </c>
      <c r="X126" s="24">
        <v>3.7619047619047619</v>
      </c>
      <c r="Y126" s="24">
        <v>0.42063492063492047</v>
      </c>
      <c r="Z126" s="24">
        <v>7.4117647058823533</v>
      </c>
    </row>
    <row r="127" spans="1:26" ht="15.75" x14ac:dyDescent="0.25">
      <c r="A127" s="76">
        <v>9</v>
      </c>
      <c r="B127" s="91"/>
      <c r="C127" s="5" t="s">
        <v>33</v>
      </c>
      <c r="D127" s="4" t="s">
        <v>32</v>
      </c>
      <c r="E127" s="4">
        <v>31</v>
      </c>
      <c r="F127" s="5">
        <v>20</v>
      </c>
      <c r="G127" s="5">
        <v>22</v>
      </c>
      <c r="H127" s="5">
        <v>177</v>
      </c>
      <c r="I127" s="5">
        <v>13</v>
      </c>
      <c r="J127" s="5">
        <v>212</v>
      </c>
      <c r="K127" s="5">
        <v>7</v>
      </c>
      <c r="L127" s="5">
        <v>175</v>
      </c>
      <c r="M127" s="5">
        <v>17</v>
      </c>
      <c r="N127" s="5">
        <v>6</v>
      </c>
      <c r="O127" s="5">
        <v>11</v>
      </c>
      <c r="P127" s="5">
        <v>199</v>
      </c>
      <c r="Q127" s="5">
        <v>721</v>
      </c>
      <c r="R127" s="5">
        <v>1</v>
      </c>
      <c r="S127" s="5">
        <v>629</v>
      </c>
      <c r="T127" s="5">
        <v>13</v>
      </c>
      <c r="U127" s="5">
        <v>192</v>
      </c>
      <c r="V127" s="7">
        <v>20.29032258064516</v>
      </c>
      <c r="W127" s="7">
        <v>101.45161290322579</v>
      </c>
      <c r="X127" s="7">
        <v>3.2760416666666665</v>
      </c>
      <c r="Y127" s="6">
        <v>-4.6874999999999813E-2</v>
      </c>
      <c r="Z127" s="7">
        <v>9.6</v>
      </c>
    </row>
    <row r="128" spans="1:26" ht="15.75" x14ac:dyDescent="0.25">
      <c r="A128" s="77"/>
      <c r="B128" s="91"/>
      <c r="C128" s="8" t="s">
        <v>33</v>
      </c>
      <c r="D128" s="4" t="s">
        <v>32</v>
      </c>
      <c r="E128" s="4">
        <v>31</v>
      </c>
      <c r="F128" s="8">
        <v>20</v>
      </c>
      <c r="G128" s="8">
        <v>22</v>
      </c>
      <c r="H128" s="8">
        <v>177</v>
      </c>
      <c r="I128" s="8">
        <v>13</v>
      </c>
      <c r="J128" s="8">
        <v>212</v>
      </c>
      <c r="K128" s="8">
        <v>7</v>
      </c>
      <c r="L128" s="8">
        <v>175</v>
      </c>
      <c r="M128" s="8">
        <v>17</v>
      </c>
      <c r="N128" s="8">
        <v>6</v>
      </c>
      <c r="O128" s="8">
        <v>11</v>
      </c>
      <c r="P128" s="8">
        <v>199</v>
      </c>
      <c r="Q128" s="8">
        <v>721</v>
      </c>
      <c r="R128" s="8">
        <v>1</v>
      </c>
      <c r="S128" s="8">
        <v>629</v>
      </c>
      <c r="T128" s="8">
        <v>13</v>
      </c>
      <c r="U128" s="8">
        <v>192</v>
      </c>
      <c r="V128" s="24">
        <v>20.29032258064516</v>
      </c>
      <c r="W128" s="24">
        <v>101.45161290322579</v>
      </c>
      <c r="X128" s="24">
        <v>3.2760416666666665</v>
      </c>
      <c r="Y128" s="24">
        <v>-4.6874999999999813E-2</v>
      </c>
      <c r="Z128" s="24">
        <v>9.6</v>
      </c>
    </row>
    <row r="129" spans="1:26" ht="15.75" x14ac:dyDescent="0.25">
      <c r="A129" s="76">
        <v>10</v>
      </c>
      <c r="B129" s="91"/>
      <c r="C129" s="4" t="s">
        <v>40</v>
      </c>
      <c r="D129" s="4" t="s">
        <v>32</v>
      </c>
      <c r="E129" s="4">
        <v>31</v>
      </c>
      <c r="F129" s="4">
        <v>16</v>
      </c>
      <c r="G129" s="4">
        <v>16</v>
      </c>
      <c r="H129" s="4">
        <v>138</v>
      </c>
      <c r="I129" s="4">
        <v>9</v>
      </c>
      <c r="J129" s="5">
        <v>163</v>
      </c>
      <c r="K129" s="4">
        <v>8</v>
      </c>
      <c r="L129" s="4">
        <v>134</v>
      </c>
      <c r="M129" s="5">
        <v>7</v>
      </c>
      <c r="N129" s="4">
        <v>4</v>
      </c>
      <c r="O129" s="4">
        <v>3</v>
      </c>
      <c r="P129" s="5">
        <v>149</v>
      </c>
      <c r="Q129" s="4">
        <v>535</v>
      </c>
      <c r="R129" s="4">
        <v>0</v>
      </c>
      <c r="S129" s="4">
        <v>532</v>
      </c>
      <c r="T129" s="5">
        <v>14</v>
      </c>
      <c r="U129" s="5">
        <v>141</v>
      </c>
      <c r="V129" s="7">
        <v>17.161290322580644</v>
      </c>
      <c r="W129" s="7">
        <v>107.25806451612902</v>
      </c>
      <c r="X129" s="7">
        <v>3.773049645390071</v>
      </c>
      <c r="Y129" s="6">
        <v>-0.25531914893617003</v>
      </c>
      <c r="Z129" s="7">
        <v>8.8125</v>
      </c>
    </row>
    <row r="130" spans="1:26" ht="15.75" x14ac:dyDescent="0.25">
      <c r="A130" s="77"/>
      <c r="B130" s="91"/>
      <c r="C130" s="8" t="s">
        <v>40</v>
      </c>
      <c r="D130" s="4" t="s">
        <v>32</v>
      </c>
      <c r="E130" s="4">
        <v>31</v>
      </c>
      <c r="F130" s="8">
        <v>16</v>
      </c>
      <c r="G130" s="8">
        <v>16</v>
      </c>
      <c r="H130" s="8">
        <v>138</v>
      </c>
      <c r="I130" s="8">
        <v>9</v>
      </c>
      <c r="J130" s="8">
        <v>163</v>
      </c>
      <c r="K130" s="8">
        <v>8</v>
      </c>
      <c r="L130" s="8">
        <v>134</v>
      </c>
      <c r="M130" s="8">
        <v>7</v>
      </c>
      <c r="N130" s="8">
        <v>4</v>
      </c>
      <c r="O130" s="8">
        <v>3</v>
      </c>
      <c r="P130" s="8">
        <v>149</v>
      </c>
      <c r="Q130" s="8">
        <v>535</v>
      </c>
      <c r="R130" s="8">
        <v>0</v>
      </c>
      <c r="S130" s="8">
        <v>532</v>
      </c>
      <c r="T130" s="8">
        <v>14</v>
      </c>
      <c r="U130" s="8">
        <v>141</v>
      </c>
      <c r="V130" s="24">
        <v>17.161290322580644</v>
      </c>
      <c r="W130" s="24">
        <v>107.25806451612902</v>
      </c>
      <c r="X130" s="24">
        <v>3.773049645390071</v>
      </c>
      <c r="Y130" s="24">
        <v>-0.25531914893617003</v>
      </c>
      <c r="Z130" s="24">
        <v>8.8125</v>
      </c>
    </row>
    <row r="131" spans="1:26" ht="15.75" x14ac:dyDescent="0.25">
      <c r="A131" s="93">
        <v>11</v>
      </c>
      <c r="B131" s="91"/>
      <c r="C131" s="4" t="s">
        <v>56</v>
      </c>
      <c r="D131" s="4" t="s">
        <v>32</v>
      </c>
      <c r="E131" s="4">
        <v>31</v>
      </c>
      <c r="F131" s="4">
        <v>25</v>
      </c>
      <c r="G131" s="4">
        <v>23</v>
      </c>
      <c r="H131" s="4">
        <v>345</v>
      </c>
      <c r="I131" s="4">
        <v>272</v>
      </c>
      <c r="J131" s="5">
        <v>640</v>
      </c>
      <c r="K131" s="4">
        <v>80</v>
      </c>
      <c r="L131" s="4">
        <v>546</v>
      </c>
      <c r="M131" s="5">
        <v>0</v>
      </c>
      <c r="N131" s="4">
        <v>0</v>
      </c>
      <c r="O131" s="4">
        <v>0</v>
      </c>
      <c r="P131" s="5">
        <v>626</v>
      </c>
      <c r="Q131" s="4">
        <v>1189</v>
      </c>
      <c r="R131" s="4">
        <v>22</v>
      </c>
      <c r="S131" s="4">
        <v>659</v>
      </c>
      <c r="T131" s="5">
        <v>14</v>
      </c>
      <c r="U131" s="5">
        <v>546</v>
      </c>
      <c r="V131" s="7">
        <v>21.258064516129032</v>
      </c>
      <c r="W131" s="7">
        <v>85.032258064516128</v>
      </c>
      <c r="X131" s="7">
        <v>1.2069597069597069</v>
      </c>
      <c r="Y131" s="6">
        <v>0.21245421245421245</v>
      </c>
      <c r="Z131" s="7">
        <v>21.84</v>
      </c>
    </row>
    <row r="132" spans="1:26" ht="15.75" x14ac:dyDescent="0.25">
      <c r="A132" s="94"/>
      <c r="B132" s="91"/>
      <c r="C132" s="4" t="s">
        <v>60</v>
      </c>
      <c r="D132" s="4" t="s">
        <v>32</v>
      </c>
      <c r="E132" s="4">
        <v>31</v>
      </c>
      <c r="F132" s="4">
        <v>0</v>
      </c>
      <c r="G132" s="4">
        <v>0</v>
      </c>
      <c r="H132" s="4">
        <v>0</v>
      </c>
      <c r="I132" s="4">
        <v>0</v>
      </c>
      <c r="J132" s="5">
        <v>0</v>
      </c>
      <c r="K132" s="4">
        <v>0</v>
      </c>
      <c r="L132" s="4">
        <v>0</v>
      </c>
      <c r="M132" s="5">
        <v>0</v>
      </c>
      <c r="N132" s="4">
        <v>0</v>
      </c>
      <c r="O132" s="4">
        <v>0</v>
      </c>
      <c r="P132" s="5">
        <v>0</v>
      </c>
      <c r="Q132" s="4">
        <v>0</v>
      </c>
      <c r="R132" s="4">
        <v>0</v>
      </c>
      <c r="S132" s="4">
        <v>0</v>
      </c>
      <c r="T132" s="5">
        <v>0</v>
      </c>
      <c r="U132" s="5">
        <v>0</v>
      </c>
      <c r="V132" s="7">
        <v>0</v>
      </c>
      <c r="W132" s="7" t="e">
        <v>#DIV/0!</v>
      </c>
      <c r="X132" s="7" t="e">
        <v>#DIV/0!</v>
      </c>
      <c r="Y132" s="6" t="e">
        <v>#DIV/0!</v>
      </c>
      <c r="Z132" s="7" t="e">
        <v>#DIV/0!</v>
      </c>
    </row>
    <row r="133" spans="1:26" ht="15.75" x14ac:dyDescent="0.25">
      <c r="A133" s="95"/>
      <c r="B133" s="92"/>
      <c r="C133" s="10"/>
      <c r="D133" s="31"/>
      <c r="E133" s="4">
        <v>31</v>
      </c>
      <c r="F133" s="8">
        <v>25</v>
      </c>
      <c r="G133" s="8">
        <v>23</v>
      </c>
      <c r="H133" s="8">
        <v>345</v>
      </c>
      <c r="I133" s="8">
        <v>272</v>
      </c>
      <c r="J133" s="8">
        <v>640</v>
      </c>
      <c r="K133" s="8">
        <v>80</v>
      </c>
      <c r="L133" s="8">
        <v>546</v>
      </c>
      <c r="M133" s="8">
        <v>0</v>
      </c>
      <c r="N133" s="8">
        <v>0</v>
      </c>
      <c r="O133" s="8">
        <v>0</v>
      </c>
      <c r="P133" s="8">
        <v>626</v>
      </c>
      <c r="Q133" s="8">
        <v>1189</v>
      </c>
      <c r="R133" s="8">
        <v>22</v>
      </c>
      <c r="S133" s="8">
        <v>659</v>
      </c>
      <c r="T133" s="8">
        <v>14</v>
      </c>
      <c r="U133" s="8">
        <v>546</v>
      </c>
      <c r="V133" s="24">
        <v>21.258064516129032</v>
      </c>
      <c r="W133" s="24">
        <v>85.032258064516128</v>
      </c>
      <c r="X133" s="24">
        <v>1.2069597069597069</v>
      </c>
      <c r="Y133" s="24">
        <v>0.21245421245421245</v>
      </c>
      <c r="Z133" s="24">
        <v>21.84</v>
      </c>
    </row>
    <row r="134" spans="1:26" ht="15.75" x14ac:dyDescent="0.25">
      <c r="A134" s="79" t="s">
        <v>88</v>
      </c>
      <c r="B134" s="80"/>
      <c r="C134" s="80"/>
      <c r="D134" s="81"/>
      <c r="E134" s="4">
        <v>31</v>
      </c>
      <c r="F134" s="20">
        <v>191</v>
      </c>
      <c r="G134" s="20">
        <v>183</v>
      </c>
      <c r="H134" s="20">
        <v>1671</v>
      </c>
      <c r="I134" s="20">
        <v>425</v>
      </c>
      <c r="J134" s="11">
        <v>2279</v>
      </c>
      <c r="K134" s="20">
        <v>182</v>
      </c>
      <c r="L134" s="20">
        <v>1834</v>
      </c>
      <c r="M134" s="11">
        <v>124</v>
      </c>
      <c r="N134" s="20">
        <v>60</v>
      </c>
      <c r="O134" s="20">
        <v>64</v>
      </c>
      <c r="P134" s="11">
        <v>2140</v>
      </c>
      <c r="Q134" s="20">
        <v>6710</v>
      </c>
      <c r="R134" s="20">
        <v>29</v>
      </c>
      <c r="S134" s="20">
        <v>5592</v>
      </c>
      <c r="T134" s="11">
        <v>139</v>
      </c>
      <c r="U134" s="11">
        <v>1958</v>
      </c>
      <c r="V134" s="22">
        <v>180.38709677419354</v>
      </c>
      <c r="W134" s="12">
        <v>94.44350616449924</v>
      </c>
      <c r="X134" s="12">
        <v>2.8559754851889685</v>
      </c>
      <c r="Y134" s="12">
        <v>0.16802860061287045</v>
      </c>
      <c r="Z134" s="12">
        <v>10.25130890052356</v>
      </c>
    </row>
    <row r="135" spans="1:26" ht="15.75" x14ac:dyDescent="0.25">
      <c r="A135" s="100" t="s">
        <v>84</v>
      </c>
      <c r="B135" s="101"/>
      <c r="C135" s="101"/>
      <c r="D135" s="102"/>
      <c r="E135" s="4">
        <v>31</v>
      </c>
      <c r="F135" s="63">
        <v>248</v>
      </c>
      <c r="G135" s="63">
        <v>231</v>
      </c>
      <c r="H135" s="63">
        <v>2188</v>
      </c>
      <c r="I135" s="63">
        <v>580</v>
      </c>
      <c r="J135" s="63">
        <v>2999</v>
      </c>
      <c r="K135" s="63">
        <v>411</v>
      </c>
      <c r="L135" s="63">
        <v>2256</v>
      </c>
      <c r="M135" s="63">
        <v>153</v>
      </c>
      <c r="N135" s="63">
        <v>74</v>
      </c>
      <c r="O135" s="63">
        <v>79</v>
      </c>
      <c r="P135" s="63">
        <v>2820</v>
      </c>
      <c r="Q135" s="63">
        <v>8346</v>
      </c>
      <c r="R135" s="63">
        <v>31</v>
      </c>
      <c r="S135" s="63">
        <v>7197</v>
      </c>
      <c r="T135" s="63">
        <v>179</v>
      </c>
      <c r="U135" s="63">
        <v>2409</v>
      </c>
      <c r="V135" s="68">
        <v>232.16129032258064</v>
      </c>
      <c r="W135" s="69">
        <v>93.613423517169608</v>
      </c>
      <c r="X135" s="69">
        <v>2.9875466998754669</v>
      </c>
      <c r="Y135" s="69">
        <v>0.20381901203819017</v>
      </c>
      <c r="Z135" s="69">
        <v>9.7137096774193541</v>
      </c>
    </row>
    <row r="136" spans="1:26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1:26" ht="15" customHeight="1" x14ac:dyDescent="0.25">
      <c r="A137" s="78" t="s">
        <v>1</v>
      </c>
      <c r="B137" s="78" t="s">
        <v>2</v>
      </c>
      <c r="C137" s="72" t="s">
        <v>3</v>
      </c>
      <c r="D137" s="72" t="s">
        <v>4</v>
      </c>
      <c r="E137" s="75" t="s">
        <v>5</v>
      </c>
      <c r="F137" s="72" t="s">
        <v>6</v>
      </c>
      <c r="G137" s="72" t="s">
        <v>7</v>
      </c>
      <c r="H137" s="72" t="s">
        <v>8</v>
      </c>
      <c r="I137" s="75" t="s">
        <v>9</v>
      </c>
      <c r="J137" s="72" t="s">
        <v>10</v>
      </c>
      <c r="K137" s="72" t="s">
        <v>11</v>
      </c>
      <c r="L137" s="72" t="s">
        <v>12</v>
      </c>
      <c r="M137" s="72" t="s">
        <v>13</v>
      </c>
      <c r="N137" s="72" t="s">
        <v>14</v>
      </c>
      <c r="O137" s="72" t="s">
        <v>15</v>
      </c>
      <c r="P137" s="72" t="s">
        <v>16</v>
      </c>
      <c r="Q137" s="72" t="s">
        <v>17</v>
      </c>
      <c r="R137" s="72" t="s">
        <v>18</v>
      </c>
      <c r="S137" s="72" t="s">
        <v>19</v>
      </c>
      <c r="T137" s="72" t="s">
        <v>20</v>
      </c>
      <c r="U137" s="73" t="s">
        <v>21</v>
      </c>
      <c r="V137" s="2" t="s">
        <v>22</v>
      </c>
      <c r="W137" s="2" t="s">
        <v>23</v>
      </c>
      <c r="X137" s="2" t="s">
        <v>24</v>
      </c>
      <c r="Y137" s="2" t="s">
        <v>25</v>
      </c>
      <c r="Z137" s="2" t="s">
        <v>26</v>
      </c>
    </row>
    <row r="138" spans="1:26" ht="15" customHeight="1" x14ac:dyDescent="0.25">
      <c r="A138" s="78"/>
      <c r="B138" s="78"/>
      <c r="C138" s="72"/>
      <c r="D138" s="72"/>
      <c r="E138" s="75"/>
      <c r="F138" s="72"/>
      <c r="G138" s="72"/>
      <c r="H138" s="72"/>
      <c r="I138" s="75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3"/>
      <c r="V138" s="71" t="s">
        <v>27</v>
      </c>
      <c r="W138" s="71" t="s">
        <v>28</v>
      </c>
      <c r="X138" s="71" t="s">
        <v>29</v>
      </c>
      <c r="Y138" s="71" t="s">
        <v>30</v>
      </c>
      <c r="Z138" s="71" t="s">
        <v>31</v>
      </c>
    </row>
    <row r="139" spans="1:26" x14ac:dyDescent="0.25">
      <c r="A139" s="78"/>
      <c r="B139" s="78"/>
      <c r="C139" s="72"/>
      <c r="D139" s="72"/>
      <c r="E139" s="75"/>
      <c r="F139" s="72"/>
      <c r="G139" s="72"/>
      <c r="H139" s="72"/>
      <c r="I139" s="75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3"/>
      <c r="V139" s="74"/>
      <c r="W139" s="71"/>
      <c r="X139" s="71"/>
      <c r="Y139" s="71"/>
      <c r="Z139" s="71"/>
    </row>
    <row r="140" spans="1:26" x14ac:dyDescent="0.25">
      <c r="A140" s="78"/>
      <c r="B140" s="78"/>
      <c r="C140" s="72"/>
      <c r="D140" s="72"/>
      <c r="E140" s="75"/>
      <c r="F140" s="72"/>
      <c r="G140" s="3">
        <v>1</v>
      </c>
      <c r="H140" s="3">
        <v>2</v>
      </c>
      <c r="I140" s="3">
        <v>3</v>
      </c>
      <c r="J140" s="3">
        <v>4</v>
      </c>
      <c r="K140" s="3">
        <v>5</v>
      </c>
      <c r="L140" s="3">
        <v>6</v>
      </c>
      <c r="M140" s="3">
        <v>7</v>
      </c>
      <c r="N140" s="3">
        <v>8</v>
      </c>
      <c r="O140" s="3">
        <v>9</v>
      </c>
      <c r="P140" s="3">
        <v>10</v>
      </c>
      <c r="Q140" s="3">
        <v>11</v>
      </c>
      <c r="R140" s="3">
        <v>12</v>
      </c>
      <c r="S140" s="3">
        <v>13</v>
      </c>
      <c r="T140" s="3">
        <v>14</v>
      </c>
      <c r="U140" s="73"/>
      <c r="V140" s="16">
        <v>15</v>
      </c>
      <c r="W140" s="16">
        <v>16</v>
      </c>
      <c r="X140" s="16">
        <v>17</v>
      </c>
      <c r="Y140" s="16">
        <v>18</v>
      </c>
      <c r="Z140" s="16">
        <v>19</v>
      </c>
    </row>
    <row r="141" spans="1:26" ht="15.75" x14ac:dyDescent="0.25">
      <c r="A141" s="82">
        <v>1</v>
      </c>
      <c r="B141" s="82" t="s">
        <v>80</v>
      </c>
      <c r="C141" s="5" t="s">
        <v>68</v>
      </c>
      <c r="D141" s="5" t="s">
        <v>36</v>
      </c>
      <c r="E141" s="4">
        <v>31</v>
      </c>
      <c r="F141" s="5">
        <v>0</v>
      </c>
      <c r="G141" s="5">
        <v>3</v>
      </c>
      <c r="H141" s="5">
        <v>313</v>
      </c>
      <c r="I141" s="5">
        <v>0</v>
      </c>
      <c r="J141" s="5">
        <v>316</v>
      </c>
      <c r="K141" s="5">
        <v>300</v>
      </c>
      <c r="L141" s="5">
        <v>0</v>
      </c>
      <c r="M141" s="5">
        <v>12</v>
      </c>
      <c r="N141" s="5">
        <v>12</v>
      </c>
      <c r="O141" s="5">
        <v>0</v>
      </c>
      <c r="P141" s="5">
        <v>312</v>
      </c>
      <c r="Q141" s="5">
        <v>12</v>
      </c>
      <c r="R141" s="5">
        <v>11</v>
      </c>
      <c r="S141" s="5">
        <v>178</v>
      </c>
      <c r="T141" s="5">
        <v>4</v>
      </c>
      <c r="U141" s="5">
        <v>12</v>
      </c>
      <c r="V141" s="7">
        <v>5.741935483870968</v>
      </c>
      <c r="W141" s="7" t="e">
        <v>#DIV/0!</v>
      </c>
      <c r="X141" s="7">
        <v>14.833333333333334</v>
      </c>
      <c r="Y141" s="6">
        <v>-14.833333333333334</v>
      </c>
      <c r="Z141" s="7" t="e">
        <v>#DIV/0!</v>
      </c>
    </row>
    <row r="142" spans="1:26" ht="15.75" x14ac:dyDescent="0.25">
      <c r="A142" s="82"/>
      <c r="B142" s="82"/>
      <c r="C142" s="8" t="s">
        <v>68</v>
      </c>
      <c r="D142" s="8" t="s">
        <v>36</v>
      </c>
      <c r="E142" s="4">
        <v>31</v>
      </c>
      <c r="F142" s="8">
        <v>0</v>
      </c>
      <c r="G142" s="8">
        <v>3</v>
      </c>
      <c r="H142" s="8">
        <v>313</v>
      </c>
      <c r="I142" s="8">
        <v>0</v>
      </c>
      <c r="J142" s="8">
        <v>316</v>
      </c>
      <c r="K142" s="8">
        <v>300</v>
      </c>
      <c r="L142" s="8">
        <v>0</v>
      </c>
      <c r="M142" s="8">
        <v>12</v>
      </c>
      <c r="N142" s="8">
        <v>12</v>
      </c>
      <c r="O142" s="8">
        <v>0</v>
      </c>
      <c r="P142" s="8">
        <v>312</v>
      </c>
      <c r="Q142" s="8">
        <v>12</v>
      </c>
      <c r="R142" s="8">
        <v>11</v>
      </c>
      <c r="S142" s="8">
        <v>178</v>
      </c>
      <c r="T142" s="8">
        <v>4</v>
      </c>
      <c r="U142" s="8">
        <v>12</v>
      </c>
      <c r="V142" s="24">
        <v>5.741935483870968</v>
      </c>
      <c r="W142" s="24" t="e">
        <v>#DIV/0!</v>
      </c>
      <c r="X142" s="24">
        <v>14.833333333333334</v>
      </c>
      <c r="Y142" s="24">
        <v>-14.833333333333334</v>
      </c>
      <c r="Z142" s="24" t="e">
        <v>#DIV/0!</v>
      </c>
    </row>
    <row r="143" spans="1:26" ht="15.75" x14ac:dyDescent="0.25">
      <c r="A143" s="83" t="s">
        <v>70</v>
      </c>
      <c r="B143" s="84"/>
      <c r="C143" s="84"/>
      <c r="D143" s="85"/>
      <c r="E143" s="4">
        <v>31</v>
      </c>
      <c r="F143" s="15">
        <v>388</v>
      </c>
      <c r="G143" s="15">
        <v>318</v>
      </c>
      <c r="H143" s="15">
        <v>3118</v>
      </c>
      <c r="I143" s="15">
        <v>806</v>
      </c>
      <c r="J143" s="15">
        <v>4242</v>
      </c>
      <c r="K143" s="15">
        <v>1100</v>
      </c>
      <c r="L143" s="15">
        <v>2615</v>
      </c>
      <c r="M143" s="15">
        <v>271</v>
      </c>
      <c r="N143" s="15">
        <v>141</v>
      </c>
      <c r="O143" s="15">
        <v>130</v>
      </c>
      <c r="P143" s="15">
        <v>3986</v>
      </c>
      <c r="Q143" s="15">
        <v>10519</v>
      </c>
      <c r="R143" s="15">
        <v>53</v>
      </c>
      <c r="S143" s="15">
        <v>9915</v>
      </c>
      <c r="T143" s="15">
        <v>256</v>
      </c>
      <c r="U143" s="15">
        <v>2886</v>
      </c>
      <c r="V143" s="32">
        <v>319.83870967741933</v>
      </c>
      <c r="W143" s="33">
        <v>82.432657133355505</v>
      </c>
      <c r="X143" s="33">
        <v>3.4355509355509355</v>
      </c>
      <c r="Y143" s="33">
        <v>0.73215523215523248</v>
      </c>
      <c r="Z143" s="33">
        <v>7.4381443298969074</v>
      </c>
    </row>
  </sheetData>
  <mergeCells count="264">
    <mergeCell ref="X138:X139"/>
    <mergeCell ref="Y138:Y139"/>
    <mergeCell ref="Z138:Z139"/>
    <mergeCell ref="A141:A142"/>
    <mergeCell ref="B141:B142"/>
    <mergeCell ref="A143:D143"/>
    <mergeCell ref="R137:R139"/>
    <mergeCell ref="S137:S139"/>
    <mergeCell ref="T137:T139"/>
    <mergeCell ref="U137:U140"/>
    <mergeCell ref="V138:V139"/>
    <mergeCell ref="W138:W139"/>
    <mergeCell ref="L137:L139"/>
    <mergeCell ref="M137:M139"/>
    <mergeCell ref="N137:N139"/>
    <mergeCell ref="O137:O139"/>
    <mergeCell ref="P137:P139"/>
    <mergeCell ref="Q137:Q139"/>
    <mergeCell ref="F137:F140"/>
    <mergeCell ref="G137:G139"/>
    <mergeCell ref="H137:H139"/>
    <mergeCell ref="I137:I139"/>
    <mergeCell ref="J137:J139"/>
    <mergeCell ref="K137:K139"/>
    <mergeCell ref="A135:D135"/>
    <mergeCell ref="A137:A140"/>
    <mergeCell ref="B137:B140"/>
    <mergeCell ref="C137:C140"/>
    <mergeCell ref="D137:D140"/>
    <mergeCell ref="E137:E140"/>
    <mergeCell ref="A123:A124"/>
    <mergeCell ref="A125:A126"/>
    <mergeCell ref="A127:A128"/>
    <mergeCell ref="A129:A130"/>
    <mergeCell ref="A131:A133"/>
    <mergeCell ref="A134:D134"/>
    <mergeCell ref="X108:X109"/>
    <mergeCell ref="Y108:Y109"/>
    <mergeCell ref="Z108:Z109"/>
    <mergeCell ref="A111:A112"/>
    <mergeCell ref="B111:B133"/>
    <mergeCell ref="A113:A114"/>
    <mergeCell ref="A115:A116"/>
    <mergeCell ref="A117:A118"/>
    <mergeCell ref="A119:A120"/>
    <mergeCell ref="A121:A122"/>
    <mergeCell ref="R107:R109"/>
    <mergeCell ref="S107:S109"/>
    <mergeCell ref="T107:T109"/>
    <mergeCell ref="U107:U110"/>
    <mergeCell ref="V108:V109"/>
    <mergeCell ref="W108:W109"/>
    <mergeCell ref="L107:L109"/>
    <mergeCell ref="M107:M109"/>
    <mergeCell ref="N107:N109"/>
    <mergeCell ref="O107:O109"/>
    <mergeCell ref="P107:P109"/>
    <mergeCell ref="Q107:Q109"/>
    <mergeCell ref="F107:F110"/>
    <mergeCell ref="G107:G109"/>
    <mergeCell ref="H107:H109"/>
    <mergeCell ref="I107:I109"/>
    <mergeCell ref="J107:J109"/>
    <mergeCell ref="K107:K109"/>
    <mergeCell ref="A104:D104"/>
    <mergeCell ref="A107:A110"/>
    <mergeCell ref="B107:B110"/>
    <mergeCell ref="C107:C110"/>
    <mergeCell ref="D107:D110"/>
    <mergeCell ref="E107:E110"/>
    <mergeCell ref="Y92:Y93"/>
    <mergeCell ref="Z92:Z93"/>
    <mergeCell ref="A95:A96"/>
    <mergeCell ref="B95:B103"/>
    <mergeCell ref="A97:A98"/>
    <mergeCell ref="A99:A101"/>
    <mergeCell ref="A102:A103"/>
    <mergeCell ref="R91:R93"/>
    <mergeCell ref="S91:S93"/>
    <mergeCell ref="T91:T93"/>
    <mergeCell ref="U91:U94"/>
    <mergeCell ref="V92:V93"/>
    <mergeCell ref="W92:W93"/>
    <mergeCell ref="L91:L93"/>
    <mergeCell ref="M91:M93"/>
    <mergeCell ref="N91:N93"/>
    <mergeCell ref="O91:O93"/>
    <mergeCell ref="P91:P93"/>
    <mergeCell ref="Q91:Q93"/>
    <mergeCell ref="F91:F94"/>
    <mergeCell ref="G91:G93"/>
    <mergeCell ref="H91:H93"/>
    <mergeCell ref="I91:I93"/>
    <mergeCell ref="J91:J93"/>
    <mergeCell ref="K91:K93"/>
    <mergeCell ref="A88:D88"/>
    <mergeCell ref="A91:A94"/>
    <mergeCell ref="B91:B94"/>
    <mergeCell ref="C91:C94"/>
    <mergeCell ref="D91:D94"/>
    <mergeCell ref="E91:E94"/>
    <mergeCell ref="X74:X75"/>
    <mergeCell ref="J73:J75"/>
    <mergeCell ref="K73:K75"/>
    <mergeCell ref="X92:X93"/>
    <mergeCell ref="Y74:Y75"/>
    <mergeCell ref="Z74:Z75"/>
    <mergeCell ref="A77:A78"/>
    <mergeCell ref="B77:B87"/>
    <mergeCell ref="A79:A80"/>
    <mergeCell ref="A81:A83"/>
    <mergeCell ref="A84:A85"/>
    <mergeCell ref="A86:A87"/>
    <mergeCell ref="R73:R75"/>
    <mergeCell ref="S73:S75"/>
    <mergeCell ref="T73:T75"/>
    <mergeCell ref="U73:U76"/>
    <mergeCell ref="V74:V75"/>
    <mergeCell ref="W74:W75"/>
    <mergeCell ref="L73:L75"/>
    <mergeCell ref="M73:M75"/>
    <mergeCell ref="N73:N75"/>
    <mergeCell ref="O73:O75"/>
    <mergeCell ref="P73:P75"/>
    <mergeCell ref="Q73:Q75"/>
    <mergeCell ref="F73:F76"/>
    <mergeCell ref="G73:G75"/>
    <mergeCell ref="H73:H75"/>
    <mergeCell ref="I73:I75"/>
    <mergeCell ref="A70:C70"/>
    <mergeCell ref="A73:A76"/>
    <mergeCell ref="B73:B76"/>
    <mergeCell ref="C73:C76"/>
    <mergeCell ref="D73:D76"/>
    <mergeCell ref="E73:E76"/>
    <mergeCell ref="X61:X62"/>
    <mergeCell ref="Y61:Y62"/>
    <mergeCell ref="Z61:Z62"/>
    <mergeCell ref="A64:A65"/>
    <mergeCell ref="B64:B69"/>
    <mergeCell ref="A66:A67"/>
    <mergeCell ref="A68:A69"/>
    <mergeCell ref="R60:R62"/>
    <mergeCell ref="S60:S62"/>
    <mergeCell ref="T60:T62"/>
    <mergeCell ref="U60:U63"/>
    <mergeCell ref="V61:V62"/>
    <mergeCell ref="W61:W62"/>
    <mergeCell ref="L60:L62"/>
    <mergeCell ref="M60:M62"/>
    <mergeCell ref="N60:N62"/>
    <mergeCell ref="O60:O62"/>
    <mergeCell ref="P60:P62"/>
    <mergeCell ref="Q60:Q62"/>
    <mergeCell ref="F60:F63"/>
    <mergeCell ref="G60:G62"/>
    <mergeCell ref="H60:H62"/>
    <mergeCell ref="I60:I62"/>
    <mergeCell ref="J60:J62"/>
    <mergeCell ref="K60:K62"/>
    <mergeCell ref="W53:W54"/>
    <mergeCell ref="X53:X54"/>
    <mergeCell ref="I52:I54"/>
    <mergeCell ref="J52:J54"/>
    <mergeCell ref="Y53:Y54"/>
    <mergeCell ref="Z53:Z54"/>
    <mergeCell ref="A57:D57"/>
    <mergeCell ref="A60:A63"/>
    <mergeCell ref="B60:B63"/>
    <mergeCell ref="C60:C63"/>
    <mergeCell ref="D60:D63"/>
    <mergeCell ref="E60:E63"/>
    <mergeCell ref="Q52:Q54"/>
    <mergeCell ref="R52:R54"/>
    <mergeCell ref="S52:S54"/>
    <mergeCell ref="T52:T54"/>
    <mergeCell ref="U52:U55"/>
    <mergeCell ref="V53:V54"/>
    <mergeCell ref="K52:K54"/>
    <mergeCell ref="L52:L54"/>
    <mergeCell ref="M52:M54"/>
    <mergeCell ref="N52:N54"/>
    <mergeCell ref="O52:O54"/>
    <mergeCell ref="P52:P54"/>
    <mergeCell ref="E52:E55"/>
    <mergeCell ref="F52:F55"/>
    <mergeCell ref="G52:G54"/>
    <mergeCell ref="H52:H54"/>
    <mergeCell ref="A43:A44"/>
    <mergeCell ref="A45:A46"/>
    <mergeCell ref="A47:A48"/>
    <mergeCell ref="A49:D49"/>
    <mergeCell ref="A52:A55"/>
    <mergeCell ref="B52:B55"/>
    <mergeCell ref="C52:C55"/>
    <mergeCell ref="D52:D55"/>
    <mergeCell ref="X25:X26"/>
    <mergeCell ref="I24:I26"/>
    <mergeCell ref="J24:J26"/>
    <mergeCell ref="K24:K26"/>
    <mergeCell ref="Y25:Y26"/>
    <mergeCell ref="Z25:Z26"/>
    <mergeCell ref="A28:A32"/>
    <mergeCell ref="B28:B48"/>
    <mergeCell ref="A33:A34"/>
    <mergeCell ref="A35:A36"/>
    <mergeCell ref="A37:A38"/>
    <mergeCell ref="A39:A40"/>
    <mergeCell ref="A41:A42"/>
    <mergeCell ref="R24:R26"/>
    <mergeCell ref="S24:S26"/>
    <mergeCell ref="T24:T26"/>
    <mergeCell ref="U24:U27"/>
    <mergeCell ref="V25:V26"/>
    <mergeCell ref="W25:W26"/>
    <mergeCell ref="L24:L26"/>
    <mergeCell ref="M24:M26"/>
    <mergeCell ref="N24:N26"/>
    <mergeCell ref="O24:O26"/>
    <mergeCell ref="P24:P26"/>
    <mergeCell ref="Q24:Q26"/>
    <mergeCell ref="F24:F27"/>
    <mergeCell ref="G24:G26"/>
    <mergeCell ref="H24:H26"/>
    <mergeCell ref="Y4:Y5"/>
    <mergeCell ref="Z4:Z5"/>
    <mergeCell ref="A7:A8"/>
    <mergeCell ref="B7:B20"/>
    <mergeCell ref="A9:A10"/>
    <mergeCell ref="A11:A12"/>
    <mergeCell ref="A13:A14"/>
    <mergeCell ref="A15:A16"/>
    <mergeCell ref="A17:A18"/>
    <mergeCell ref="A19:A20"/>
    <mergeCell ref="S3:S5"/>
    <mergeCell ref="T3:T5"/>
    <mergeCell ref="U3:U6"/>
    <mergeCell ref="V4:V5"/>
    <mergeCell ref="W4:W5"/>
    <mergeCell ref="X4:X5"/>
    <mergeCell ref="M3:M5"/>
    <mergeCell ref="N3:N5"/>
    <mergeCell ref="R3:R5"/>
    <mergeCell ref="G3:G5"/>
    <mergeCell ref="H3:H5"/>
    <mergeCell ref="I3:I5"/>
    <mergeCell ref="J3:J5"/>
    <mergeCell ref="K3:K5"/>
    <mergeCell ref="O3:O5"/>
    <mergeCell ref="P3:P5"/>
    <mergeCell ref="Q3:Q5"/>
    <mergeCell ref="L3:L5"/>
    <mergeCell ref="A21:D21"/>
    <mergeCell ref="A24:A27"/>
    <mergeCell ref="B24:B27"/>
    <mergeCell ref="C24:C27"/>
    <mergeCell ref="D24:D27"/>
    <mergeCell ref="E24:E27"/>
    <mergeCell ref="A3:A6"/>
    <mergeCell ref="B3:B6"/>
    <mergeCell ref="C3:C6"/>
    <mergeCell ref="D3:D6"/>
    <mergeCell ref="E3:E6"/>
    <mergeCell ref="F3:F6"/>
  </mergeCells>
  <printOptions horizontalCentered="1"/>
  <pageMargins left="1.1811023622047245" right="0.39370078740157483" top="0.19685039370078741" bottom="0.74803149606299213" header="0.31496062992125984" footer="0.31496062992125984"/>
  <pageSetup paperSize="5" scale="65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43"/>
  <sheetViews>
    <sheetView tabSelected="1" zoomScale="80" zoomScaleNormal="80" workbookViewId="0">
      <pane xSplit="1" ySplit="1" topLeftCell="B2" activePane="bottomRight" state="frozen"/>
      <selection activeCell="A60" sqref="A60:XFD60"/>
      <selection pane="topRight" activeCell="A60" sqref="A60:XFD60"/>
      <selection pane="bottomLeft" activeCell="A60" sqref="A60:XFD60"/>
      <selection pane="bottomRight" activeCell="F12" sqref="F12"/>
    </sheetView>
  </sheetViews>
  <sheetFormatPr defaultRowHeight="15" x14ac:dyDescent="0.25"/>
  <cols>
    <col min="1" max="1" width="4.85546875" style="17" customWidth="1"/>
    <col min="2" max="2" width="11.5703125" style="17" customWidth="1"/>
    <col min="3" max="3" width="14.28515625" style="17" customWidth="1"/>
    <col min="4" max="4" width="17.5703125" style="17" bestFit="1" customWidth="1"/>
    <col min="5" max="5" width="6.28515625" style="17" customWidth="1"/>
    <col min="6" max="6" width="9.85546875" style="17" customWidth="1"/>
    <col min="7" max="8" width="9.140625" style="17"/>
    <col min="9" max="18" width="0" style="17" hidden="1" customWidth="1"/>
    <col min="19" max="16384" width="9.140625" style="17"/>
  </cols>
  <sheetData>
    <row r="1" spans="1:26" ht="15.75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ht="15.75" x14ac:dyDescent="0.25">
      <c r="A2" s="1" t="s">
        <v>91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x14ac:dyDescent="0.25">
      <c r="A3" s="78" t="s">
        <v>1</v>
      </c>
      <c r="B3" s="78" t="s">
        <v>2</v>
      </c>
      <c r="C3" s="72" t="s">
        <v>3</v>
      </c>
      <c r="D3" s="72" t="s">
        <v>4</v>
      </c>
      <c r="E3" s="75" t="s">
        <v>5</v>
      </c>
      <c r="F3" s="72" t="s">
        <v>6</v>
      </c>
      <c r="G3" s="72" t="s">
        <v>7</v>
      </c>
      <c r="H3" s="72" t="s">
        <v>8</v>
      </c>
      <c r="I3" s="75" t="s">
        <v>9</v>
      </c>
      <c r="J3" s="72" t="s">
        <v>10</v>
      </c>
      <c r="K3" s="72" t="s">
        <v>11</v>
      </c>
      <c r="L3" s="72" t="s">
        <v>12</v>
      </c>
      <c r="M3" s="72" t="s">
        <v>13</v>
      </c>
      <c r="N3" s="72" t="s">
        <v>14</v>
      </c>
      <c r="O3" s="72" t="s">
        <v>15</v>
      </c>
      <c r="P3" s="72" t="s">
        <v>16</v>
      </c>
      <c r="Q3" s="72" t="s">
        <v>17</v>
      </c>
      <c r="R3" s="72" t="s">
        <v>18</v>
      </c>
      <c r="S3" s="72" t="s">
        <v>19</v>
      </c>
      <c r="T3" s="72" t="s">
        <v>20</v>
      </c>
      <c r="U3" s="73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</row>
    <row r="4" spans="1:26" x14ac:dyDescent="0.25">
      <c r="A4" s="78"/>
      <c r="B4" s="78"/>
      <c r="C4" s="72"/>
      <c r="D4" s="72"/>
      <c r="E4" s="75"/>
      <c r="F4" s="72"/>
      <c r="G4" s="72"/>
      <c r="H4" s="72"/>
      <c r="I4" s="75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3"/>
      <c r="V4" s="71" t="s">
        <v>27</v>
      </c>
      <c r="W4" s="71" t="s">
        <v>28</v>
      </c>
      <c r="X4" s="71" t="s">
        <v>29</v>
      </c>
      <c r="Y4" s="71" t="s">
        <v>30</v>
      </c>
      <c r="Z4" s="71" t="s">
        <v>31</v>
      </c>
    </row>
    <row r="5" spans="1:26" x14ac:dyDescent="0.25">
      <c r="A5" s="78"/>
      <c r="B5" s="78"/>
      <c r="C5" s="72"/>
      <c r="D5" s="72"/>
      <c r="E5" s="75"/>
      <c r="F5" s="72"/>
      <c r="G5" s="72"/>
      <c r="H5" s="72"/>
      <c r="I5" s="75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3"/>
      <c r="V5" s="74"/>
      <c r="W5" s="71"/>
      <c r="X5" s="71"/>
      <c r="Y5" s="71"/>
      <c r="Z5" s="71"/>
    </row>
    <row r="6" spans="1:26" x14ac:dyDescent="0.25">
      <c r="A6" s="78"/>
      <c r="B6" s="78"/>
      <c r="C6" s="72"/>
      <c r="D6" s="72"/>
      <c r="E6" s="75"/>
      <c r="F6" s="72"/>
      <c r="G6" s="3">
        <v>1</v>
      </c>
      <c r="H6" s="3">
        <v>2</v>
      </c>
      <c r="I6" s="3">
        <v>3</v>
      </c>
      <c r="J6" s="3">
        <v>4</v>
      </c>
      <c r="K6" s="3">
        <v>5</v>
      </c>
      <c r="L6" s="3">
        <v>6</v>
      </c>
      <c r="M6" s="3">
        <v>7</v>
      </c>
      <c r="N6" s="3">
        <v>8</v>
      </c>
      <c r="O6" s="3">
        <v>9</v>
      </c>
      <c r="P6" s="3">
        <v>10</v>
      </c>
      <c r="Q6" s="3">
        <v>11</v>
      </c>
      <c r="R6" s="3">
        <v>12</v>
      </c>
      <c r="S6" s="3">
        <v>13</v>
      </c>
      <c r="T6" s="3">
        <v>14</v>
      </c>
      <c r="U6" s="73"/>
      <c r="V6" s="16">
        <v>15</v>
      </c>
      <c r="W6" s="16">
        <v>16</v>
      </c>
      <c r="X6" s="16">
        <v>17</v>
      </c>
      <c r="Y6" s="16">
        <v>18</v>
      </c>
      <c r="Z6" s="16">
        <v>19</v>
      </c>
    </row>
    <row r="7" spans="1:26" ht="15.75" x14ac:dyDescent="0.25">
      <c r="A7" s="76">
        <v>1</v>
      </c>
      <c r="B7" s="96" t="s">
        <v>62</v>
      </c>
      <c r="C7" s="4" t="s">
        <v>63</v>
      </c>
      <c r="D7" s="4" t="s">
        <v>43</v>
      </c>
      <c r="E7" s="4">
        <v>30</v>
      </c>
      <c r="F7" s="4">
        <v>14</v>
      </c>
      <c r="G7" s="4">
        <v>8</v>
      </c>
      <c r="H7" s="4">
        <v>13</v>
      </c>
      <c r="I7" s="4">
        <v>92</v>
      </c>
      <c r="J7" s="5">
        <v>113</v>
      </c>
      <c r="K7" s="4">
        <v>86</v>
      </c>
      <c r="L7" s="4">
        <v>0</v>
      </c>
      <c r="M7" s="5">
        <v>19</v>
      </c>
      <c r="N7" s="4">
        <v>5</v>
      </c>
      <c r="O7" s="4">
        <v>14</v>
      </c>
      <c r="P7" s="5">
        <v>105</v>
      </c>
      <c r="Q7" s="4">
        <v>124</v>
      </c>
      <c r="R7" s="4">
        <v>0</v>
      </c>
      <c r="S7" s="4">
        <v>270</v>
      </c>
      <c r="T7" s="5">
        <v>8</v>
      </c>
      <c r="U7" s="5">
        <v>19</v>
      </c>
      <c r="V7" s="7">
        <v>9</v>
      </c>
      <c r="W7" s="7">
        <v>64.285714285714292</v>
      </c>
      <c r="X7" s="7">
        <v>14.210526315789474</v>
      </c>
      <c r="Y7" s="6">
        <v>7.8947368421052628</v>
      </c>
      <c r="Z7" s="7">
        <v>1.3571428571428572</v>
      </c>
    </row>
    <row r="8" spans="1:26" ht="15.75" x14ac:dyDescent="0.25">
      <c r="A8" s="77"/>
      <c r="B8" s="97"/>
      <c r="C8" s="8" t="s">
        <v>63</v>
      </c>
      <c r="D8" s="8" t="s">
        <v>43</v>
      </c>
      <c r="E8" s="4">
        <v>30</v>
      </c>
      <c r="F8" s="8">
        <v>14</v>
      </c>
      <c r="G8" s="8">
        <v>8</v>
      </c>
      <c r="H8" s="8">
        <v>13</v>
      </c>
      <c r="I8" s="8">
        <v>92</v>
      </c>
      <c r="J8" s="8">
        <v>113</v>
      </c>
      <c r="K8" s="8">
        <v>86</v>
      </c>
      <c r="L8" s="8">
        <v>0</v>
      </c>
      <c r="M8" s="8">
        <v>19</v>
      </c>
      <c r="N8" s="8">
        <v>5</v>
      </c>
      <c r="O8" s="8">
        <v>14</v>
      </c>
      <c r="P8" s="8">
        <v>105</v>
      </c>
      <c r="Q8" s="8">
        <v>124</v>
      </c>
      <c r="R8" s="8">
        <v>0</v>
      </c>
      <c r="S8" s="8">
        <v>270</v>
      </c>
      <c r="T8" s="8">
        <v>8</v>
      </c>
      <c r="U8" s="8">
        <v>19</v>
      </c>
      <c r="V8" s="24">
        <v>9</v>
      </c>
      <c r="W8" s="24">
        <v>64.285714285714292</v>
      </c>
      <c r="X8" s="24">
        <v>14.210526315789474</v>
      </c>
      <c r="Y8" s="24">
        <v>7.8947368421052628</v>
      </c>
      <c r="Z8" s="24">
        <v>1.3571428571428572</v>
      </c>
    </row>
    <row r="9" spans="1:26" ht="15.75" x14ac:dyDescent="0.25">
      <c r="A9" s="76">
        <v>2</v>
      </c>
      <c r="B9" s="97"/>
      <c r="C9" s="4" t="s">
        <v>64</v>
      </c>
      <c r="D9" s="4" t="s">
        <v>43</v>
      </c>
      <c r="E9" s="4">
        <v>30</v>
      </c>
      <c r="F9" s="4">
        <v>5</v>
      </c>
      <c r="G9" s="4">
        <v>1</v>
      </c>
      <c r="H9" s="4">
        <v>70</v>
      </c>
      <c r="I9" s="4">
        <v>13</v>
      </c>
      <c r="J9" s="5">
        <v>84</v>
      </c>
      <c r="K9" s="4">
        <v>70</v>
      </c>
      <c r="L9" s="4">
        <v>1</v>
      </c>
      <c r="M9" s="5">
        <v>10</v>
      </c>
      <c r="N9" s="4">
        <v>7</v>
      </c>
      <c r="O9" s="4">
        <v>3</v>
      </c>
      <c r="P9" s="5">
        <v>81</v>
      </c>
      <c r="Q9" s="4">
        <v>20</v>
      </c>
      <c r="R9" s="4">
        <v>3</v>
      </c>
      <c r="S9" s="4">
        <v>101</v>
      </c>
      <c r="T9" s="5">
        <v>3</v>
      </c>
      <c r="U9" s="5">
        <v>11</v>
      </c>
      <c r="V9" s="7">
        <v>3.3666666666666667</v>
      </c>
      <c r="W9" s="7">
        <v>67.333333333333329</v>
      </c>
      <c r="X9" s="7">
        <v>9.1818181818181817</v>
      </c>
      <c r="Y9" s="6">
        <v>4.4545454545454541</v>
      </c>
      <c r="Z9" s="7">
        <v>2.2000000000000002</v>
      </c>
    </row>
    <row r="10" spans="1:26" ht="15.75" x14ac:dyDescent="0.25">
      <c r="A10" s="77"/>
      <c r="B10" s="97"/>
      <c r="C10" s="8" t="s">
        <v>64</v>
      </c>
      <c r="D10" s="8" t="s">
        <v>43</v>
      </c>
      <c r="E10" s="4">
        <v>30</v>
      </c>
      <c r="F10" s="8">
        <v>5</v>
      </c>
      <c r="G10" s="8">
        <v>1</v>
      </c>
      <c r="H10" s="8">
        <v>70</v>
      </c>
      <c r="I10" s="8">
        <v>13</v>
      </c>
      <c r="J10" s="8">
        <v>84</v>
      </c>
      <c r="K10" s="8">
        <v>70</v>
      </c>
      <c r="L10" s="8">
        <v>1</v>
      </c>
      <c r="M10" s="8">
        <v>10</v>
      </c>
      <c r="N10" s="8">
        <v>7</v>
      </c>
      <c r="O10" s="8">
        <v>3</v>
      </c>
      <c r="P10" s="8">
        <v>81</v>
      </c>
      <c r="Q10" s="8">
        <v>20</v>
      </c>
      <c r="R10" s="8">
        <v>3</v>
      </c>
      <c r="S10" s="8">
        <v>101</v>
      </c>
      <c r="T10" s="8">
        <v>3</v>
      </c>
      <c r="U10" s="8">
        <v>11</v>
      </c>
      <c r="V10" s="24">
        <v>3.3666666666666667</v>
      </c>
      <c r="W10" s="24">
        <v>67.333333333333329</v>
      </c>
      <c r="X10" s="24">
        <v>9.1818181818181817</v>
      </c>
      <c r="Y10" s="24">
        <v>4.4545454545454541</v>
      </c>
      <c r="Z10" s="24">
        <v>2.2000000000000002</v>
      </c>
    </row>
    <row r="11" spans="1:26" ht="15.75" x14ac:dyDescent="0.25">
      <c r="A11" s="76">
        <v>3</v>
      </c>
      <c r="B11" s="97"/>
      <c r="C11" s="4" t="s">
        <v>65</v>
      </c>
      <c r="D11" s="4" t="s">
        <v>43</v>
      </c>
      <c r="E11" s="4">
        <v>30</v>
      </c>
      <c r="F11" s="4">
        <v>3</v>
      </c>
      <c r="G11" s="4">
        <v>3</v>
      </c>
      <c r="H11" s="4">
        <v>7</v>
      </c>
      <c r="I11" s="4">
        <v>11</v>
      </c>
      <c r="J11" s="5">
        <v>21</v>
      </c>
      <c r="K11" s="4">
        <v>15</v>
      </c>
      <c r="L11" s="4">
        <v>0</v>
      </c>
      <c r="M11" s="5">
        <v>3</v>
      </c>
      <c r="N11" s="4">
        <v>0</v>
      </c>
      <c r="O11" s="4">
        <v>3</v>
      </c>
      <c r="P11" s="5">
        <v>18</v>
      </c>
      <c r="Q11" s="4">
        <v>36</v>
      </c>
      <c r="R11" s="4">
        <v>0</v>
      </c>
      <c r="S11" s="4">
        <v>73</v>
      </c>
      <c r="T11" s="5">
        <v>3</v>
      </c>
      <c r="U11" s="5">
        <v>3</v>
      </c>
      <c r="V11" s="7">
        <v>2.4333333333333331</v>
      </c>
      <c r="W11" s="7">
        <v>81.1111111111111</v>
      </c>
      <c r="X11" s="7">
        <v>24.333333333333332</v>
      </c>
      <c r="Y11" s="6">
        <v>5.6666666666666687</v>
      </c>
      <c r="Z11" s="7">
        <v>1</v>
      </c>
    </row>
    <row r="12" spans="1:26" ht="15.75" x14ac:dyDescent="0.25">
      <c r="A12" s="77"/>
      <c r="B12" s="97"/>
      <c r="C12" s="8" t="s">
        <v>65</v>
      </c>
      <c r="D12" s="8" t="s">
        <v>43</v>
      </c>
      <c r="E12" s="4">
        <v>30</v>
      </c>
      <c r="F12" s="8">
        <v>3</v>
      </c>
      <c r="G12" s="8">
        <v>3</v>
      </c>
      <c r="H12" s="8">
        <v>7</v>
      </c>
      <c r="I12" s="8">
        <v>11</v>
      </c>
      <c r="J12" s="8">
        <v>21</v>
      </c>
      <c r="K12" s="8">
        <v>15</v>
      </c>
      <c r="L12" s="8">
        <v>0</v>
      </c>
      <c r="M12" s="8">
        <v>3</v>
      </c>
      <c r="N12" s="8">
        <v>0</v>
      </c>
      <c r="O12" s="8">
        <v>3</v>
      </c>
      <c r="P12" s="8">
        <v>18</v>
      </c>
      <c r="Q12" s="8">
        <v>36</v>
      </c>
      <c r="R12" s="8">
        <v>0</v>
      </c>
      <c r="S12" s="8">
        <v>73</v>
      </c>
      <c r="T12" s="8">
        <v>3</v>
      </c>
      <c r="U12" s="8">
        <v>3</v>
      </c>
      <c r="V12" s="24">
        <v>2.4333333333333331</v>
      </c>
      <c r="W12" s="24">
        <v>81.1111111111111</v>
      </c>
      <c r="X12" s="24">
        <v>24.333333333333332</v>
      </c>
      <c r="Y12" s="24">
        <v>5.6666666666666687</v>
      </c>
      <c r="Z12" s="24">
        <v>1</v>
      </c>
    </row>
    <row r="13" spans="1:26" ht="15.75" x14ac:dyDescent="0.25">
      <c r="A13" s="76">
        <v>4</v>
      </c>
      <c r="B13" s="97"/>
      <c r="C13" s="5" t="s">
        <v>66</v>
      </c>
      <c r="D13" s="5" t="s">
        <v>43</v>
      </c>
      <c r="E13" s="4">
        <v>30</v>
      </c>
      <c r="F13" s="5">
        <v>5</v>
      </c>
      <c r="G13" s="5">
        <v>5</v>
      </c>
      <c r="H13" s="5">
        <v>5</v>
      </c>
      <c r="I13" s="5">
        <v>14</v>
      </c>
      <c r="J13" s="5">
        <v>24</v>
      </c>
      <c r="K13" s="5">
        <v>15</v>
      </c>
      <c r="L13" s="5">
        <v>0</v>
      </c>
      <c r="M13" s="5">
        <v>4</v>
      </c>
      <c r="N13" s="5">
        <v>0</v>
      </c>
      <c r="O13" s="5">
        <v>4</v>
      </c>
      <c r="P13" s="5">
        <v>19</v>
      </c>
      <c r="Q13" s="5">
        <v>51</v>
      </c>
      <c r="R13" s="5">
        <v>0</v>
      </c>
      <c r="S13" s="5">
        <v>139</v>
      </c>
      <c r="T13" s="5">
        <v>5</v>
      </c>
      <c r="U13" s="5">
        <v>4</v>
      </c>
      <c r="V13" s="7">
        <v>4.6333333333333337</v>
      </c>
      <c r="W13" s="7">
        <v>92.666666666666671</v>
      </c>
      <c r="X13" s="7">
        <v>34.75</v>
      </c>
      <c r="Y13" s="6">
        <v>2.7499999999999969</v>
      </c>
      <c r="Z13" s="7">
        <v>0.8</v>
      </c>
    </row>
    <row r="14" spans="1:26" ht="15.75" x14ac:dyDescent="0.25">
      <c r="A14" s="77"/>
      <c r="B14" s="97"/>
      <c r="C14" s="8" t="s">
        <v>66</v>
      </c>
      <c r="D14" s="8" t="s">
        <v>43</v>
      </c>
      <c r="E14" s="4">
        <v>30</v>
      </c>
      <c r="F14" s="8">
        <v>5</v>
      </c>
      <c r="G14" s="8">
        <v>5</v>
      </c>
      <c r="H14" s="8">
        <v>5</v>
      </c>
      <c r="I14" s="8">
        <v>14</v>
      </c>
      <c r="J14" s="8">
        <v>24</v>
      </c>
      <c r="K14" s="8">
        <v>15</v>
      </c>
      <c r="L14" s="8">
        <v>0</v>
      </c>
      <c r="M14" s="8">
        <v>4</v>
      </c>
      <c r="N14" s="8">
        <v>0</v>
      </c>
      <c r="O14" s="8">
        <v>4</v>
      </c>
      <c r="P14" s="8">
        <v>19</v>
      </c>
      <c r="Q14" s="8">
        <v>51</v>
      </c>
      <c r="R14" s="8">
        <v>0</v>
      </c>
      <c r="S14" s="8">
        <v>139</v>
      </c>
      <c r="T14" s="8">
        <v>5</v>
      </c>
      <c r="U14" s="8">
        <v>4</v>
      </c>
      <c r="V14" s="24">
        <v>4.6333333333333337</v>
      </c>
      <c r="W14" s="24">
        <v>92.666666666666671</v>
      </c>
      <c r="X14" s="24">
        <v>34.75</v>
      </c>
      <c r="Y14" s="24">
        <v>2.7499999999999969</v>
      </c>
      <c r="Z14" s="24">
        <v>0.8</v>
      </c>
    </row>
    <row r="15" spans="1:26" ht="15.75" x14ac:dyDescent="0.25">
      <c r="A15" s="76">
        <v>5</v>
      </c>
      <c r="B15" s="97"/>
      <c r="C15" s="5" t="s">
        <v>67</v>
      </c>
      <c r="D15" s="5" t="s">
        <v>43</v>
      </c>
      <c r="E15" s="4">
        <v>30</v>
      </c>
      <c r="F15" s="5">
        <v>4</v>
      </c>
      <c r="G15" s="5">
        <v>3</v>
      </c>
      <c r="H15" s="5">
        <v>26</v>
      </c>
      <c r="I15" s="5">
        <v>11</v>
      </c>
      <c r="J15" s="5">
        <v>40</v>
      </c>
      <c r="K15" s="5">
        <v>21</v>
      </c>
      <c r="L15" s="5">
        <v>1</v>
      </c>
      <c r="M15" s="5">
        <v>15</v>
      </c>
      <c r="N15" s="5">
        <v>11</v>
      </c>
      <c r="O15" s="5">
        <v>4</v>
      </c>
      <c r="P15" s="5">
        <v>37</v>
      </c>
      <c r="Q15" s="5">
        <v>41</v>
      </c>
      <c r="R15" s="5">
        <v>4</v>
      </c>
      <c r="S15" s="5">
        <v>77</v>
      </c>
      <c r="T15" s="5">
        <v>3</v>
      </c>
      <c r="U15" s="5">
        <v>16</v>
      </c>
      <c r="V15" s="7">
        <v>2.5666666666666669</v>
      </c>
      <c r="W15" s="7">
        <v>64.166666666666671</v>
      </c>
      <c r="X15" s="7">
        <v>4.8125</v>
      </c>
      <c r="Y15" s="6">
        <v>2.6874999999999996</v>
      </c>
      <c r="Z15" s="7">
        <v>4</v>
      </c>
    </row>
    <row r="16" spans="1:26" ht="15.75" x14ac:dyDescent="0.25">
      <c r="A16" s="77"/>
      <c r="B16" s="97"/>
      <c r="C16" s="8" t="s">
        <v>67</v>
      </c>
      <c r="D16" s="8" t="s">
        <v>43</v>
      </c>
      <c r="E16" s="4">
        <v>30</v>
      </c>
      <c r="F16" s="8">
        <v>4</v>
      </c>
      <c r="G16" s="8">
        <v>3</v>
      </c>
      <c r="H16" s="8">
        <v>26</v>
      </c>
      <c r="I16" s="8">
        <v>11</v>
      </c>
      <c r="J16" s="8">
        <v>40</v>
      </c>
      <c r="K16" s="8">
        <v>21</v>
      </c>
      <c r="L16" s="8">
        <v>1</v>
      </c>
      <c r="M16" s="8">
        <v>15</v>
      </c>
      <c r="N16" s="8">
        <v>11</v>
      </c>
      <c r="O16" s="8">
        <v>4</v>
      </c>
      <c r="P16" s="8">
        <v>37</v>
      </c>
      <c r="Q16" s="8">
        <v>41</v>
      </c>
      <c r="R16" s="8">
        <v>4</v>
      </c>
      <c r="S16" s="8">
        <v>77</v>
      </c>
      <c r="T16" s="8">
        <v>3</v>
      </c>
      <c r="U16" s="8">
        <v>16</v>
      </c>
      <c r="V16" s="24">
        <v>2.5666666666666669</v>
      </c>
      <c r="W16" s="24">
        <v>64.166666666666671</v>
      </c>
      <c r="X16" s="24">
        <v>4.8125</v>
      </c>
      <c r="Y16" s="24">
        <v>2.6874999999999996</v>
      </c>
      <c r="Z16" s="24">
        <v>4</v>
      </c>
    </row>
    <row r="17" spans="1:26" ht="15.75" x14ac:dyDescent="0.25">
      <c r="A17" s="76">
        <v>6</v>
      </c>
      <c r="B17" s="97"/>
      <c r="C17" s="5" t="s">
        <v>58</v>
      </c>
      <c r="D17" s="5" t="s">
        <v>43</v>
      </c>
      <c r="E17" s="4">
        <v>30</v>
      </c>
      <c r="F17" s="5">
        <v>2</v>
      </c>
      <c r="G17" s="5">
        <v>1</v>
      </c>
      <c r="H17" s="5">
        <v>10</v>
      </c>
      <c r="I17" s="5">
        <v>2</v>
      </c>
      <c r="J17" s="5">
        <v>13</v>
      </c>
      <c r="K17" s="5">
        <v>7</v>
      </c>
      <c r="L17" s="5">
        <v>0</v>
      </c>
      <c r="M17" s="5">
        <v>6</v>
      </c>
      <c r="N17" s="5">
        <v>5</v>
      </c>
      <c r="O17" s="5">
        <v>1</v>
      </c>
      <c r="P17" s="5">
        <v>13</v>
      </c>
      <c r="Q17" s="5">
        <v>9</v>
      </c>
      <c r="R17" s="5">
        <v>2</v>
      </c>
      <c r="S17" s="5">
        <v>28</v>
      </c>
      <c r="T17" s="5">
        <v>0</v>
      </c>
      <c r="U17" s="5">
        <v>6</v>
      </c>
      <c r="V17" s="13">
        <v>0.93333333333333335</v>
      </c>
      <c r="W17" s="13">
        <v>46.666666666666664</v>
      </c>
      <c r="X17" s="13">
        <v>4.666666666666667</v>
      </c>
      <c r="Y17" s="14">
        <v>5.333333333333333</v>
      </c>
      <c r="Z17" s="13">
        <v>3</v>
      </c>
    </row>
    <row r="18" spans="1:26" ht="15.75" x14ac:dyDescent="0.25">
      <c r="A18" s="77"/>
      <c r="B18" s="97"/>
      <c r="C18" s="8" t="s">
        <v>58</v>
      </c>
      <c r="D18" s="8"/>
      <c r="E18" s="4">
        <v>30</v>
      </c>
      <c r="F18" s="8">
        <v>2</v>
      </c>
      <c r="G18" s="8">
        <v>1</v>
      </c>
      <c r="H18" s="8">
        <v>10</v>
      </c>
      <c r="I18" s="8">
        <v>2</v>
      </c>
      <c r="J18" s="8">
        <v>13</v>
      </c>
      <c r="K18" s="8">
        <v>7</v>
      </c>
      <c r="L18" s="8">
        <v>0</v>
      </c>
      <c r="M18" s="8">
        <v>6</v>
      </c>
      <c r="N18" s="8">
        <v>5</v>
      </c>
      <c r="O18" s="8">
        <v>1</v>
      </c>
      <c r="P18" s="8">
        <v>13</v>
      </c>
      <c r="Q18" s="8">
        <v>9</v>
      </c>
      <c r="R18" s="8">
        <v>2</v>
      </c>
      <c r="S18" s="8">
        <v>28</v>
      </c>
      <c r="T18" s="8">
        <v>0</v>
      </c>
      <c r="U18" s="8">
        <v>6</v>
      </c>
      <c r="V18" s="26">
        <v>0.93333333333333335</v>
      </c>
      <c r="W18" s="26">
        <v>46.666666666666664</v>
      </c>
      <c r="X18" s="26">
        <v>4.666666666666667</v>
      </c>
      <c r="Y18" s="26">
        <v>5.333333333333333</v>
      </c>
      <c r="Z18" s="26">
        <v>3</v>
      </c>
    </row>
    <row r="19" spans="1:26" ht="15.75" x14ac:dyDescent="0.25">
      <c r="A19" s="76">
        <v>7</v>
      </c>
      <c r="B19" s="97"/>
      <c r="C19" s="5" t="s">
        <v>73</v>
      </c>
      <c r="D19" s="5" t="s">
        <v>36</v>
      </c>
      <c r="E19" s="4">
        <v>30</v>
      </c>
      <c r="F19" s="5">
        <v>15</v>
      </c>
      <c r="G19" s="5">
        <v>12</v>
      </c>
      <c r="H19" s="5">
        <v>75</v>
      </c>
      <c r="I19" s="5">
        <v>27</v>
      </c>
      <c r="J19" s="5">
        <v>114</v>
      </c>
      <c r="K19" s="5">
        <v>20</v>
      </c>
      <c r="L19" s="5">
        <v>67</v>
      </c>
      <c r="M19" s="5">
        <v>15</v>
      </c>
      <c r="N19" s="5">
        <v>5</v>
      </c>
      <c r="O19" s="5">
        <v>10</v>
      </c>
      <c r="P19" s="5">
        <v>102</v>
      </c>
      <c r="Q19" s="5">
        <v>478</v>
      </c>
      <c r="R19" s="5">
        <v>1</v>
      </c>
      <c r="S19" s="5">
        <v>362</v>
      </c>
      <c r="T19" s="5">
        <v>12</v>
      </c>
      <c r="U19" s="5">
        <v>82</v>
      </c>
      <c r="V19" s="7">
        <v>12.066666666666666</v>
      </c>
      <c r="W19" s="7">
        <v>80.444444444444443</v>
      </c>
      <c r="X19" s="7">
        <v>4.4146341463414638</v>
      </c>
      <c r="Y19" s="6">
        <v>1.0731707317073171</v>
      </c>
      <c r="Z19" s="7">
        <v>5.4666666666666668</v>
      </c>
    </row>
    <row r="20" spans="1:26" ht="15.75" x14ac:dyDescent="0.25">
      <c r="A20" s="77"/>
      <c r="B20" s="99"/>
      <c r="C20" s="8" t="s">
        <v>73</v>
      </c>
      <c r="D20" s="8" t="s">
        <v>36</v>
      </c>
      <c r="E20" s="4">
        <v>30</v>
      </c>
      <c r="F20" s="8">
        <v>15</v>
      </c>
      <c r="G20" s="8">
        <v>12</v>
      </c>
      <c r="H20" s="8">
        <v>75</v>
      </c>
      <c r="I20" s="8">
        <v>27</v>
      </c>
      <c r="J20" s="8">
        <v>114</v>
      </c>
      <c r="K20" s="8">
        <v>20</v>
      </c>
      <c r="L20" s="8">
        <v>67</v>
      </c>
      <c r="M20" s="8">
        <v>15</v>
      </c>
      <c r="N20" s="8">
        <v>5</v>
      </c>
      <c r="O20" s="8">
        <v>10</v>
      </c>
      <c r="P20" s="8">
        <v>102</v>
      </c>
      <c r="Q20" s="8">
        <v>478</v>
      </c>
      <c r="R20" s="8">
        <v>1</v>
      </c>
      <c r="S20" s="8">
        <v>362</v>
      </c>
      <c r="T20" s="8">
        <v>12</v>
      </c>
      <c r="U20" s="8">
        <v>82</v>
      </c>
      <c r="V20" s="24">
        <v>12.066666666666666</v>
      </c>
      <c r="W20" s="24">
        <v>80.444444444444443</v>
      </c>
      <c r="X20" s="24">
        <v>4.4146341463414638</v>
      </c>
      <c r="Y20" s="24">
        <v>1.0731707317073171</v>
      </c>
      <c r="Z20" s="24">
        <v>5.4666666666666668</v>
      </c>
    </row>
    <row r="21" spans="1:26" ht="15.75" x14ac:dyDescent="0.25">
      <c r="A21" s="79" t="s">
        <v>69</v>
      </c>
      <c r="B21" s="80"/>
      <c r="C21" s="80"/>
      <c r="D21" s="81"/>
      <c r="E21" s="4">
        <v>30</v>
      </c>
      <c r="F21" s="20">
        <v>48</v>
      </c>
      <c r="G21" s="20">
        <v>33</v>
      </c>
      <c r="H21" s="20">
        <v>206</v>
      </c>
      <c r="I21" s="20">
        <v>170</v>
      </c>
      <c r="J21" s="11">
        <v>409</v>
      </c>
      <c r="K21" s="20">
        <v>234</v>
      </c>
      <c r="L21" s="20">
        <v>69</v>
      </c>
      <c r="M21" s="11">
        <v>72</v>
      </c>
      <c r="N21" s="20">
        <v>33</v>
      </c>
      <c r="O21" s="20">
        <v>39</v>
      </c>
      <c r="P21" s="11">
        <v>375</v>
      </c>
      <c r="Q21" s="20">
        <v>759</v>
      </c>
      <c r="R21" s="20">
        <v>10</v>
      </c>
      <c r="S21" s="20">
        <v>1050</v>
      </c>
      <c r="T21" s="11">
        <v>34</v>
      </c>
      <c r="U21" s="11">
        <v>141</v>
      </c>
      <c r="V21" s="22">
        <v>35</v>
      </c>
      <c r="W21" s="12">
        <v>72.916666666666657</v>
      </c>
      <c r="X21" s="12">
        <v>7.4468085106382977</v>
      </c>
      <c r="Y21" s="12">
        <v>2.7659574468085109</v>
      </c>
      <c r="Z21" s="12">
        <v>2.9375</v>
      </c>
    </row>
    <row r="22" spans="1:26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x14ac:dyDescent="0.25">
      <c r="A24" s="78" t="s">
        <v>1</v>
      </c>
      <c r="B24" s="78" t="s">
        <v>2</v>
      </c>
      <c r="C24" s="72" t="s">
        <v>3</v>
      </c>
      <c r="D24" s="72" t="s">
        <v>4</v>
      </c>
      <c r="E24" s="75" t="s">
        <v>5</v>
      </c>
      <c r="F24" s="72" t="s">
        <v>6</v>
      </c>
      <c r="G24" s="72" t="s">
        <v>7</v>
      </c>
      <c r="H24" s="72" t="s">
        <v>8</v>
      </c>
      <c r="I24" s="75" t="s">
        <v>9</v>
      </c>
      <c r="J24" s="72" t="s">
        <v>10</v>
      </c>
      <c r="K24" s="72" t="s">
        <v>11</v>
      </c>
      <c r="L24" s="72" t="s">
        <v>12</v>
      </c>
      <c r="M24" s="72" t="s">
        <v>13</v>
      </c>
      <c r="N24" s="72" t="s">
        <v>14</v>
      </c>
      <c r="O24" s="72" t="s">
        <v>15</v>
      </c>
      <c r="P24" s="72" t="s">
        <v>16</v>
      </c>
      <c r="Q24" s="72" t="s">
        <v>17</v>
      </c>
      <c r="R24" s="72" t="s">
        <v>18</v>
      </c>
      <c r="S24" s="72" t="s">
        <v>19</v>
      </c>
      <c r="T24" s="72" t="s">
        <v>20</v>
      </c>
      <c r="U24" s="73" t="s">
        <v>21</v>
      </c>
      <c r="V24" s="2" t="s">
        <v>22</v>
      </c>
      <c r="W24" s="2" t="s">
        <v>23</v>
      </c>
      <c r="X24" s="2" t="s">
        <v>24</v>
      </c>
      <c r="Y24" s="2" t="s">
        <v>25</v>
      </c>
      <c r="Z24" s="2" t="s">
        <v>26</v>
      </c>
    </row>
    <row r="25" spans="1:26" x14ac:dyDescent="0.25">
      <c r="A25" s="78"/>
      <c r="B25" s="78"/>
      <c r="C25" s="72"/>
      <c r="D25" s="72"/>
      <c r="E25" s="75"/>
      <c r="F25" s="72"/>
      <c r="G25" s="72"/>
      <c r="H25" s="72"/>
      <c r="I25" s="75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3"/>
      <c r="V25" s="71" t="s">
        <v>27</v>
      </c>
      <c r="W25" s="71" t="s">
        <v>28</v>
      </c>
      <c r="X25" s="71" t="s">
        <v>29</v>
      </c>
      <c r="Y25" s="71" t="s">
        <v>30</v>
      </c>
      <c r="Z25" s="71" t="s">
        <v>31</v>
      </c>
    </row>
    <row r="26" spans="1:26" x14ac:dyDescent="0.25">
      <c r="A26" s="78"/>
      <c r="B26" s="78"/>
      <c r="C26" s="72"/>
      <c r="D26" s="72"/>
      <c r="E26" s="75"/>
      <c r="F26" s="72"/>
      <c r="G26" s="72"/>
      <c r="H26" s="72"/>
      <c r="I26" s="75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3"/>
      <c r="V26" s="74"/>
      <c r="W26" s="71"/>
      <c r="X26" s="71"/>
      <c r="Y26" s="71"/>
      <c r="Z26" s="71"/>
    </row>
    <row r="27" spans="1:26" x14ac:dyDescent="0.25">
      <c r="A27" s="78"/>
      <c r="B27" s="78"/>
      <c r="C27" s="72"/>
      <c r="D27" s="72"/>
      <c r="E27" s="75"/>
      <c r="F27" s="72"/>
      <c r="G27" s="3">
        <v>1</v>
      </c>
      <c r="H27" s="3">
        <v>2</v>
      </c>
      <c r="I27" s="3">
        <v>3</v>
      </c>
      <c r="J27" s="3">
        <v>4</v>
      </c>
      <c r="K27" s="3">
        <v>5</v>
      </c>
      <c r="L27" s="3">
        <v>6</v>
      </c>
      <c r="M27" s="3">
        <v>7</v>
      </c>
      <c r="N27" s="3">
        <v>8</v>
      </c>
      <c r="O27" s="3">
        <v>9</v>
      </c>
      <c r="P27" s="3">
        <v>10</v>
      </c>
      <c r="Q27" s="3">
        <v>11</v>
      </c>
      <c r="R27" s="3">
        <v>12</v>
      </c>
      <c r="S27" s="3">
        <v>13</v>
      </c>
      <c r="T27" s="3">
        <v>14</v>
      </c>
      <c r="U27" s="73"/>
      <c r="V27" s="16">
        <v>15</v>
      </c>
      <c r="W27" s="16">
        <v>16</v>
      </c>
      <c r="X27" s="16">
        <v>17</v>
      </c>
      <c r="Y27" s="16">
        <v>18</v>
      </c>
      <c r="Z27" s="16">
        <v>19</v>
      </c>
    </row>
    <row r="28" spans="1:26" ht="15.75" x14ac:dyDescent="0.25">
      <c r="A28" s="76">
        <v>1</v>
      </c>
      <c r="B28" s="96" t="s">
        <v>38</v>
      </c>
      <c r="C28" s="27" t="s">
        <v>53</v>
      </c>
      <c r="D28" s="9" t="s">
        <v>49</v>
      </c>
      <c r="E28" s="4">
        <v>30</v>
      </c>
      <c r="F28" s="4">
        <v>2</v>
      </c>
      <c r="G28" s="4">
        <v>0</v>
      </c>
      <c r="H28" s="4">
        <v>2</v>
      </c>
      <c r="I28" s="4">
        <v>0</v>
      </c>
      <c r="J28" s="5">
        <v>2</v>
      </c>
      <c r="K28" s="4">
        <v>0</v>
      </c>
      <c r="L28" s="4">
        <v>2</v>
      </c>
      <c r="M28" s="5">
        <v>0</v>
      </c>
      <c r="N28" s="4">
        <v>0</v>
      </c>
      <c r="O28" s="4">
        <v>0</v>
      </c>
      <c r="P28" s="5">
        <v>2</v>
      </c>
      <c r="Q28" s="4">
        <v>7</v>
      </c>
      <c r="R28" s="4">
        <v>0</v>
      </c>
      <c r="S28" s="4">
        <v>7</v>
      </c>
      <c r="T28" s="5">
        <v>0</v>
      </c>
      <c r="U28" s="5">
        <v>2</v>
      </c>
      <c r="V28" s="7">
        <v>0.23333333333333334</v>
      </c>
      <c r="W28" s="7">
        <v>11.666666666666666</v>
      </c>
      <c r="X28" s="7">
        <v>3.5</v>
      </c>
      <c r="Y28" s="6">
        <v>26.5</v>
      </c>
      <c r="Z28" s="7">
        <v>1</v>
      </c>
    </row>
    <row r="29" spans="1:26" ht="15.75" x14ac:dyDescent="0.25">
      <c r="A29" s="98"/>
      <c r="B29" s="97"/>
      <c r="C29" s="27" t="s">
        <v>53</v>
      </c>
      <c r="D29" s="18" t="s">
        <v>50</v>
      </c>
      <c r="E29" s="4">
        <v>30</v>
      </c>
      <c r="F29" s="4">
        <v>3</v>
      </c>
      <c r="G29" s="4">
        <v>0</v>
      </c>
      <c r="H29" s="4">
        <v>7</v>
      </c>
      <c r="I29" s="4">
        <v>0</v>
      </c>
      <c r="J29" s="8">
        <v>7</v>
      </c>
      <c r="K29" s="4">
        <v>0</v>
      </c>
      <c r="L29" s="4">
        <v>5</v>
      </c>
      <c r="M29" s="8">
        <v>1</v>
      </c>
      <c r="N29" s="4">
        <v>1</v>
      </c>
      <c r="O29" s="4">
        <v>0</v>
      </c>
      <c r="P29" s="8">
        <v>6</v>
      </c>
      <c r="Q29" s="4">
        <v>22</v>
      </c>
      <c r="R29" s="4">
        <v>0</v>
      </c>
      <c r="S29" s="4">
        <v>25</v>
      </c>
      <c r="T29" s="8">
        <v>1</v>
      </c>
      <c r="U29" s="8">
        <v>6</v>
      </c>
      <c r="V29" s="24">
        <v>0.83333333333333337</v>
      </c>
      <c r="W29" s="24">
        <v>27.777777777777779</v>
      </c>
      <c r="X29" s="24">
        <v>4.166666666666667</v>
      </c>
      <c r="Y29" s="24">
        <v>10.833333333333334</v>
      </c>
      <c r="Z29" s="24">
        <v>2</v>
      </c>
    </row>
    <row r="30" spans="1:26" ht="15.75" x14ac:dyDescent="0.25">
      <c r="A30" s="98"/>
      <c r="B30" s="97"/>
      <c r="C30" s="23" t="s">
        <v>53</v>
      </c>
      <c r="D30" s="18" t="s">
        <v>51</v>
      </c>
      <c r="E30" s="4">
        <v>30</v>
      </c>
      <c r="F30" s="4">
        <v>2</v>
      </c>
      <c r="G30" s="4">
        <v>2</v>
      </c>
      <c r="H30" s="4">
        <v>2</v>
      </c>
      <c r="I30" s="4">
        <v>1</v>
      </c>
      <c r="J30" s="5">
        <v>5</v>
      </c>
      <c r="K30" s="4">
        <v>1</v>
      </c>
      <c r="L30" s="4">
        <v>3</v>
      </c>
      <c r="M30" s="5">
        <v>1</v>
      </c>
      <c r="N30" s="4">
        <v>0</v>
      </c>
      <c r="O30" s="4">
        <v>1</v>
      </c>
      <c r="P30" s="5">
        <v>5</v>
      </c>
      <c r="Q30" s="4">
        <v>23</v>
      </c>
      <c r="R30" s="4">
        <v>0</v>
      </c>
      <c r="S30" s="4">
        <v>16</v>
      </c>
      <c r="T30" s="5">
        <v>0</v>
      </c>
      <c r="U30" s="5">
        <v>4</v>
      </c>
      <c r="V30" s="7">
        <v>0.53333333333333333</v>
      </c>
      <c r="W30" s="7">
        <v>26.666666666666668</v>
      </c>
      <c r="X30" s="7">
        <v>4</v>
      </c>
      <c r="Y30" s="6">
        <v>11</v>
      </c>
      <c r="Z30" s="7">
        <v>2</v>
      </c>
    </row>
    <row r="31" spans="1:26" ht="15.75" x14ac:dyDescent="0.25">
      <c r="A31" s="98"/>
      <c r="B31" s="97"/>
      <c r="C31" s="27" t="s">
        <v>53</v>
      </c>
      <c r="D31" s="18" t="s">
        <v>52</v>
      </c>
      <c r="E31" s="4">
        <v>30</v>
      </c>
      <c r="F31" s="4">
        <v>10</v>
      </c>
      <c r="G31" s="4">
        <v>7</v>
      </c>
      <c r="H31" s="4">
        <v>54</v>
      </c>
      <c r="I31" s="4">
        <v>3</v>
      </c>
      <c r="J31" s="8">
        <v>64</v>
      </c>
      <c r="K31" s="4">
        <v>2</v>
      </c>
      <c r="L31" s="4">
        <v>39</v>
      </c>
      <c r="M31" s="8">
        <v>15</v>
      </c>
      <c r="N31" s="4">
        <v>11</v>
      </c>
      <c r="O31" s="4">
        <v>4</v>
      </c>
      <c r="P31" s="8">
        <v>56</v>
      </c>
      <c r="Q31" s="4">
        <v>205</v>
      </c>
      <c r="R31" s="4">
        <v>2</v>
      </c>
      <c r="S31" s="4">
        <v>196</v>
      </c>
      <c r="T31" s="8">
        <v>8</v>
      </c>
      <c r="U31" s="8">
        <v>54</v>
      </c>
      <c r="V31" s="24">
        <v>6.5333333333333332</v>
      </c>
      <c r="W31" s="24">
        <v>65.333333333333329</v>
      </c>
      <c r="X31" s="24">
        <v>3.6296296296296298</v>
      </c>
      <c r="Y31" s="24">
        <v>1.9259259259259258</v>
      </c>
      <c r="Z31" s="24">
        <v>5.4</v>
      </c>
    </row>
    <row r="32" spans="1:26" ht="15.75" x14ac:dyDescent="0.25">
      <c r="A32" s="77"/>
      <c r="B32" s="97"/>
      <c r="C32" s="8" t="s">
        <v>53</v>
      </c>
      <c r="D32" s="8"/>
      <c r="E32" s="4">
        <v>30</v>
      </c>
      <c r="F32" s="8">
        <v>17</v>
      </c>
      <c r="G32" s="8">
        <v>9</v>
      </c>
      <c r="H32" s="8">
        <v>65</v>
      </c>
      <c r="I32" s="8">
        <v>4</v>
      </c>
      <c r="J32" s="8">
        <v>78</v>
      </c>
      <c r="K32" s="8">
        <v>3</v>
      </c>
      <c r="L32" s="8">
        <v>49</v>
      </c>
      <c r="M32" s="8">
        <v>17</v>
      </c>
      <c r="N32" s="8">
        <v>12</v>
      </c>
      <c r="O32" s="8">
        <v>5</v>
      </c>
      <c r="P32" s="8">
        <v>69</v>
      </c>
      <c r="Q32" s="8">
        <v>257</v>
      </c>
      <c r="R32" s="8">
        <v>2</v>
      </c>
      <c r="S32" s="8">
        <v>244</v>
      </c>
      <c r="T32" s="8">
        <v>9</v>
      </c>
      <c r="U32" s="8">
        <v>66</v>
      </c>
      <c r="V32" s="24">
        <v>8.1333333333333329</v>
      </c>
      <c r="W32" s="24">
        <v>47.843137254901954</v>
      </c>
      <c r="X32" s="24">
        <v>3.6969696969696968</v>
      </c>
      <c r="Y32" s="24">
        <v>4.0303030303030303</v>
      </c>
      <c r="Z32" s="24">
        <v>3.8823529411764706</v>
      </c>
    </row>
    <row r="33" spans="1:26" ht="15.75" x14ac:dyDescent="0.25">
      <c r="A33" s="76">
        <v>2</v>
      </c>
      <c r="B33" s="97"/>
      <c r="C33" s="5" t="s">
        <v>71</v>
      </c>
      <c r="D33" s="5" t="s">
        <v>38</v>
      </c>
      <c r="E33" s="4">
        <v>30</v>
      </c>
      <c r="F33" s="5">
        <v>6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7">
        <v>0</v>
      </c>
      <c r="W33" s="7">
        <v>0</v>
      </c>
      <c r="X33" s="7" t="e">
        <v>#DIV/0!</v>
      </c>
      <c r="Y33" s="6" t="e">
        <v>#DIV/0!</v>
      </c>
      <c r="Z33" s="7">
        <v>0</v>
      </c>
    </row>
    <row r="34" spans="1:26" ht="15.75" x14ac:dyDescent="0.25">
      <c r="A34" s="77"/>
      <c r="B34" s="97"/>
      <c r="C34" s="8" t="s">
        <v>71</v>
      </c>
      <c r="D34" s="8"/>
      <c r="E34" s="4">
        <v>30</v>
      </c>
      <c r="F34" s="8">
        <v>6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24">
        <v>0</v>
      </c>
      <c r="W34" s="24">
        <v>0</v>
      </c>
      <c r="X34" s="24" t="e">
        <v>#DIV/0!</v>
      </c>
      <c r="Y34" s="24" t="e">
        <v>#DIV/0!</v>
      </c>
      <c r="Z34" s="24">
        <v>0</v>
      </c>
    </row>
    <row r="35" spans="1:26" ht="15.75" x14ac:dyDescent="0.25">
      <c r="A35" s="76">
        <v>3</v>
      </c>
      <c r="B35" s="97"/>
      <c r="C35" s="5" t="s">
        <v>55</v>
      </c>
      <c r="D35" s="5" t="s">
        <v>32</v>
      </c>
      <c r="E35" s="4">
        <v>30</v>
      </c>
      <c r="F35" s="5">
        <v>4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7">
        <v>0</v>
      </c>
      <c r="W35" s="7">
        <v>0</v>
      </c>
      <c r="X35" s="7" t="e">
        <v>#DIV/0!</v>
      </c>
      <c r="Y35" s="6" t="e">
        <v>#DIV/0!</v>
      </c>
      <c r="Z35" s="7">
        <v>0</v>
      </c>
    </row>
    <row r="36" spans="1:26" ht="15.75" x14ac:dyDescent="0.25">
      <c r="A36" s="77"/>
      <c r="B36" s="97"/>
      <c r="C36" s="8" t="s">
        <v>55</v>
      </c>
      <c r="D36" s="8"/>
      <c r="E36" s="4">
        <v>30</v>
      </c>
      <c r="F36" s="8">
        <v>4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24">
        <v>0</v>
      </c>
      <c r="W36" s="24">
        <v>0</v>
      </c>
      <c r="X36" s="24" t="e">
        <v>#DIV/0!</v>
      </c>
      <c r="Y36" s="24" t="e">
        <v>#DIV/0!</v>
      </c>
      <c r="Z36" s="24">
        <v>0</v>
      </c>
    </row>
    <row r="37" spans="1:26" ht="15.75" x14ac:dyDescent="0.25">
      <c r="A37" s="76">
        <v>4</v>
      </c>
      <c r="B37" s="97"/>
      <c r="C37" s="5" t="s">
        <v>47</v>
      </c>
      <c r="D37" s="5" t="s">
        <v>43</v>
      </c>
      <c r="E37" s="4">
        <v>30</v>
      </c>
      <c r="F37" s="5">
        <v>2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13">
        <v>0</v>
      </c>
      <c r="W37" s="13">
        <v>0</v>
      </c>
      <c r="X37" s="13" t="e">
        <v>#DIV/0!</v>
      </c>
      <c r="Y37" s="14" t="e">
        <v>#DIV/0!</v>
      </c>
      <c r="Z37" s="13">
        <v>0</v>
      </c>
    </row>
    <row r="38" spans="1:26" ht="15.75" x14ac:dyDescent="0.25">
      <c r="A38" s="77"/>
      <c r="B38" s="97"/>
      <c r="C38" s="8" t="s">
        <v>47</v>
      </c>
      <c r="D38" s="8"/>
      <c r="E38" s="4">
        <v>30</v>
      </c>
      <c r="F38" s="8">
        <v>2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26">
        <v>0</v>
      </c>
      <c r="W38" s="26">
        <v>0</v>
      </c>
      <c r="X38" s="26" t="e">
        <v>#DIV/0!</v>
      </c>
      <c r="Y38" s="26" t="e">
        <v>#DIV/0!</v>
      </c>
      <c r="Z38" s="26">
        <v>0</v>
      </c>
    </row>
    <row r="39" spans="1:26" ht="15.75" x14ac:dyDescent="0.25">
      <c r="A39" s="76">
        <v>5</v>
      </c>
      <c r="B39" s="97"/>
      <c r="C39" s="5" t="s">
        <v>40</v>
      </c>
      <c r="D39" s="5" t="s">
        <v>32</v>
      </c>
      <c r="E39" s="4">
        <v>30</v>
      </c>
      <c r="F39" s="5">
        <v>4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7">
        <v>0</v>
      </c>
      <c r="W39" s="7">
        <v>0</v>
      </c>
      <c r="X39" s="7" t="e">
        <v>#DIV/0!</v>
      </c>
      <c r="Y39" s="6" t="e">
        <v>#DIV/0!</v>
      </c>
      <c r="Z39" s="7">
        <v>0</v>
      </c>
    </row>
    <row r="40" spans="1:26" ht="15.75" x14ac:dyDescent="0.25">
      <c r="A40" s="77"/>
      <c r="B40" s="97"/>
      <c r="C40" s="8" t="s">
        <v>40</v>
      </c>
      <c r="D40" s="8"/>
      <c r="E40" s="4">
        <v>30</v>
      </c>
      <c r="F40" s="8">
        <v>4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24">
        <v>0</v>
      </c>
      <c r="W40" s="24">
        <v>0</v>
      </c>
      <c r="X40" s="24" t="e">
        <v>#DIV/0!</v>
      </c>
      <c r="Y40" s="24" t="e">
        <v>#DIV/0!</v>
      </c>
      <c r="Z40" s="24">
        <v>0</v>
      </c>
    </row>
    <row r="41" spans="1:26" ht="15.75" x14ac:dyDescent="0.25">
      <c r="A41" s="76">
        <v>6</v>
      </c>
      <c r="B41" s="97"/>
      <c r="C41" s="5" t="s">
        <v>42</v>
      </c>
      <c r="D41" s="5" t="s">
        <v>43</v>
      </c>
      <c r="E41" s="4">
        <v>30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7">
        <v>0</v>
      </c>
      <c r="W41" s="7">
        <v>0</v>
      </c>
      <c r="X41" s="7" t="e">
        <v>#DIV/0!</v>
      </c>
      <c r="Y41" s="6" t="e">
        <v>#DIV/0!</v>
      </c>
      <c r="Z41" s="7">
        <v>0</v>
      </c>
    </row>
    <row r="42" spans="1:26" ht="15.75" x14ac:dyDescent="0.25">
      <c r="A42" s="77"/>
      <c r="B42" s="97"/>
      <c r="C42" s="8" t="s">
        <v>42</v>
      </c>
      <c r="D42" s="8"/>
      <c r="E42" s="4">
        <v>30</v>
      </c>
      <c r="F42" s="8">
        <v>1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24">
        <v>0</v>
      </c>
      <c r="W42" s="24">
        <v>0</v>
      </c>
      <c r="X42" s="24" t="e">
        <v>#DIV/0!</v>
      </c>
      <c r="Y42" s="24" t="e">
        <v>#DIV/0!</v>
      </c>
      <c r="Z42" s="24">
        <v>0</v>
      </c>
    </row>
    <row r="43" spans="1:26" ht="15.75" x14ac:dyDescent="0.25">
      <c r="A43" s="76">
        <v>7</v>
      </c>
      <c r="B43" s="97"/>
      <c r="C43" s="5" t="s">
        <v>74</v>
      </c>
      <c r="D43" s="5" t="s">
        <v>32</v>
      </c>
      <c r="E43" s="4">
        <v>30</v>
      </c>
      <c r="F43" s="5">
        <v>4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7">
        <v>0</v>
      </c>
      <c r="W43" s="7">
        <v>0</v>
      </c>
      <c r="X43" s="7" t="e">
        <v>#DIV/0!</v>
      </c>
      <c r="Y43" s="6" t="e">
        <v>#DIV/0!</v>
      </c>
      <c r="Z43" s="7">
        <v>0</v>
      </c>
    </row>
    <row r="44" spans="1:26" ht="15.75" x14ac:dyDescent="0.25">
      <c r="A44" s="77"/>
      <c r="B44" s="97"/>
      <c r="C44" s="8" t="s">
        <v>74</v>
      </c>
      <c r="D44" s="8"/>
      <c r="E44" s="4">
        <v>30</v>
      </c>
      <c r="F44" s="8">
        <v>4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24">
        <v>0</v>
      </c>
      <c r="W44" s="24">
        <v>0</v>
      </c>
      <c r="X44" s="24" t="e">
        <v>#DIV/0!</v>
      </c>
      <c r="Y44" s="24" t="e">
        <v>#DIV/0!</v>
      </c>
      <c r="Z44" s="24">
        <v>0</v>
      </c>
    </row>
    <row r="45" spans="1:26" ht="15.75" x14ac:dyDescent="0.25">
      <c r="A45" s="76">
        <v>8</v>
      </c>
      <c r="B45" s="97"/>
      <c r="C45" s="4" t="s">
        <v>44</v>
      </c>
      <c r="D45" s="4" t="s">
        <v>32</v>
      </c>
      <c r="E45" s="4">
        <v>30</v>
      </c>
      <c r="F45" s="4">
        <v>1</v>
      </c>
      <c r="G45" s="4">
        <v>0</v>
      </c>
      <c r="H45" s="4">
        <v>0</v>
      </c>
      <c r="I45" s="4">
        <v>0</v>
      </c>
      <c r="J45" s="5">
        <v>0</v>
      </c>
      <c r="K45" s="4">
        <v>0</v>
      </c>
      <c r="L45" s="4">
        <v>0</v>
      </c>
      <c r="M45" s="5">
        <v>0</v>
      </c>
      <c r="N45" s="4">
        <v>0</v>
      </c>
      <c r="O45" s="4">
        <v>0</v>
      </c>
      <c r="P45" s="5">
        <v>0</v>
      </c>
      <c r="Q45" s="4">
        <v>0</v>
      </c>
      <c r="R45" s="4">
        <v>0</v>
      </c>
      <c r="S45" s="4">
        <v>0</v>
      </c>
      <c r="T45" s="5">
        <v>0</v>
      </c>
      <c r="U45" s="5">
        <v>0</v>
      </c>
      <c r="V45" s="7">
        <v>0</v>
      </c>
      <c r="W45" s="7">
        <v>0</v>
      </c>
      <c r="X45" s="7" t="e">
        <v>#DIV/0!</v>
      </c>
      <c r="Y45" s="6" t="e">
        <v>#DIV/0!</v>
      </c>
      <c r="Z45" s="7">
        <v>0</v>
      </c>
    </row>
    <row r="46" spans="1:26" ht="15.75" x14ac:dyDescent="0.25">
      <c r="A46" s="77"/>
      <c r="B46" s="97"/>
      <c r="C46" s="8" t="s">
        <v>44</v>
      </c>
      <c r="D46" s="8"/>
      <c r="E46" s="4">
        <v>30</v>
      </c>
      <c r="F46" s="8">
        <v>1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24">
        <v>0</v>
      </c>
      <c r="W46" s="24">
        <v>0</v>
      </c>
      <c r="X46" s="24" t="e">
        <v>#DIV/0!</v>
      </c>
      <c r="Y46" s="24" t="e">
        <v>#DIV/0!</v>
      </c>
      <c r="Z46" s="24">
        <v>0</v>
      </c>
    </row>
    <row r="47" spans="1:26" ht="15.75" x14ac:dyDescent="0.25">
      <c r="A47" s="76">
        <v>9</v>
      </c>
      <c r="B47" s="97"/>
      <c r="C47" s="4" t="s">
        <v>37</v>
      </c>
      <c r="D47" s="4" t="s">
        <v>32</v>
      </c>
      <c r="E47" s="4">
        <v>30</v>
      </c>
      <c r="F47" s="4">
        <v>5</v>
      </c>
      <c r="G47" s="4">
        <v>0</v>
      </c>
      <c r="H47" s="4">
        <v>27</v>
      </c>
      <c r="I47" s="4">
        <v>3</v>
      </c>
      <c r="J47" s="5">
        <v>30</v>
      </c>
      <c r="K47" s="4">
        <v>3</v>
      </c>
      <c r="L47" s="4">
        <v>23</v>
      </c>
      <c r="M47" s="5">
        <v>0</v>
      </c>
      <c r="N47" s="4">
        <v>0</v>
      </c>
      <c r="O47" s="4">
        <v>0</v>
      </c>
      <c r="P47" s="5">
        <v>26</v>
      </c>
      <c r="Q47" s="4">
        <v>92</v>
      </c>
      <c r="R47" s="4">
        <v>0</v>
      </c>
      <c r="S47" s="4">
        <v>102</v>
      </c>
      <c r="T47" s="5">
        <v>4</v>
      </c>
      <c r="U47" s="5">
        <v>23</v>
      </c>
      <c r="V47" s="7">
        <v>3.4</v>
      </c>
      <c r="W47" s="7">
        <v>68</v>
      </c>
      <c r="X47" s="7">
        <v>4.4347826086956523</v>
      </c>
      <c r="Y47" s="6">
        <v>2.0869565217391304</v>
      </c>
      <c r="Z47" s="7">
        <v>4.5999999999999996</v>
      </c>
    </row>
    <row r="48" spans="1:26" ht="15.75" x14ac:dyDescent="0.25">
      <c r="A48" s="77"/>
      <c r="B48" s="99"/>
      <c r="C48" s="8" t="s">
        <v>37</v>
      </c>
      <c r="D48" s="8"/>
      <c r="E48" s="4">
        <v>30</v>
      </c>
      <c r="F48" s="8">
        <v>5</v>
      </c>
      <c r="G48" s="8">
        <v>0</v>
      </c>
      <c r="H48" s="8">
        <v>27</v>
      </c>
      <c r="I48" s="8">
        <v>3</v>
      </c>
      <c r="J48" s="8">
        <v>30</v>
      </c>
      <c r="K48" s="8">
        <v>3</v>
      </c>
      <c r="L48" s="8">
        <v>23</v>
      </c>
      <c r="M48" s="8">
        <v>0</v>
      </c>
      <c r="N48" s="8">
        <v>0</v>
      </c>
      <c r="O48" s="8">
        <v>0</v>
      </c>
      <c r="P48" s="8">
        <v>26</v>
      </c>
      <c r="Q48" s="8">
        <v>92</v>
      </c>
      <c r="R48" s="8">
        <v>0</v>
      </c>
      <c r="S48" s="8">
        <v>102</v>
      </c>
      <c r="T48" s="8">
        <v>4</v>
      </c>
      <c r="U48" s="8">
        <v>23</v>
      </c>
      <c r="V48" s="24">
        <v>3.4</v>
      </c>
      <c r="W48" s="24">
        <v>68</v>
      </c>
      <c r="X48" s="24">
        <v>4.4347826086956523</v>
      </c>
      <c r="Y48" s="24">
        <v>2.0869565217391304</v>
      </c>
      <c r="Z48" s="24">
        <v>4.5999999999999996</v>
      </c>
    </row>
    <row r="49" spans="1:26" ht="15.75" x14ac:dyDescent="0.25">
      <c r="A49" s="79" t="s">
        <v>85</v>
      </c>
      <c r="B49" s="80"/>
      <c r="C49" s="80"/>
      <c r="D49" s="81"/>
      <c r="E49" s="4">
        <v>30</v>
      </c>
      <c r="F49" s="20">
        <v>44</v>
      </c>
      <c r="G49" s="20">
        <v>9</v>
      </c>
      <c r="H49" s="20">
        <v>92</v>
      </c>
      <c r="I49" s="20">
        <v>7</v>
      </c>
      <c r="J49" s="11">
        <v>108</v>
      </c>
      <c r="K49" s="20">
        <v>6</v>
      </c>
      <c r="L49" s="20">
        <v>72</v>
      </c>
      <c r="M49" s="11">
        <v>17</v>
      </c>
      <c r="N49" s="20">
        <v>12</v>
      </c>
      <c r="O49" s="20">
        <v>5</v>
      </c>
      <c r="P49" s="11">
        <v>95</v>
      </c>
      <c r="Q49" s="20">
        <v>349</v>
      </c>
      <c r="R49" s="20">
        <v>2</v>
      </c>
      <c r="S49" s="20">
        <v>346</v>
      </c>
      <c r="T49" s="11">
        <v>13</v>
      </c>
      <c r="U49" s="11">
        <v>89</v>
      </c>
      <c r="V49" s="22">
        <v>11.533333333333333</v>
      </c>
      <c r="W49" s="12">
        <v>26.212121212121215</v>
      </c>
      <c r="X49" s="12">
        <v>3.8876404494382024</v>
      </c>
      <c r="Y49" s="12">
        <v>10.943820224719101</v>
      </c>
      <c r="Z49" s="12">
        <v>2.0227272727272729</v>
      </c>
    </row>
    <row r="50" spans="1:26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x14ac:dyDescent="0.25">
      <c r="A52" s="78" t="s">
        <v>1</v>
      </c>
      <c r="B52" s="78" t="s">
        <v>2</v>
      </c>
      <c r="C52" s="72" t="s">
        <v>3</v>
      </c>
      <c r="D52" s="72" t="s">
        <v>4</v>
      </c>
      <c r="E52" s="75" t="s">
        <v>5</v>
      </c>
      <c r="F52" s="72" t="s">
        <v>6</v>
      </c>
      <c r="G52" s="72" t="s">
        <v>7</v>
      </c>
      <c r="H52" s="72" t="s">
        <v>8</v>
      </c>
      <c r="I52" s="75" t="s">
        <v>9</v>
      </c>
      <c r="J52" s="72" t="s">
        <v>10</v>
      </c>
      <c r="K52" s="72" t="s">
        <v>11</v>
      </c>
      <c r="L52" s="72" t="s">
        <v>12</v>
      </c>
      <c r="M52" s="72" t="s">
        <v>13</v>
      </c>
      <c r="N52" s="72" t="s">
        <v>14</v>
      </c>
      <c r="O52" s="72" t="s">
        <v>15</v>
      </c>
      <c r="P52" s="72" t="s">
        <v>16</v>
      </c>
      <c r="Q52" s="72" t="s">
        <v>17</v>
      </c>
      <c r="R52" s="72" t="s">
        <v>18</v>
      </c>
      <c r="S52" s="72" t="s">
        <v>19</v>
      </c>
      <c r="T52" s="72" t="s">
        <v>20</v>
      </c>
      <c r="U52" s="73" t="s">
        <v>21</v>
      </c>
      <c r="V52" s="2" t="s">
        <v>22</v>
      </c>
      <c r="W52" s="2" t="s">
        <v>23</v>
      </c>
      <c r="X52" s="2" t="s">
        <v>24</v>
      </c>
      <c r="Y52" s="2" t="s">
        <v>25</v>
      </c>
      <c r="Z52" s="2" t="s">
        <v>26</v>
      </c>
    </row>
    <row r="53" spans="1:26" x14ac:dyDescent="0.25">
      <c r="A53" s="78"/>
      <c r="B53" s="78"/>
      <c r="C53" s="72"/>
      <c r="D53" s="72"/>
      <c r="E53" s="75"/>
      <c r="F53" s="72"/>
      <c r="G53" s="72"/>
      <c r="H53" s="72"/>
      <c r="I53" s="75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3"/>
      <c r="V53" s="71" t="s">
        <v>27</v>
      </c>
      <c r="W53" s="71" t="s">
        <v>28</v>
      </c>
      <c r="X53" s="71" t="s">
        <v>29</v>
      </c>
      <c r="Y53" s="71" t="s">
        <v>30</v>
      </c>
      <c r="Z53" s="71" t="s">
        <v>31</v>
      </c>
    </row>
    <row r="54" spans="1:26" x14ac:dyDescent="0.25">
      <c r="A54" s="78"/>
      <c r="B54" s="78"/>
      <c r="C54" s="72"/>
      <c r="D54" s="72"/>
      <c r="E54" s="75"/>
      <c r="F54" s="72"/>
      <c r="G54" s="72"/>
      <c r="H54" s="72"/>
      <c r="I54" s="75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3"/>
      <c r="V54" s="74"/>
      <c r="W54" s="71"/>
      <c r="X54" s="71"/>
      <c r="Y54" s="71"/>
      <c r="Z54" s="71"/>
    </row>
    <row r="55" spans="1:26" x14ac:dyDescent="0.25">
      <c r="A55" s="78"/>
      <c r="B55" s="78"/>
      <c r="C55" s="72"/>
      <c r="D55" s="72"/>
      <c r="E55" s="75"/>
      <c r="F55" s="72"/>
      <c r="G55" s="3">
        <v>1</v>
      </c>
      <c r="H55" s="3">
        <v>2</v>
      </c>
      <c r="I55" s="3">
        <v>3</v>
      </c>
      <c r="J55" s="3">
        <v>4</v>
      </c>
      <c r="K55" s="3">
        <v>5</v>
      </c>
      <c r="L55" s="3">
        <v>6</v>
      </c>
      <c r="M55" s="3">
        <v>7</v>
      </c>
      <c r="N55" s="3">
        <v>8</v>
      </c>
      <c r="O55" s="3">
        <v>9</v>
      </c>
      <c r="P55" s="3">
        <v>10</v>
      </c>
      <c r="Q55" s="3">
        <v>11</v>
      </c>
      <c r="R55" s="3">
        <v>12</v>
      </c>
      <c r="S55" s="3">
        <v>13</v>
      </c>
      <c r="T55" s="3">
        <v>14</v>
      </c>
      <c r="U55" s="73"/>
      <c r="V55" s="16">
        <v>15</v>
      </c>
      <c r="W55" s="16">
        <v>16</v>
      </c>
      <c r="X55" s="16">
        <v>17</v>
      </c>
      <c r="Y55" s="16">
        <v>18</v>
      </c>
      <c r="Z55" s="16">
        <v>19</v>
      </c>
    </row>
    <row r="56" spans="1:26" ht="15.75" x14ac:dyDescent="0.25">
      <c r="A56" s="19">
        <v>1</v>
      </c>
      <c r="B56" s="19" t="s">
        <v>59</v>
      </c>
      <c r="C56" s="4" t="s">
        <v>57</v>
      </c>
      <c r="D56" s="4" t="s">
        <v>36</v>
      </c>
      <c r="E56" s="4">
        <v>30</v>
      </c>
      <c r="F56" s="4">
        <v>30</v>
      </c>
      <c r="G56" s="4">
        <v>24</v>
      </c>
      <c r="H56" s="4">
        <v>208</v>
      </c>
      <c r="I56" s="4">
        <v>13</v>
      </c>
      <c r="J56" s="5">
        <v>245</v>
      </c>
      <c r="K56" s="4">
        <v>82</v>
      </c>
      <c r="L56" s="4">
        <v>133</v>
      </c>
      <c r="M56" s="5">
        <v>6</v>
      </c>
      <c r="N56" s="4">
        <v>3</v>
      </c>
      <c r="O56" s="4">
        <v>3</v>
      </c>
      <c r="P56" s="5">
        <v>221</v>
      </c>
      <c r="Q56" s="4">
        <v>805</v>
      </c>
      <c r="R56" s="4">
        <v>1</v>
      </c>
      <c r="S56" s="4">
        <v>758</v>
      </c>
      <c r="T56" s="5">
        <v>24</v>
      </c>
      <c r="U56" s="5">
        <v>139</v>
      </c>
      <c r="V56" s="7">
        <v>25.266666666666666</v>
      </c>
      <c r="W56" s="7">
        <v>84.222222222222214</v>
      </c>
      <c r="X56" s="7">
        <v>5.4532374100719423</v>
      </c>
      <c r="Y56" s="6">
        <v>1.02158273381295</v>
      </c>
      <c r="Z56" s="7">
        <v>4.6333333333333337</v>
      </c>
    </row>
    <row r="57" spans="1:26" ht="15.75" x14ac:dyDescent="0.25">
      <c r="A57" s="103" t="s">
        <v>57</v>
      </c>
      <c r="B57" s="104"/>
      <c r="C57" s="104"/>
      <c r="D57" s="105"/>
      <c r="E57" s="4">
        <v>30</v>
      </c>
      <c r="F57" s="20">
        <v>30</v>
      </c>
      <c r="G57" s="20">
        <v>24</v>
      </c>
      <c r="H57" s="20">
        <v>208</v>
      </c>
      <c r="I57" s="20">
        <v>13</v>
      </c>
      <c r="J57" s="11">
        <v>245</v>
      </c>
      <c r="K57" s="20">
        <v>82</v>
      </c>
      <c r="L57" s="20">
        <v>133</v>
      </c>
      <c r="M57" s="11">
        <v>6</v>
      </c>
      <c r="N57" s="20">
        <v>3</v>
      </c>
      <c r="O57" s="20">
        <v>3</v>
      </c>
      <c r="P57" s="11">
        <v>221</v>
      </c>
      <c r="Q57" s="20">
        <v>805</v>
      </c>
      <c r="R57" s="20">
        <v>1</v>
      </c>
      <c r="S57" s="20">
        <v>758</v>
      </c>
      <c r="T57" s="11">
        <v>24</v>
      </c>
      <c r="U57" s="11">
        <v>139</v>
      </c>
      <c r="V57" s="20">
        <v>25.266666666666666</v>
      </c>
      <c r="W57" s="12">
        <v>84.222222222222214</v>
      </c>
      <c r="X57" s="12">
        <v>5.4532374100719423</v>
      </c>
      <c r="Y57" s="12">
        <v>1.02158273381295</v>
      </c>
      <c r="Z57" s="12">
        <v>4.6333333333333337</v>
      </c>
    </row>
    <row r="58" spans="1:26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x14ac:dyDescent="0.25">
      <c r="A60" s="78" t="s">
        <v>1</v>
      </c>
      <c r="B60" s="78" t="s">
        <v>2</v>
      </c>
      <c r="C60" s="72" t="s">
        <v>3</v>
      </c>
      <c r="D60" s="72" t="s">
        <v>4</v>
      </c>
      <c r="E60" s="75" t="s">
        <v>5</v>
      </c>
      <c r="F60" s="72" t="s">
        <v>6</v>
      </c>
      <c r="G60" s="72" t="s">
        <v>7</v>
      </c>
      <c r="H60" s="72" t="s">
        <v>8</v>
      </c>
      <c r="I60" s="75" t="s">
        <v>9</v>
      </c>
      <c r="J60" s="72" t="s">
        <v>10</v>
      </c>
      <c r="K60" s="72" t="s">
        <v>11</v>
      </c>
      <c r="L60" s="72" t="s">
        <v>12</v>
      </c>
      <c r="M60" s="72" t="s">
        <v>13</v>
      </c>
      <c r="N60" s="72" t="s">
        <v>14</v>
      </c>
      <c r="O60" s="72" t="s">
        <v>15</v>
      </c>
      <c r="P60" s="72" t="s">
        <v>16</v>
      </c>
      <c r="Q60" s="72" t="s">
        <v>17</v>
      </c>
      <c r="R60" s="72" t="s">
        <v>18</v>
      </c>
      <c r="S60" s="72" t="s">
        <v>19</v>
      </c>
      <c r="T60" s="72" t="s">
        <v>20</v>
      </c>
      <c r="U60" s="73" t="s">
        <v>21</v>
      </c>
      <c r="V60" s="2" t="s">
        <v>22</v>
      </c>
      <c r="W60" s="2" t="s">
        <v>23</v>
      </c>
      <c r="X60" s="2" t="s">
        <v>24</v>
      </c>
      <c r="Y60" s="2" t="s">
        <v>25</v>
      </c>
      <c r="Z60" s="2" t="s">
        <v>26</v>
      </c>
    </row>
    <row r="61" spans="1:26" x14ac:dyDescent="0.25">
      <c r="A61" s="78"/>
      <c r="B61" s="78"/>
      <c r="C61" s="72"/>
      <c r="D61" s="72"/>
      <c r="E61" s="75"/>
      <c r="F61" s="72"/>
      <c r="G61" s="72"/>
      <c r="H61" s="72"/>
      <c r="I61" s="75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3"/>
      <c r="V61" s="71" t="s">
        <v>27</v>
      </c>
      <c r="W61" s="71" t="s">
        <v>28</v>
      </c>
      <c r="X61" s="71" t="s">
        <v>29</v>
      </c>
      <c r="Y61" s="71" t="s">
        <v>30</v>
      </c>
      <c r="Z61" s="71" t="s">
        <v>31</v>
      </c>
    </row>
    <row r="62" spans="1:26" x14ac:dyDescent="0.25">
      <c r="A62" s="78"/>
      <c r="B62" s="78"/>
      <c r="C62" s="72"/>
      <c r="D62" s="72"/>
      <c r="E62" s="75"/>
      <c r="F62" s="72"/>
      <c r="G62" s="72"/>
      <c r="H62" s="72"/>
      <c r="I62" s="75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1"/>
      <c r="X62" s="71"/>
      <c r="Y62" s="71"/>
      <c r="Z62" s="71"/>
    </row>
    <row r="63" spans="1:26" x14ac:dyDescent="0.25">
      <c r="A63" s="78"/>
      <c r="B63" s="78"/>
      <c r="C63" s="72"/>
      <c r="D63" s="72"/>
      <c r="E63" s="75"/>
      <c r="F63" s="72"/>
      <c r="G63" s="3">
        <v>1</v>
      </c>
      <c r="H63" s="3">
        <v>2</v>
      </c>
      <c r="I63" s="3">
        <v>3</v>
      </c>
      <c r="J63" s="3">
        <v>4</v>
      </c>
      <c r="K63" s="3">
        <v>5</v>
      </c>
      <c r="L63" s="3">
        <v>6</v>
      </c>
      <c r="M63" s="3">
        <v>7</v>
      </c>
      <c r="N63" s="3">
        <v>8</v>
      </c>
      <c r="O63" s="3">
        <v>9</v>
      </c>
      <c r="P63" s="3">
        <v>10</v>
      </c>
      <c r="Q63" s="3">
        <v>11</v>
      </c>
      <c r="R63" s="3">
        <v>12</v>
      </c>
      <c r="S63" s="3">
        <v>13</v>
      </c>
      <c r="T63" s="3">
        <v>14</v>
      </c>
      <c r="U63" s="73"/>
      <c r="V63" s="16">
        <v>15</v>
      </c>
      <c r="W63" s="16">
        <v>16</v>
      </c>
      <c r="X63" s="16">
        <v>17</v>
      </c>
      <c r="Y63" s="16">
        <v>18</v>
      </c>
      <c r="Z63" s="16">
        <v>19</v>
      </c>
    </row>
    <row r="64" spans="1:26" ht="15.75" x14ac:dyDescent="0.25">
      <c r="A64" s="76">
        <v>1</v>
      </c>
      <c r="B64" s="96" t="s">
        <v>75</v>
      </c>
      <c r="C64" s="4" t="s">
        <v>54</v>
      </c>
      <c r="D64" s="4" t="s">
        <v>48</v>
      </c>
      <c r="E64" s="4">
        <v>30</v>
      </c>
      <c r="F64" s="4">
        <v>8</v>
      </c>
      <c r="G64" s="4">
        <v>4</v>
      </c>
      <c r="H64" s="4">
        <v>38</v>
      </c>
      <c r="I64" s="4">
        <v>5</v>
      </c>
      <c r="J64" s="5">
        <v>47</v>
      </c>
      <c r="K64" s="4">
        <v>3</v>
      </c>
      <c r="L64" s="4">
        <v>36</v>
      </c>
      <c r="M64" s="5">
        <v>4</v>
      </c>
      <c r="N64" s="4">
        <v>1</v>
      </c>
      <c r="O64" s="4">
        <v>3</v>
      </c>
      <c r="P64" s="5">
        <v>43</v>
      </c>
      <c r="Q64" s="4">
        <v>158</v>
      </c>
      <c r="R64" s="4">
        <v>0</v>
      </c>
      <c r="S64" s="4">
        <v>148</v>
      </c>
      <c r="T64" s="5">
        <v>4</v>
      </c>
      <c r="U64" s="5">
        <v>40</v>
      </c>
      <c r="V64" s="7">
        <v>4.9333333333333336</v>
      </c>
      <c r="W64" s="7">
        <v>61.666666666666671</v>
      </c>
      <c r="X64" s="7">
        <v>3.7</v>
      </c>
      <c r="Y64" s="6">
        <v>2.2999999999999998</v>
      </c>
      <c r="Z64" s="7">
        <v>5</v>
      </c>
    </row>
    <row r="65" spans="1:26" ht="15.75" x14ac:dyDescent="0.25">
      <c r="A65" s="77"/>
      <c r="B65" s="97"/>
      <c r="C65" s="8" t="s">
        <v>54</v>
      </c>
      <c r="D65" s="8" t="s">
        <v>48</v>
      </c>
      <c r="E65" s="4">
        <v>30</v>
      </c>
      <c r="F65" s="8">
        <v>8</v>
      </c>
      <c r="G65" s="8">
        <v>4</v>
      </c>
      <c r="H65" s="8">
        <v>38</v>
      </c>
      <c r="I65" s="8">
        <v>5</v>
      </c>
      <c r="J65" s="8">
        <v>47</v>
      </c>
      <c r="K65" s="8">
        <v>3</v>
      </c>
      <c r="L65" s="8">
        <v>36</v>
      </c>
      <c r="M65" s="8">
        <v>4</v>
      </c>
      <c r="N65" s="8">
        <v>1</v>
      </c>
      <c r="O65" s="8">
        <v>3</v>
      </c>
      <c r="P65" s="8">
        <v>43</v>
      </c>
      <c r="Q65" s="8">
        <v>158</v>
      </c>
      <c r="R65" s="8">
        <v>0</v>
      </c>
      <c r="S65" s="8">
        <v>148</v>
      </c>
      <c r="T65" s="8">
        <v>4</v>
      </c>
      <c r="U65" s="8">
        <v>40</v>
      </c>
      <c r="V65" s="24">
        <v>4.9333333333333336</v>
      </c>
      <c r="W65" s="24">
        <v>61.666666666666671</v>
      </c>
      <c r="X65" s="24">
        <v>3.7</v>
      </c>
      <c r="Y65" s="24">
        <v>2.2999999999999998</v>
      </c>
      <c r="Z65" s="24">
        <v>5</v>
      </c>
    </row>
    <row r="66" spans="1:26" ht="15.75" x14ac:dyDescent="0.25">
      <c r="A66" s="76">
        <v>2</v>
      </c>
      <c r="B66" s="97"/>
      <c r="C66" s="4" t="s">
        <v>47</v>
      </c>
      <c r="D66" s="4" t="s">
        <v>48</v>
      </c>
      <c r="E66" s="4">
        <v>30</v>
      </c>
      <c r="F66" s="4">
        <v>2</v>
      </c>
      <c r="G66" s="4">
        <v>0</v>
      </c>
      <c r="H66" s="4">
        <v>1</v>
      </c>
      <c r="I66" s="4">
        <v>0</v>
      </c>
      <c r="J66" s="5">
        <v>1</v>
      </c>
      <c r="K66" s="4">
        <v>0</v>
      </c>
      <c r="L66" s="4">
        <v>1</v>
      </c>
      <c r="M66" s="5">
        <v>0</v>
      </c>
      <c r="N66" s="4">
        <v>0</v>
      </c>
      <c r="O66" s="4">
        <v>0</v>
      </c>
      <c r="P66" s="5">
        <v>1</v>
      </c>
      <c r="Q66" s="4">
        <v>2</v>
      </c>
      <c r="R66" s="4">
        <v>0</v>
      </c>
      <c r="S66" s="4">
        <v>2</v>
      </c>
      <c r="T66" s="5">
        <v>0</v>
      </c>
      <c r="U66" s="5">
        <v>1</v>
      </c>
      <c r="V66" s="7">
        <v>6.6666666666666666E-2</v>
      </c>
      <c r="W66" s="7">
        <v>3.3333333333333335</v>
      </c>
      <c r="X66" s="7">
        <v>2</v>
      </c>
      <c r="Y66" s="6">
        <v>58</v>
      </c>
      <c r="Z66" s="7">
        <v>0.5</v>
      </c>
    </row>
    <row r="67" spans="1:26" ht="15.75" x14ac:dyDescent="0.25">
      <c r="A67" s="77"/>
      <c r="B67" s="97"/>
      <c r="C67" s="8" t="s">
        <v>47</v>
      </c>
      <c r="D67" s="8" t="s">
        <v>48</v>
      </c>
      <c r="E67" s="4">
        <v>30</v>
      </c>
      <c r="F67" s="8">
        <v>2</v>
      </c>
      <c r="G67" s="8">
        <v>0</v>
      </c>
      <c r="H67" s="8">
        <v>1</v>
      </c>
      <c r="I67" s="8">
        <v>0</v>
      </c>
      <c r="J67" s="8">
        <v>1</v>
      </c>
      <c r="K67" s="8">
        <v>0</v>
      </c>
      <c r="L67" s="8">
        <v>1</v>
      </c>
      <c r="M67" s="8">
        <v>0</v>
      </c>
      <c r="N67" s="8">
        <v>0</v>
      </c>
      <c r="O67" s="8">
        <v>0</v>
      </c>
      <c r="P67" s="8">
        <v>1</v>
      </c>
      <c r="Q67" s="8">
        <v>2</v>
      </c>
      <c r="R67" s="8">
        <v>0</v>
      </c>
      <c r="S67" s="8">
        <v>2</v>
      </c>
      <c r="T67" s="8">
        <v>0</v>
      </c>
      <c r="U67" s="8">
        <v>1</v>
      </c>
      <c r="V67" s="24">
        <v>6.6666666666666666E-2</v>
      </c>
      <c r="W67" s="24">
        <v>3.3333333333333335</v>
      </c>
      <c r="X67" s="24">
        <v>2</v>
      </c>
      <c r="Y67" s="24">
        <v>58</v>
      </c>
      <c r="Z67" s="24">
        <v>0.5</v>
      </c>
    </row>
    <row r="68" spans="1:26" ht="15.75" x14ac:dyDescent="0.25">
      <c r="A68" s="76">
        <v>3</v>
      </c>
      <c r="B68" s="97"/>
      <c r="C68" s="4" t="s">
        <v>42</v>
      </c>
      <c r="D68" s="4" t="s">
        <v>48</v>
      </c>
      <c r="E68" s="4">
        <v>30</v>
      </c>
      <c r="F68" s="4">
        <v>8</v>
      </c>
      <c r="G68" s="4">
        <v>3</v>
      </c>
      <c r="H68" s="4">
        <v>44</v>
      </c>
      <c r="I68" s="4">
        <v>7</v>
      </c>
      <c r="J68" s="5">
        <v>54</v>
      </c>
      <c r="K68" s="4">
        <v>12</v>
      </c>
      <c r="L68" s="4">
        <v>33</v>
      </c>
      <c r="M68" s="5">
        <v>2</v>
      </c>
      <c r="N68" s="4">
        <v>0</v>
      </c>
      <c r="O68" s="4">
        <v>2</v>
      </c>
      <c r="P68" s="5">
        <v>47</v>
      </c>
      <c r="Q68" s="4">
        <v>141</v>
      </c>
      <c r="R68" s="4">
        <v>0</v>
      </c>
      <c r="S68" s="4">
        <v>155</v>
      </c>
      <c r="T68" s="5">
        <v>7</v>
      </c>
      <c r="U68" s="5">
        <v>35</v>
      </c>
      <c r="V68" s="7">
        <v>5.166666666666667</v>
      </c>
      <c r="W68" s="7">
        <v>64.583333333333343</v>
      </c>
      <c r="X68" s="7">
        <v>4.4285714285714288</v>
      </c>
      <c r="Y68" s="6">
        <v>2.4285714285714284</v>
      </c>
      <c r="Z68" s="7">
        <v>4.375</v>
      </c>
    </row>
    <row r="69" spans="1:26" ht="15.75" x14ac:dyDescent="0.25">
      <c r="A69" s="77"/>
      <c r="B69" s="97"/>
      <c r="C69" s="8" t="s">
        <v>42</v>
      </c>
      <c r="D69" s="8" t="s">
        <v>48</v>
      </c>
      <c r="E69" s="4">
        <v>30</v>
      </c>
      <c r="F69" s="8">
        <v>8</v>
      </c>
      <c r="G69" s="8">
        <v>3</v>
      </c>
      <c r="H69" s="8">
        <v>44</v>
      </c>
      <c r="I69" s="8">
        <v>7</v>
      </c>
      <c r="J69" s="8">
        <v>54</v>
      </c>
      <c r="K69" s="8">
        <v>12</v>
      </c>
      <c r="L69" s="8">
        <v>33</v>
      </c>
      <c r="M69" s="8">
        <v>2</v>
      </c>
      <c r="N69" s="8">
        <v>0</v>
      </c>
      <c r="O69" s="8">
        <v>2</v>
      </c>
      <c r="P69" s="8">
        <v>47</v>
      </c>
      <c r="Q69" s="8">
        <v>141</v>
      </c>
      <c r="R69" s="8">
        <v>0</v>
      </c>
      <c r="S69" s="8">
        <v>155</v>
      </c>
      <c r="T69" s="8">
        <v>7</v>
      </c>
      <c r="U69" s="8">
        <v>35</v>
      </c>
      <c r="V69" s="24">
        <v>5.166666666666667</v>
      </c>
      <c r="W69" s="24">
        <v>64.583333333333343</v>
      </c>
      <c r="X69" s="24">
        <v>4.4285714285714288</v>
      </c>
      <c r="Y69" s="24">
        <v>2.4285714285714284</v>
      </c>
      <c r="Z69" s="24">
        <v>4.375</v>
      </c>
    </row>
    <row r="70" spans="1:26" ht="15.75" x14ac:dyDescent="0.25">
      <c r="A70" s="103" t="s">
        <v>75</v>
      </c>
      <c r="B70" s="104"/>
      <c r="C70" s="105"/>
      <c r="D70" s="25" t="s">
        <v>48</v>
      </c>
      <c r="E70" s="4">
        <v>30</v>
      </c>
      <c r="F70" s="20">
        <v>18</v>
      </c>
      <c r="G70" s="20">
        <v>7</v>
      </c>
      <c r="H70" s="20">
        <v>83</v>
      </c>
      <c r="I70" s="20">
        <v>12</v>
      </c>
      <c r="J70" s="11">
        <v>102</v>
      </c>
      <c r="K70" s="20">
        <v>15</v>
      </c>
      <c r="L70" s="20">
        <v>70</v>
      </c>
      <c r="M70" s="11">
        <v>6</v>
      </c>
      <c r="N70" s="20">
        <v>1</v>
      </c>
      <c r="O70" s="20">
        <v>5</v>
      </c>
      <c r="P70" s="11">
        <v>91</v>
      </c>
      <c r="Q70" s="20">
        <v>301</v>
      </c>
      <c r="R70" s="20">
        <v>0</v>
      </c>
      <c r="S70" s="20">
        <v>305</v>
      </c>
      <c r="T70" s="11">
        <v>11</v>
      </c>
      <c r="U70" s="11">
        <v>76</v>
      </c>
      <c r="V70" s="20">
        <v>10.166666666666666</v>
      </c>
      <c r="W70" s="12">
        <v>56.481481481481474</v>
      </c>
      <c r="X70" s="12">
        <v>4.0131578947368425</v>
      </c>
      <c r="Y70" s="12">
        <v>3.0921052631578951</v>
      </c>
      <c r="Z70" s="12">
        <v>4.2222222222222223</v>
      </c>
    </row>
    <row r="71" spans="1:26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1:26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26" x14ac:dyDescent="0.25">
      <c r="A73" s="78" t="s">
        <v>1</v>
      </c>
      <c r="B73" s="78" t="s">
        <v>2</v>
      </c>
      <c r="C73" s="72" t="s">
        <v>3</v>
      </c>
      <c r="D73" s="72" t="s">
        <v>4</v>
      </c>
      <c r="E73" s="75" t="s">
        <v>5</v>
      </c>
      <c r="F73" s="72" t="s">
        <v>6</v>
      </c>
      <c r="G73" s="72" t="s">
        <v>7</v>
      </c>
      <c r="H73" s="72" t="s">
        <v>8</v>
      </c>
      <c r="I73" s="75" t="s">
        <v>9</v>
      </c>
      <c r="J73" s="72" t="s">
        <v>10</v>
      </c>
      <c r="K73" s="72" t="s">
        <v>11</v>
      </c>
      <c r="L73" s="72" t="s">
        <v>12</v>
      </c>
      <c r="M73" s="72" t="s">
        <v>13</v>
      </c>
      <c r="N73" s="72" t="s">
        <v>14</v>
      </c>
      <c r="O73" s="72" t="s">
        <v>15</v>
      </c>
      <c r="P73" s="72" t="s">
        <v>16</v>
      </c>
      <c r="Q73" s="72" t="s">
        <v>17</v>
      </c>
      <c r="R73" s="72" t="s">
        <v>18</v>
      </c>
      <c r="S73" s="72" t="s">
        <v>19</v>
      </c>
      <c r="T73" s="72" t="s">
        <v>20</v>
      </c>
      <c r="U73" s="73" t="s">
        <v>21</v>
      </c>
      <c r="V73" s="2" t="s">
        <v>22</v>
      </c>
      <c r="W73" s="2" t="s">
        <v>23</v>
      </c>
      <c r="X73" s="2" t="s">
        <v>24</v>
      </c>
      <c r="Y73" s="2" t="s">
        <v>25</v>
      </c>
      <c r="Z73" s="2" t="s">
        <v>26</v>
      </c>
    </row>
    <row r="74" spans="1:26" x14ac:dyDescent="0.25">
      <c r="A74" s="78"/>
      <c r="B74" s="78"/>
      <c r="C74" s="72"/>
      <c r="D74" s="72"/>
      <c r="E74" s="75"/>
      <c r="F74" s="72"/>
      <c r="G74" s="72"/>
      <c r="H74" s="72"/>
      <c r="I74" s="75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3"/>
      <c r="V74" s="71" t="s">
        <v>27</v>
      </c>
      <c r="W74" s="71" t="s">
        <v>28</v>
      </c>
      <c r="X74" s="71" t="s">
        <v>29</v>
      </c>
      <c r="Y74" s="71" t="s">
        <v>30</v>
      </c>
      <c r="Z74" s="71" t="s">
        <v>31</v>
      </c>
    </row>
    <row r="75" spans="1:26" x14ac:dyDescent="0.25">
      <c r="A75" s="78"/>
      <c r="B75" s="78"/>
      <c r="C75" s="72"/>
      <c r="D75" s="72"/>
      <c r="E75" s="75"/>
      <c r="F75" s="72"/>
      <c r="G75" s="72"/>
      <c r="H75" s="72"/>
      <c r="I75" s="75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3"/>
      <c r="V75" s="74"/>
      <c r="W75" s="71"/>
      <c r="X75" s="71"/>
      <c r="Y75" s="71"/>
      <c r="Z75" s="71"/>
    </row>
    <row r="76" spans="1:26" x14ac:dyDescent="0.25">
      <c r="A76" s="78"/>
      <c r="B76" s="78"/>
      <c r="C76" s="72"/>
      <c r="D76" s="72"/>
      <c r="E76" s="75"/>
      <c r="F76" s="72"/>
      <c r="G76" s="3">
        <v>1</v>
      </c>
      <c r="H76" s="3">
        <v>2</v>
      </c>
      <c r="I76" s="3">
        <v>3</v>
      </c>
      <c r="J76" s="3">
        <v>4</v>
      </c>
      <c r="K76" s="3">
        <v>5</v>
      </c>
      <c r="L76" s="3">
        <v>6</v>
      </c>
      <c r="M76" s="3">
        <v>7</v>
      </c>
      <c r="N76" s="3">
        <v>8</v>
      </c>
      <c r="O76" s="3">
        <v>9</v>
      </c>
      <c r="P76" s="3">
        <v>10</v>
      </c>
      <c r="Q76" s="3">
        <v>11</v>
      </c>
      <c r="R76" s="3">
        <v>12</v>
      </c>
      <c r="S76" s="3">
        <v>13</v>
      </c>
      <c r="T76" s="3">
        <v>14</v>
      </c>
      <c r="U76" s="73"/>
      <c r="V76" s="16">
        <v>15</v>
      </c>
      <c r="W76" s="16">
        <v>16</v>
      </c>
      <c r="X76" s="16">
        <v>17</v>
      </c>
      <c r="Y76" s="16">
        <v>18</v>
      </c>
      <c r="Z76" s="16">
        <v>19</v>
      </c>
    </row>
    <row r="77" spans="1:26" ht="15.75" x14ac:dyDescent="0.25">
      <c r="A77" s="76">
        <v>1</v>
      </c>
      <c r="B77" s="96" t="s">
        <v>76</v>
      </c>
      <c r="C77" s="4" t="s">
        <v>44</v>
      </c>
      <c r="D77" s="4" t="s">
        <v>43</v>
      </c>
      <c r="E77" s="4">
        <v>30</v>
      </c>
      <c r="F77" s="4">
        <v>2</v>
      </c>
      <c r="G77" s="4">
        <v>2</v>
      </c>
      <c r="H77" s="4">
        <v>14</v>
      </c>
      <c r="I77" s="4">
        <v>6</v>
      </c>
      <c r="J77" s="5">
        <v>22</v>
      </c>
      <c r="K77" s="4">
        <v>0</v>
      </c>
      <c r="L77" s="4">
        <v>19</v>
      </c>
      <c r="M77" s="5">
        <v>0</v>
      </c>
      <c r="N77" s="4">
        <v>0</v>
      </c>
      <c r="O77" s="4">
        <v>0</v>
      </c>
      <c r="P77" s="5">
        <v>19</v>
      </c>
      <c r="Q77" s="4">
        <v>82</v>
      </c>
      <c r="R77" s="4">
        <v>0</v>
      </c>
      <c r="S77" s="4">
        <v>70</v>
      </c>
      <c r="T77" s="5">
        <v>3</v>
      </c>
      <c r="U77" s="5">
        <v>19</v>
      </c>
      <c r="V77" s="7">
        <v>2.3333333333333335</v>
      </c>
      <c r="W77" s="7">
        <v>116.66666666666667</v>
      </c>
      <c r="X77" s="7">
        <v>3.6842105263157894</v>
      </c>
      <c r="Y77" s="6">
        <v>-0.5263157894736844</v>
      </c>
      <c r="Z77" s="7">
        <v>9.5</v>
      </c>
    </row>
    <row r="78" spans="1:26" ht="15.75" x14ac:dyDescent="0.25">
      <c r="A78" s="77"/>
      <c r="B78" s="97"/>
      <c r="C78" s="8" t="s">
        <v>44</v>
      </c>
      <c r="D78" s="8" t="s">
        <v>43</v>
      </c>
      <c r="E78" s="4">
        <v>30</v>
      </c>
      <c r="F78" s="8">
        <v>2</v>
      </c>
      <c r="G78" s="8">
        <v>2</v>
      </c>
      <c r="H78" s="8">
        <v>14</v>
      </c>
      <c r="I78" s="8">
        <v>6</v>
      </c>
      <c r="J78" s="8">
        <v>22</v>
      </c>
      <c r="K78" s="8">
        <v>0</v>
      </c>
      <c r="L78" s="8">
        <v>19</v>
      </c>
      <c r="M78" s="8">
        <v>0</v>
      </c>
      <c r="N78" s="8">
        <v>0</v>
      </c>
      <c r="O78" s="8">
        <v>0</v>
      </c>
      <c r="P78" s="8">
        <v>19</v>
      </c>
      <c r="Q78" s="8">
        <v>82</v>
      </c>
      <c r="R78" s="8">
        <v>0</v>
      </c>
      <c r="S78" s="8">
        <v>70</v>
      </c>
      <c r="T78" s="8">
        <v>3</v>
      </c>
      <c r="U78" s="8">
        <v>19</v>
      </c>
      <c r="V78" s="24">
        <v>2.3333333333333335</v>
      </c>
      <c r="W78" s="24">
        <v>116.66666666666667</v>
      </c>
      <c r="X78" s="24">
        <v>3.6842105263157894</v>
      </c>
      <c r="Y78" s="24">
        <v>-0.5263157894736844</v>
      </c>
      <c r="Z78" s="24">
        <v>9.5</v>
      </c>
    </row>
    <row r="79" spans="1:26" ht="15.75" x14ac:dyDescent="0.25">
      <c r="A79" s="76">
        <v>2</v>
      </c>
      <c r="B79" s="97"/>
      <c r="C79" s="4" t="s">
        <v>47</v>
      </c>
      <c r="D79" s="4" t="s">
        <v>43</v>
      </c>
      <c r="E79" s="4">
        <v>30</v>
      </c>
      <c r="F79" s="4">
        <v>13</v>
      </c>
      <c r="G79" s="4">
        <v>12</v>
      </c>
      <c r="H79" s="4">
        <v>113</v>
      </c>
      <c r="I79" s="4">
        <v>13</v>
      </c>
      <c r="J79" s="5">
        <v>138</v>
      </c>
      <c r="K79" s="4">
        <v>8</v>
      </c>
      <c r="L79" s="4">
        <v>107</v>
      </c>
      <c r="M79" s="5">
        <v>8</v>
      </c>
      <c r="N79" s="4">
        <v>2</v>
      </c>
      <c r="O79" s="4">
        <v>6</v>
      </c>
      <c r="P79" s="5">
        <v>123</v>
      </c>
      <c r="Q79" s="4">
        <v>431</v>
      </c>
      <c r="R79" s="4">
        <v>1</v>
      </c>
      <c r="S79" s="4">
        <v>415</v>
      </c>
      <c r="T79" s="5">
        <v>15</v>
      </c>
      <c r="U79" s="5">
        <v>115</v>
      </c>
      <c r="V79" s="7">
        <v>13.833333333333334</v>
      </c>
      <c r="W79" s="7">
        <v>106.41025641025641</v>
      </c>
      <c r="X79" s="7">
        <v>3.6086956521739131</v>
      </c>
      <c r="Y79" s="6">
        <v>-0.21739130434782625</v>
      </c>
      <c r="Z79" s="7">
        <v>8.8461538461538467</v>
      </c>
    </row>
    <row r="80" spans="1:26" ht="15.75" x14ac:dyDescent="0.25">
      <c r="A80" s="77"/>
      <c r="B80" s="97"/>
      <c r="C80" s="8" t="s">
        <v>47</v>
      </c>
      <c r="D80" s="8" t="s">
        <v>43</v>
      </c>
      <c r="E80" s="4">
        <v>30</v>
      </c>
      <c r="F80" s="8">
        <v>13</v>
      </c>
      <c r="G80" s="8">
        <v>12</v>
      </c>
      <c r="H80" s="8">
        <v>113</v>
      </c>
      <c r="I80" s="8">
        <v>13</v>
      </c>
      <c r="J80" s="8">
        <v>138</v>
      </c>
      <c r="K80" s="8">
        <v>8</v>
      </c>
      <c r="L80" s="8">
        <v>107</v>
      </c>
      <c r="M80" s="8">
        <v>8</v>
      </c>
      <c r="N80" s="8">
        <v>2</v>
      </c>
      <c r="O80" s="8">
        <v>6</v>
      </c>
      <c r="P80" s="8">
        <v>123</v>
      </c>
      <c r="Q80" s="8">
        <v>431</v>
      </c>
      <c r="R80" s="8">
        <v>1</v>
      </c>
      <c r="S80" s="8">
        <v>415</v>
      </c>
      <c r="T80" s="8">
        <v>15</v>
      </c>
      <c r="U80" s="8">
        <v>115</v>
      </c>
      <c r="V80" s="24">
        <v>13.833333333333334</v>
      </c>
      <c r="W80" s="24">
        <v>106.41025641025641</v>
      </c>
      <c r="X80" s="24">
        <v>3.6086956521739131</v>
      </c>
      <c r="Y80" s="24">
        <v>-0.21739130434782625</v>
      </c>
      <c r="Z80" s="24">
        <v>8.8461538461538467</v>
      </c>
    </row>
    <row r="81" spans="1:26" ht="15.75" x14ac:dyDescent="0.25">
      <c r="A81" s="76">
        <v>3</v>
      </c>
      <c r="B81" s="97"/>
      <c r="C81" s="4" t="s">
        <v>56</v>
      </c>
      <c r="D81" s="4" t="s">
        <v>43</v>
      </c>
      <c r="E81" s="4">
        <v>30</v>
      </c>
      <c r="F81" s="4">
        <v>3</v>
      </c>
      <c r="G81" s="4">
        <v>3</v>
      </c>
      <c r="H81" s="4">
        <v>24</v>
      </c>
      <c r="I81" s="4">
        <v>27</v>
      </c>
      <c r="J81" s="5">
        <v>54</v>
      </c>
      <c r="K81" s="4">
        <v>39</v>
      </c>
      <c r="L81" s="4">
        <v>13</v>
      </c>
      <c r="M81" s="5">
        <v>0</v>
      </c>
      <c r="N81" s="4">
        <v>0</v>
      </c>
      <c r="O81" s="4">
        <v>0</v>
      </c>
      <c r="P81" s="5">
        <v>52</v>
      </c>
      <c r="Q81" s="4">
        <v>31</v>
      </c>
      <c r="R81" s="4">
        <v>0</v>
      </c>
      <c r="S81" s="4">
        <v>36</v>
      </c>
      <c r="T81" s="5">
        <v>2</v>
      </c>
      <c r="U81" s="5">
        <v>13</v>
      </c>
      <c r="V81" s="7">
        <v>1.2</v>
      </c>
      <c r="W81" s="7">
        <v>40</v>
      </c>
      <c r="X81" s="7">
        <v>2.7692307692307692</v>
      </c>
      <c r="Y81" s="6">
        <v>4.1538461538461542</v>
      </c>
      <c r="Z81" s="7">
        <v>4.333333333333333</v>
      </c>
    </row>
    <row r="82" spans="1:26" ht="15.75" x14ac:dyDescent="0.25">
      <c r="A82" s="98"/>
      <c r="B82" s="97"/>
      <c r="C82" s="4" t="s">
        <v>60</v>
      </c>
      <c r="D82" s="4" t="s">
        <v>43</v>
      </c>
      <c r="E82" s="4">
        <v>30</v>
      </c>
      <c r="F82" s="4">
        <v>0</v>
      </c>
      <c r="G82" s="4">
        <v>0</v>
      </c>
      <c r="H82" s="4">
        <v>0</v>
      </c>
      <c r="I82" s="4">
        <v>0</v>
      </c>
      <c r="J82" s="5">
        <v>0</v>
      </c>
      <c r="K82" s="4">
        <v>0</v>
      </c>
      <c r="L82" s="4">
        <v>0</v>
      </c>
      <c r="M82" s="5">
        <v>0</v>
      </c>
      <c r="N82" s="4">
        <v>0</v>
      </c>
      <c r="O82" s="4">
        <v>0</v>
      </c>
      <c r="P82" s="5">
        <v>0</v>
      </c>
      <c r="Q82" s="4">
        <v>0</v>
      </c>
      <c r="R82" s="4">
        <v>0</v>
      </c>
      <c r="S82" s="4">
        <v>0</v>
      </c>
      <c r="T82" s="5">
        <v>0</v>
      </c>
      <c r="U82" s="5">
        <v>0</v>
      </c>
      <c r="V82" s="7">
        <v>0</v>
      </c>
      <c r="W82" s="7" t="e">
        <v>#DIV/0!</v>
      </c>
      <c r="X82" s="7" t="e">
        <v>#DIV/0!</v>
      </c>
      <c r="Y82" s="6" t="e">
        <v>#DIV/0!</v>
      </c>
      <c r="Z82" s="7" t="e">
        <v>#DIV/0!</v>
      </c>
    </row>
    <row r="83" spans="1:26" ht="15.75" x14ac:dyDescent="0.25">
      <c r="A83" s="77"/>
      <c r="B83" s="97"/>
      <c r="C83" s="8" t="s">
        <v>77</v>
      </c>
      <c r="D83" s="8" t="s">
        <v>43</v>
      </c>
      <c r="E83" s="4">
        <v>30</v>
      </c>
      <c r="F83" s="8">
        <v>3</v>
      </c>
      <c r="G83" s="8">
        <v>3</v>
      </c>
      <c r="H83" s="8">
        <v>24</v>
      </c>
      <c r="I83" s="8">
        <v>27</v>
      </c>
      <c r="J83" s="8">
        <v>54</v>
      </c>
      <c r="K83" s="8">
        <v>39</v>
      </c>
      <c r="L83" s="8">
        <v>13</v>
      </c>
      <c r="M83" s="8">
        <v>0</v>
      </c>
      <c r="N83" s="8">
        <v>0</v>
      </c>
      <c r="O83" s="8">
        <v>0</v>
      </c>
      <c r="P83" s="8">
        <v>52</v>
      </c>
      <c r="Q83" s="8">
        <v>31</v>
      </c>
      <c r="R83" s="8">
        <v>0</v>
      </c>
      <c r="S83" s="8">
        <v>36</v>
      </c>
      <c r="T83" s="8">
        <v>2</v>
      </c>
      <c r="U83" s="8">
        <v>13</v>
      </c>
      <c r="V83" s="24">
        <v>1.2</v>
      </c>
      <c r="W83" s="24">
        <v>40</v>
      </c>
      <c r="X83" s="24">
        <v>2.7692307692307692</v>
      </c>
      <c r="Y83" s="24">
        <v>4.1538461538461542</v>
      </c>
      <c r="Z83" s="24">
        <v>4.333333333333333</v>
      </c>
    </row>
    <row r="84" spans="1:26" ht="15.75" x14ac:dyDescent="0.25">
      <c r="A84" s="76">
        <v>4</v>
      </c>
      <c r="B84" s="97"/>
      <c r="C84" s="5" t="s">
        <v>42</v>
      </c>
      <c r="D84" s="5" t="s">
        <v>43</v>
      </c>
      <c r="E84" s="4">
        <v>30</v>
      </c>
      <c r="F84" s="5">
        <v>3</v>
      </c>
      <c r="G84" s="5">
        <v>2</v>
      </c>
      <c r="H84" s="5">
        <v>30</v>
      </c>
      <c r="I84" s="5">
        <v>13</v>
      </c>
      <c r="J84" s="5">
        <v>45</v>
      </c>
      <c r="K84" s="5">
        <v>8</v>
      </c>
      <c r="L84" s="5">
        <v>33</v>
      </c>
      <c r="M84" s="5">
        <v>0</v>
      </c>
      <c r="N84" s="5">
        <v>0</v>
      </c>
      <c r="O84" s="5">
        <v>0</v>
      </c>
      <c r="P84" s="5">
        <v>41</v>
      </c>
      <c r="Q84" s="5">
        <v>116</v>
      </c>
      <c r="R84" s="5">
        <v>0</v>
      </c>
      <c r="S84" s="5">
        <v>104</v>
      </c>
      <c r="T84" s="5">
        <v>4</v>
      </c>
      <c r="U84" s="5">
        <v>33</v>
      </c>
      <c r="V84" s="7">
        <v>3.4666666666666668</v>
      </c>
      <c r="W84" s="7">
        <v>115.55555555555557</v>
      </c>
      <c r="X84" s="7">
        <v>3.1515151515151514</v>
      </c>
      <c r="Y84" s="6">
        <v>-0.42424242424242437</v>
      </c>
      <c r="Z84" s="7">
        <v>11</v>
      </c>
    </row>
    <row r="85" spans="1:26" ht="15.75" x14ac:dyDescent="0.25">
      <c r="A85" s="77"/>
      <c r="B85" s="97"/>
      <c r="C85" s="8" t="s">
        <v>42</v>
      </c>
      <c r="D85" s="8" t="s">
        <v>43</v>
      </c>
      <c r="E85" s="4">
        <v>30</v>
      </c>
      <c r="F85" s="8">
        <v>3</v>
      </c>
      <c r="G85" s="8">
        <v>2</v>
      </c>
      <c r="H85" s="8">
        <v>30</v>
      </c>
      <c r="I85" s="8">
        <v>13</v>
      </c>
      <c r="J85" s="8">
        <v>45</v>
      </c>
      <c r="K85" s="8">
        <v>8</v>
      </c>
      <c r="L85" s="8">
        <v>33</v>
      </c>
      <c r="M85" s="8">
        <v>0</v>
      </c>
      <c r="N85" s="8">
        <v>0</v>
      </c>
      <c r="O85" s="8">
        <v>0</v>
      </c>
      <c r="P85" s="8">
        <v>41</v>
      </c>
      <c r="Q85" s="8">
        <v>116</v>
      </c>
      <c r="R85" s="8">
        <v>0</v>
      </c>
      <c r="S85" s="8">
        <v>104</v>
      </c>
      <c r="T85" s="8">
        <v>4</v>
      </c>
      <c r="U85" s="8">
        <v>33</v>
      </c>
      <c r="V85" s="24">
        <v>3.4666666666666668</v>
      </c>
      <c r="W85" s="24">
        <v>115.55555555555557</v>
      </c>
      <c r="X85" s="24">
        <v>3.1515151515151514</v>
      </c>
      <c r="Y85" s="24">
        <v>-0.42424242424242437</v>
      </c>
      <c r="Z85" s="24">
        <v>11</v>
      </c>
    </row>
    <row r="86" spans="1:26" ht="15.75" x14ac:dyDescent="0.25">
      <c r="A86" s="76">
        <v>5</v>
      </c>
      <c r="B86" s="97"/>
      <c r="C86" s="5" t="s">
        <v>46</v>
      </c>
      <c r="D86" s="5" t="s">
        <v>43</v>
      </c>
      <c r="E86" s="4">
        <v>30</v>
      </c>
      <c r="F86" s="5">
        <v>14</v>
      </c>
      <c r="G86" s="5">
        <v>6</v>
      </c>
      <c r="H86" s="5">
        <v>110</v>
      </c>
      <c r="I86" s="5">
        <v>12</v>
      </c>
      <c r="J86" s="5">
        <v>128</v>
      </c>
      <c r="K86" s="5">
        <v>15</v>
      </c>
      <c r="L86" s="5">
        <v>89</v>
      </c>
      <c r="M86" s="5">
        <v>11</v>
      </c>
      <c r="N86" s="5">
        <v>5</v>
      </c>
      <c r="O86" s="5">
        <v>6</v>
      </c>
      <c r="P86" s="5">
        <v>115</v>
      </c>
      <c r="Q86" s="5">
        <v>328</v>
      </c>
      <c r="R86" s="5">
        <v>0</v>
      </c>
      <c r="S86" s="5">
        <v>320</v>
      </c>
      <c r="T86" s="5">
        <v>13</v>
      </c>
      <c r="U86" s="5">
        <v>100</v>
      </c>
      <c r="V86" s="7">
        <v>10.666666666666666</v>
      </c>
      <c r="W86" s="7">
        <v>76.19047619047619</v>
      </c>
      <c r="X86" s="7">
        <v>3.2</v>
      </c>
      <c r="Y86" s="6">
        <v>1.0000000000000002</v>
      </c>
      <c r="Z86" s="7">
        <v>7.1428571428571432</v>
      </c>
    </row>
    <row r="87" spans="1:26" ht="15.75" x14ac:dyDescent="0.25">
      <c r="A87" s="77"/>
      <c r="B87" s="97"/>
      <c r="C87" s="8" t="s">
        <v>46</v>
      </c>
      <c r="D87" s="8" t="s">
        <v>43</v>
      </c>
      <c r="E87" s="4">
        <v>30</v>
      </c>
      <c r="F87" s="8">
        <v>14</v>
      </c>
      <c r="G87" s="8">
        <v>6</v>
      </c>
      <c r="H87" s="8">
        <v>110</v>
      </c>
      <c r="I87" s="8">
        <v>12</v>
      </c>
      <c r="J87" s="8">
        <v>128</v>
      </c>
      <c r="K87" s="8">
        <v>15</v>
      </c>
      <c r="L87" s="8">
        <v>89</v>
      </c>
      <c r="M87" s="8">
        <v>11</v>
      </c>
      <c r="N87" s="8">
        <v>5</v>
      </c>
      <c r="O87" s="8">
        <v>6</v>
      </c>
      <c r="P87" s="8">
        <v>115</v>
      </c>
      <c r="Q87" s="8">
        <v>328</v>
      </c>
      <c r="R87" s="8">
        <v>0</v>
      </c>
      <c r="S87" s="8">
        <v>320</v>
      </c>
      <c r="T87" s="8">
        <v>13</v>
      </c>
      <c r="U87" s="8">
        <v>100</v>
      </c>
      <c r="V87" s="24">
        <v>10.666666666666666</v>
      </c>
      <c r="W87" s="24">
        <v>76.19047619047619</v>
      </c>
      <c r="X87" s="24">
        <v>3.2</v>
      </c>
      <c r="Y87" s="24">
        <v>1.0000000000000002</v>
      </c>
      <c r="Z87" s="24">
        <v>7.1428571428571432</v>
      </c>
    </row>
    <row r="88" spans="1:26" ht="15.75" x14ac:dyDescent="0.25">
      <c r="A88" s="79" t="s">
        <v>86</v>
      </c>
      <c r="B88" s="80"/>
      <c r="C88" s="80"/>
      <c r="D88" s="81"/>
      <c r="E88" s="4">
        <v>30</v>
      </c>
      <c r="F88" s="20">
        <v>35</v>
      </c>
      <c r="G88" s="20">
        <v>25</v>
      </c>
      <c r="H88" s="20">
        <v>291</v>
      </c>
      <c r="I88" s="20">
        <v>71</v>
      </c>
      <c r="J88" s="11">
        <v>387</v>
      </c>
      <c r="K88" s="20">
        <v>70</v>
      </c>
      <c r="L88" s="20">
        <v>261</v>
      </c>
      <c r="M88" s="11">
        <v>19</v>
      </c>
      <c r="N88" s="20">
        <v>7</v>
      </c>
      <c r="O88" s="20">
        <v>12</v>
      </c>
      <c r="P88" s="11">
        <v>350</v>
      </c>
      <c r="Q88" s="20">
        <v>988</v>
      </c>
      <c r="R88" s="20">
        <v>1</v>
      </c>
      <c r="S88" s="20">
        <v>945</v>
      </c>
      <c r="T88" s="11">
        <v>37</v>
      </c>
      <c r="U88" s="11">
        <v>280</v>
      </c>
      <c r="V88" s="22">
        <v>31.5</v>
      </c>
      <c r="W88" s="12">
        <v>90</v>
      </c>
      <c r="X88" s="12">
        <v>3.375</v>
      </c>
      <c r="Y88" s="12">
        <v>0.375</v>
      </c>
      <c r="Z88" s="12">
        <v>8</v>
      </c>
    </row>
    <row r="89" spans="1:26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 x14ac:dyDescent="0.25">
      <c r="A91" s="78" t="s">
        <v>1</v>
      </c>
      <c r="B91" s="78" t="s">
        <v>2</v>
      </c>
      <c r="C91" s="72" t="s">
        <v>3</v>
      </c>
      <c r="D91" s="72" t="s">
        <v>4</v>
      </c>
      <c r="E91" s="75" t="s">
        <v>5</v>
      </c>
      <c r="F91" s="72" t="s">
        <v>6</v>
      </c>
      <c r="G91" s="72" t="s">
        <v>7</v>
      </c>
      <c r="H91" s="72" t="s">
        <v>8</v>
      </c>
      <c r="I91" s="75" t="s">
        <v>9</v>
      </c>
      <c r="J91" s="72" t="s">
        <v>10</v>
      </c>
      <c r="K91" s="72" t="s">
        <v>11</v>
      </c>
      <c r="L91" s="72" t="s">
        <v>12</v>
      </c>
      <c r="M91" s="72" t="s">
        <v>13</v>
      </c>
      <c r="N91" s="72" t="s">
        <v>14</v>
      </c>
      <c r="O91" s="72" t="s">
        <v>15</v>
      </c>
      <c r="P91" s="72" t="s">
        <v>16</v>
      </c>
      <c r="Q91" s="72" t="s">
        <v>17</v>
      </c>
      <c r="R91" s="72" t="s">
        <v>18</v>
      </c>
      <c r="S91" s="72" t="s">
        <v>19</v>
      </c>
      <c r="T91" s="72" t="s">
        <v>20</v>
      </c>
      <c r="U91" s="73" t="s">
        <v>21</v>
      </c>
      <c r="V91" s="2" t="s">
        <v>22</v>
      </c>
      <c r="W91" s="2" t="s">
        <v>23</v>
      </c>
      <c r="X91" s="2" t="s">
        <v>24</v>
      </c>
      <c r="Y91" s="2" t="s">
        <v>25</v>
      </c>
      <c r="Z91" s="2" t="s">
        <v>26</v>
      </c>
    </row>
    <row r="92" spans="1:26" x14ac:dyDescent="0.25">
      <c r="A92" s="78"/>
      <c r="B92" s="78"/>
      <c r="C92" s="72"/>
      <c r="D92" s="72"/>
      <c r="E92" s="75"/>
      <c r="F92" s="72"/>
      <c r="G92" s="72"/>
      <c r="H92" s="72"/>
      <c r="I92" s="75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3"/>
      <c r="V92" s="71" t="s">
        <v>27</v>
      </c>
      <c r="W92" s="71" t="s">
        <v>28</v>
      </c>
      <c r="X92" s="71" t="s">
        <v>29</v>
      </c>
      <c r="Y92" s="71" t="s">
        <v>30</v>
      </c>
      <c r="Z92" s="71" t="s">
        <v>31</v>
      </c>
    </row>
    <row r="93" spans="1:26" x14ac:dyDescent="0.25">
      <c r="A93" s="78"/>
      <c r="B93" s="78"/>
      <c r="C93" s="72"/>
      <c r="D93" s="72"/>
      <c r="E93" s="75"/>
      <c r="F93" s="72"/>
      <c r="G93" s="72"/>
      <c r="H93" s="72"/>
      <c r="I93" s="75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3"/>
      <c r="V93" s="74"/>
      <c r="W93" s="71"/>
      <c r="X93" s="71"/>
      <c r="Y93" s="71"/>
      <c r="Z93" s="71"/>
    </row>
    <row r="94" spans="1:26" x14ac:dyDescent="0.25">
      <c r="A94" s="78"/>
      <c r="B94" s="78"/>
      <c r="C94" s="72"/>
      <c r="D94" s="72"/>
      <c r="E94" s="75"/>
      <c r="F94" s="72"/>
      <c r="G94" s="3">
        <v>1</v>
      </c>
      <c r="H94" s="3">
        <v>2</v>
      </c>
      <c r="I94" s="3">
        <v>3</v>
      </c>
      <c r="J94" s="3">
        <v>4</v>
      </c>
      <c r="K94" s="3">
        <v>5</v>
      </c>
      <c r="L94" s="3">
        <v>6</v>
      </c>
      <c r="M94" s="3">
        <v>7</v>
      </c>
      <c r="N94" s="3">
        <v>8</v>
      </c>
      <c r="O94" s="3">
        <v>9</v>
      </c>
      <c r="P94" s="3">
        <v>10</v>
      </c>
      <c r="Q94" s="3">
        <v>11</v>
      </c>
      <c r="R94" s="3">
        <v>12</v>
      </c>
      <c r="S94" s="3">
        <v>13</v>
      </c>
      <c r="T94" s="3">
        <v>14</v>
      </c>
      <c r="U94" s="73"/>
      <c r="V94" s="16">
        <v>15</v>
      </c>
      <c r="W94" s="16">
        <v>16</v>
      </c>
      <c r="X94" s="16">
        <v>17</v>
      </c>
      <c r="Y94" s="16">
        <v>18</v>
      </c>
      <c r="Z94" s="16">
        <v>19</v>
      </c>
    </row>
    <row r="95" spans="1:26" ht="15.75" x14ac:dyDescent="0.25">
      <c r="A95" s="76">
        <v>1</v>
      </c>
      <c r="B95" s="96" t="s">
        <v>78</v>
      </c>
      <c r="C95" s="4" t="s">
        <v>44</v>
      </c>
      <c r="D95" s="4" t="s">
        <v>36</v>
      </c>
      <c r="E95" s="4">
        <v>30</v>
      </c>
      <c r="F95" s="4">
        <v>4</v>
      </c>
      <c r="G95" s="4">
        <v>2</v>
      </c>
      <c r="H95" s="4">
        <v>24</v>
      </c>
      <c r="I95" s="4">
        <v>1</v>
      </c>
      <c r="J95" s="5">
        <v>27</v>
      </c>
      <c r="K95" s="4">
        <v>1</v>
      </c>
      <c r="L95" s="4">
        <v>20</v>
      </c>
      <c r="M95" s="5">
        <v>2</v>
      </c>
      <c r="N95" s="4">
        <v>1</v>
      </c>
      <c r="O95" s="4">
        <v>1</v>
      </c>
      <c r="P95" s="5">
        <v>23</v>
      </c>
      <c r="Q95" s="4">
        <v>132</v>
      </c>
      <c r="R95" s="4">
        <v>1</v>
      </c>
      <c r="S95" s="4">
        <v>102</v>
      </c>
      <c r="T95" s="5">
        <v>4</v>
      </c>
      <c r="U95" s="5">
        <v>22</v>
      </c>
      <c r="V95" s="7">
        <v>3.4</v>
      </c>
      <c r="W95" s="7">
        <v>85</v>
      </c>
      <c r="X95" s="7">
        <v>4.6363636363636367</v>
      </c>
      <c r="Y95" s="6">
        <v>0.81818181818181834</v>
      </c>
      <c r="Z95" s="7">
        <v>5.5</v>
      </c>
    </row>
    <row r="96" spans="1:26" ht="15.75" x14ac:dyDescent="0.25">
      <c r="A96" s="77"/>
      <c r="B96" s="97"/>
      <c r="C96" s="8" t="s">
        <v>44</v>
      </c>
      <c r="D96" s="8" t="s">
        <v>36</v>
      </c>
      <c r="E96" s="4">
        <v>30</v>
      </c>
      <c r="F96" s="8">
        <v>4</v>
      </c>
      <c r="G96" s="8">
        <v>2</v>
      </c>
      <c r="H96" s="8">
        <v>24</v>
      </c>
      <c r="I96" s="8">
        <v>1</v>
      </c>
      <c r="J96" s="8">
        <v>27</v>
      </c>
      <c r="K96" s="8">
        <v>1</v>
      </c>
      <c r="L96" s="8">
        <v>20</v>
      </c>
      <c r="M96" s="8">
        <v>2</v>
      </c>
      <c r="N96" s="8">
        <v>1</v>
      </c>
      <c r="O96" s="8">
        <v>1</v>
      </c>
      <c r="P96" s="8">
        <v>23</v>
      </c>
      <c r="Q96" s="8">
        <v>132</v>
      </c>
      <c r="R96" s="8">
        <v>1</v>
      </c>
      <c r="S96" s="8">
        <v>102</v>
      </c>
      <c r="T96" s="8">
        <v>4</v>
      </c>
      <c r="U96" s="8">
        <v>22</v>
      </c>
      <c r="V96" s="24">
        <v>3.4</v>
      </c>
      <c r="W96" s="24">
        <v>85</v>
      </c>
      <c r="X96" s="24">
        <v>4.6363636363636367</v>
      </c>
      <c r="Y96" s="24">
        <v>0.81818181818181834</v>
      </c>
      <c r="Z96" s="24">
        <v>5.5</v>
      </c>
    </row>
    <row r="97" spans="1:26" ht="15.75" x14ac:dyDescent="0.25">
      <c r="A97" s="76">
        <v>2</v>
      </c>
      <c r="B97" s="97"/>
      <c r="C97" s="4" t="s">
        <v>45</v>
      </c>
      <c r="D97" s="4" t="s">
        <v>36</v>
      </c>
      <c r="E97" s="4">
        <v>30</v>
      </c>
      <c r="F97" s="4">
        <v>8</v>
      </c>
      <c r="G97" s="4">
        <v>8</v>
      </c>
      <c r="H97" s="4">
        <v>80</v>
      </c>
      <c r="I97" s="4">
        <v>13</v>
      </c>
      <c r="J97" s="5">
        <v>101</v>
      </c>
      <c r="K97" s="4">
        <v>11</v>
      </c>
      <c r="L97" s="4">
        <v>73</v>
      </c>
      <c r="M97" s="5">
        <v>5</v>
      </c>
      <c r="N97" s="4">
        <v>0</v>
      </c>
      <c r="O97" s="4">
        <v>5</v>
      </c>
      <c r="P97" s="5">
        <v>89</v>
      </c>
      <c r="Q97" s="4">
        <v>268</v>
      </c>
      <c r="R97" s="4">
        <v>0</v>
      </c>
      <c r="S97" s="4">
        <v>304</v>
      </c>
      <c r="T97" s="5">
        <v>12</v>
      </c>
      <c r="U97" s="5">
        <v>78</v>
      </c>
      <c r="V97" s="7">
        <v>10.133333333333333</v>
      </c>
      <c r="W97" s="7">
        <v>126.66666666666666</v>
      </c>
      <c r="X97" s="7">
        <v>3.8974358974358974</v>
      </c>
      <c r="Y97" s="6">
        <v>-0.82051282051282037</v>
      </c>
      <c r="Z97" s="7">
        <v>9.75</v>
      </c>
    </row>
    <row r="98" spans="1:26" ht="15.75" x14ac:dyDescent="0.25">
      <c r="A98" s="77"/>
      <c r="B98" s="97"/>
      <c r="C98" s="8" t="s">
        <v>45</v>
      </c>
      <c r="D98" s="8" t="s">
        <v>36</v>
      </c>
      <c r="E98" s="4">
        <v>30</v>
      </c>
      <c r="F98" s="8">
        <v>8</v>
      </c>
      <c r="G98" s="8">
        <v>8</v>
      </c>
      <c r="H98" s="8">
        <v>80</v>
      </c>
      <c r="I98" s="8">
        <v>13</v>
      </c>
      <c r="J98" s="8">
        <v>101</v>
      </c>
      <c r="K98" s="8">
        <v>11</v>
      </c>
      <c r="L98" s="8">
        <v>73</v>
      </c>
      <c r="M98" s="8">
        <v>5</v>
      </c>
      <c r="N98" s="8">
        <v>0</v>
      </c>
      <c r="O98" s="8">
        <v>5</v>
      </c>
      <c r="P98" s="8">
        <v>89</v>
      </c>
      <c r="Q98" s="8">
        <v>268</v>
      </c>
      <c r="R98" s="8">
        <v>0</v>
      </c>
      <c r="S98" s="8">
        <v>304</v>
      </c>
      <c r="T98" s="8">
        <v>12</v>
      </c>
      <c r="U98" s="8">
        <v>78</v>
      </c>
      <c r="V98" s="24">
        <v>10.133333333333333</v>
      </c>
      <c r="W98" s="24">
        <v>126.66666666666666</v>
      </c>
      <c r="X98" s="24">
        <v>3.8974358974358974</v>
      </c>
      <c r="Y98" s="24">
        <v>-0.82051282051282037</v>
      </c>
      <c r="Z98" s="24">
        <v>9.75</v>
      </c>
    </row>
    <row r="99" spans="1:26" ht="15.75" x14ac:dyDescent="0.25">
      <c r="A99" s="76">
        <v>3</v>
      </c>
      <c r="B99" s="97"/>
      <c r="C99" s="4" t="s">
        <v>56</v>
      </c>
      <c r="D99" s="4" t="s">
        <v>36</v>
      </c>
      <c r="E99" s="4">
        <v>30</v>
      </c>
      <c r="F99" s="4">
        <v>8</v>
      </c>
      <c r="G99" s="4">
        <v>3</v>
      </c>
      <c r="H99" s="4">
        <v>89</v>
      </c>
      <c r="I99" s="4">
        <v>72</v>
      </c>
      <c r="J99" s="5">
        <v>164</v>
      </c>
      <c r="K99" s="4">
        <v>137</v>
      </c>
      <c r="L99" s="4">
        <v>20</v>
      </c>
      <c r="M99" s="5">
        <v>1</v>
      </c>
      <c r="N99" s="4">
        <v>0</v>
      </c>
      <c r="O99" s="4">
        <v>1</v>
      </c>
      <c r="P99" s="5">
        <v>158</v>
      </c>
      <c r="Q99" s="4">
        <v>55</v>
      </c>
      <c r="R99" s="4">
        <v>0</v>
      </c>
      <c r="S99" s="4">
        <v>229</v>
      </c>
      <c r="T99" s="5">
        <v>6</v>
      </c>
      <c r="U99" s="5">
        <v>21</v>
      </c>
      <c r="V99" s="7">
        <v>7.6333333333333337</v>
      </c>
      <c r="W99" s="7">
        <v>95.416666666666671</v>
      </c>
      <c r="X99" s="7">
        <v>10.904761904761905</v>
      </c>
      <c r="Y99" s="6">
        <v>0.52380952380952317</v>
      </c>
      <c r="Z99" s="7">
        <v>2.625</v>
      </c>
    </row>
    <row r="100" spans="1:26" ht="15.75" x14ac:dyDescent="0.25">
      <c r="A100" s="98"/>
      <c r="B100" s="97"/>
      <c r="C100" s="4" t="s">
        <v>60</v>
      </c>
      <c r="D100" s="4" t="s">
        <v>36</v>
      </c>
      <c r="E100" s="4">
        <v>30</v>
      </c>
      <c r="F100" s="4">
        <v>0</v>
      </c>
      <c r="G100" s="4">
        <v>0</v>
      </c>
      <c r="H100" s="4">
        <v>0</v>
      </c>
      <c r="I100" s="4">
        <v>0</v>
      </c>
      <c r="J100" s="5">
        <v>0</v>
      </c>
      <c r="K100" s="4">
        <v>0</v>
      </c>
      <c r="L100" s="4">
        <v>0</v>
      </c>
      <c r="M100" s="5">
        <v>0</v>
      </c>
      <c r="N100" s="4">
        <v>0</v>
      </c>
      <c r="O100" s="4">
        <v>0</v>
      </c>
      <c r="P100" s="5">
        <v>0</v>
      </c>
      <c r="Q100" s="4">
        <v>0</v>
      </c>
      <c r="R100" s="4">
        <v>0</v>
      </c>
      <c r="S100" s="4">
        <v>0</v>
      </c>
      <c r="T100" s="5">
        <v>0</v>
      </c>
      <c r="U100" s="5">
        <v>0</v>
      </c>
      <c r="V100" s="7">
        <v>0</v>
      </c>
      <c r="W100" s="7" t="e">
        <v>#DIV/0!</v>
      </c>
      <c r="X100" s="7" t="e">
        <v>#DIV/0!</v>
      </c>
      <c r="Y100" s="6" t="e">
        <v>#DIV/0!</v>
      </c>
      <c r="Z100" s="7" t="e">
        <v>#DIV/0!</v>
      </c>
    </row>
    <row r="101" spans="1:26" ht="15.75" x14ac:dyDescent="0.25">
      <c r="A101" s="77"/>
      <c r="B101" s="97"/>
      <c r="C101" s="8" t="s">
        <v>77</v>
      </c>
      <c r="D101" s="8" t="s">
        <v>36</v>
      </c>
      <c r="E101" s="4">
        <v>30</v>
      </c>
      <c r="F101" s="8">
        <v>8</v>
      </c>
      <c r="G101" s="8">
        <v>3</v>
      </c>
      <c r="H101" s="8">
        <v>89</v>
      </c>
      <c r="I101" s="8">
        <v>72</v>
      </c>
      <c r="J101" s="8">
        <v>164</v>
      </c>
      <c r="K101" s="8">
        <v>137</v>
      </c>
      <c r="L101" s="8">
        <v>20</v>
      </c>
      <c r="M101" s="8">
        <v>1</v>
      </c>
      <c r="N101" s="8">
        <v>0</v>
      </c>
      <c r="O101" s="8">
        <v>1</v>
      </c>
      <c r="P101" s="8">
        <v>158</v>
      </c>
      <c r="Q101" s="8">
        <v>55</v>
      </c>
      <c r="R101" s="8">
        <v>0</v>
      </c>
      <c r="S101" s="8">
        <v>229</v>
      </c>
      <c r="T101" s="8">
        <v>6</v>
      </c>
      <c r="U101" s="8">
        <v>21</v>
      </c>
      <c r="V101" s="24">
        <v>7.6333333333333337</v>
      </c>
      <c r="W101" s="24">
        <v>95.416666666666671</v>
      </c>
      <c r="X101" s="24">
        <v>10.904761904761905</v>
      </c>
      <c r="Y101" s="24">
        <v>0.52380952380952317</v>
      </c>
      <c r="Z101" s="24">
        <v>2.625</v>
      </c>
    </row>
    <row r="102" spans="1:26" ht="15.75" x14ac:dyDescent="0.25">
      <c r="A102" s="76">
        <v>4</v>
      </c>
      <c r="B102" s="97"/>
      <c r="C102" s="5" t="s">
        <v>37</v>
      </c>
      <c r="D102" s="5" t="s">
        <v>36</v>
      </c>
      <c r="E102" s="4">
        <v>30</v>
      </c>
      <c r="F102" s="5">
        <v>2</v>
      </c>
      <c r="G102" s="5">
        <v>2</v>
      </c>
      <c r="H102" s="5">
        <v>10</v>
      </c>
      <c r="I102" s="5">
        <v>5</v>
      </c>
      <c r="J102" s="5">
        <v>17</v>
      </c>
      <c r="K102" s="5">
        <v>3</v>
      </c>
      <c r="L102" s="5">
        <v>12</v>
      </c>
      <c r="M102" s="5">
        <v>0</v>
      </c>
      <c r="N102" s="5">
        <v>0</v>
      </c>
      <c r="O102" s="5">
        <v>0</v>
      </c>
      <c r="P102" s="5">
        <v>15</v>
      </c>
      <c r="Q102" s="5">
        <v>58</v>
      </c>
      <c r="R102" s="5">
        <v>0</v>
      </c>
      <c r="S102" s="5">
        <v>51</v>
      </c>
      <c r="T102" s="5">
        <v>2</v>
      </c>
      <c r="U102" s="5">
        <v>12</v>
      </c>
      <c r="V102" s="7">
        <v>1.7</v>
      </c>
      <c r="W102" s="7">
        <v>85</v>
      </c>
      <c r="X102" s="7">
        <v>4.25</v>
      </c>
      <c r="Y102" s="6">
        <v>0.75000000000000011</v>
      </c>
      <c r="Z102" s="7">
        <v>6</v>
      </c>
    </row>
    <row r="103" spans="1:26" ht="15.75" x14ac:dyDescent="0.25">
      <c r="A103" s="77"/>
      <c r="B103" s="97"/>
      <c r="C103" s="8" t="s">
        <v>37</v>
      </c>
      <c r="D103" s="8" t="s">
        <v>36</v>
      </c>
      <c r="E103" s="4">
        <v>30</v>
      </c>
      <c r="F103" s="8">
        <v>2</v>
      </c>
      <c r="G103" s="8">
        <v>2</v>
      </c>
      <c r="H103" s="8">
        <v>10</v>
      </c>
      <c r="I103" s="8">
        <v>5</v>
      </c>
      <c r="J103" s="8">
        <v>17</v>
      </c>
      <c r="K103" s="8">
        <v>3</v>
      </c>
      <c r="L103" s="8">
        <v>12</v>
      </c>
      <c r="M103" s="8">
        <v>0</v>
      </c>
      <c r="N103" s="8">
        <v>0</v>
      </c>
      <c r="O103" s="8">
        <v>0</v>
      </c>
      <c r="P103" s="8">
        <v>15</v>
      </c>
      <c r="Q103" s="8">
        <v>58</v>
      </c>
      <c r="R103" s="8">
        <v>0</v>
      </c>
      <c r="S103" s="8">
        <v>51</v>
      </c>
      <c r="T103" s="8">
        <v>2</v>
      </c>
      <c r="U103" s="8">
        <v>12</v>
      </c>
      <c r="V103" s="24">
        <v>1.7</v>
      </c>
      <c r="W103" s="24">
        <v>85</v>
      </c>
      <c r="X103" s="24">
        <v>4.25</v>
      </c>
      <c r="Y103" s="24">
        <v>0.75000000000000011</v>
      </c>
      <c r="Z103" s="24">
        <v>6</v>
      </c>
    </row>
    <row r="104" spans="1:26" ht="15.75" x14ac:dyDescent="0.25">
      <c r="A104" s="79" t="s">
        <v>83</v>
      </c>
      <c r="B104" s="80"/>
      <c r="C104" s="80"/>
      <c r="D104" s="81"/>
      <c r="E104" s="4">
        <v>30</v>
      </c>
      <c r="F104" s="20">
        <v>22</v>
      </c>
      <c r="G104" s="20">
        <v>15</v>
      </c>
      <c r="H104" s="20">
        <v>203</v>
      </c>
      <c r="I104" s="20">
        <v>91</v>
      </c>
      <c r="J104" s="11">
        <v>309</v>
      </c>
      <c r="K104" s="20">
        <v>152</v>
      </c>
      <c r="L104" s="20">
        <v>125</v>
      </c>
      <c r="M104" s="11">
        <v>8</v>
      </c>
      <c r="N104" s="20">
        <v>1</v>
      </c>
      <c r="O104" s="20">
        <v>7</v>
      </c>
      <c r="P104" s="11">
        <v>285</v>
      </c>
      <c r="Q104" s="20">
        <v>513</v>
      </c>
      <c r="R104" s="20">
        <v>1</v>
      </c>
      <c r="S104" s="20">
        <v>686</v>
      </c>
      <c r="T104" s="11">
        <v>24</v>
      </c>
      <c r="U104" s="11">
        <v>133</v>
      </c>
      <c r="V104" s="22">
        <v>22.866666666666667</v>
      </c>
      <c r="W104" s="12">
        <v>103.93939393939394</v>
      </c>
      <c r="X104" s="12">
        <v>5.1578947368421053</v>
      </c>
      <c r="Y104" s="12">
        <v>-0.19548872180451138</v>
      </c>
      <c r="Z104" s="12">
        <v>6.0454545454545459</v>
      </c>
    </row>
    <row r="105" spans="1:26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26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x14ac:dyDescent="0.25">
      <c r="A107" s="78" t="s">
        <v>1</v>
      </c>
      <c r="B107" s="78" t="s">
        <v>2</v>
      </c>
      <c r="C107" s="72" t="s">
        <v>3</v>
      </c>
      <c r="D107" s="72" t="s">
        <v>4</v>
      </c>
      <c r="E107" s="75" t="s">
        <v>5</v>
      </c>
      <c r="F107" s="72" t="s">
        <v>6</v>
      </c>
      <c r="G107" s="72" t="s">
        <v>7</v>
      </c>
      <c r="H107" s="72" t="s">
        <v>8</v>
      </c>
      <c r="I107" s="75" t="s">
        <v>9</v>
      </c>
      <c r="J107" s="72" t="s">
        <v>10</v>
      </c>
      <c r="K107" s="72" t="s">
        <v>11</v>
      </c>
      <c r="L107" s="72" t="s">
        <v>12</v>
      </c>
      <c r="M107" s="72" t="s">
        <v>13</v>
      </c>
      <c r="N107" s="72" t="s">
        <v>14</v>
      </c>
      <c r="O107" s="72" t="s">
        <v>15</v>
      </c>
      <c r="P107" s="72" t="s">
        <v>16</v>
      </c>
      <c r="Q107" s="72" t="s">
        <v>17</v>
      </c>
      <c r="R107" s="72" t="s">
        <v>18</v>
      </c>
      <c r="S107" s="72" t="s">
        <v>19</v>
      </c>
      <c r="T107" s="72" t="s">
        <v>20</v>
      </c>
      <c r="U107" s="73" t="s">
        <v>21</v>
      </c>
      <c r="V107" s="2" t="s">
        <v>22</v>
      </c>
      <c r="W107" s="2" t="s">
        <v>23</v>
      </c>
      <c r="X107" s="2" t="s">
        <v>24</v>
      </c>
      <c r="Y107" s="2" t="s">
        <v>25</v>
      </c>
      <c r="Z107" s="2" t="s">
        <v>26</v>
      </c>
    </row>
    <row r="108" spans="1:26" x14ac:dyDescent="0.25">
      <c r="A108" s="78"/>
      <c r="B108" s="78"/>
      <c r="C108" s="72"/>
      <c r="D108" s="72"/>
      <c r="E108" s="75"/>
      <c r="F108" s="72"/>
      <c r="G108" s="72"/>
      <c r="H108" s="72"/>
      <c r="I108" s="75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3"/>
      <c r="V108" s="71" t="s">
        <v>27</v>
      </c>
      <c r="W108" s="71" t="s">
        <v>28</v>
      </c>
      <c r="X108" s="71" t="s">
        <v>29</v>
      </c>
      <c r="Y108" s="71" t="s">
        <v>30</v>
      </c>
      <c r="Z108" s="71" t="s">
        <v>31</v>
      </c>
    </row>
    <row r="109" spans="1:26" x14ac:dyDescent="0.25">
      <c r="A109" s="78"/>
      <c r="B109" s="78"/>
      <c r="C109" s="72"/>
      <c r="D109" s="72"/>
      <c r="E109" s="75"/>
      <c r="F109" s="72"/>
      <c r="G109" s="72"/>
      <c r="H109" s="72"/>
      <c r="I109" s="75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3"/>
      <c r="V109" s="74"/>
      <c r="W109" s="71"/>
      <c r="X109" s="71"/>
      <c r="Y109" s="71"/>
      <c r="Z109" s="71"/>
    </row>
    <row r="110" spans="1:26" x14ac:dyDescent="0.25">
      <c r="A110" s="78"/>
      <c r="B110" s="78"/>
      <c r="C110" s="72"/>
      <c r="D110" s="72"/>
      <c r="E110" s="75"/>
      <c r="F110" s="72"/>
      <c r="G110" s="3">
        <v>1</v>
      </c>
      <c r="H110" s="3">
        <v>2</v>
      </c>
      <c r="I110" s="3">
        <v>3</v>
      </c>
      <c r="J110" s="3">
        <v>4</v>
      </c>
      <c r="K110" s="3">
        <v>5</v>
      </c>
      <c r="L110" s="3">
        <v>6</v>
      </c>
      <c r="M110" s="3">
        <v>7</v>
      </c>
      <c r="N110" s="3">
        <v>8</v>
      </c>
      <c r="O110" s="3">
        <v>9</v>
      </c>
      <c r="P110" s="3">
        <v>10</v>
      </c>
      <c r="Q110" s="3">
        <v>11</v>
      </c>
      <c r="R110" s="3">
        <v>12</v>
      </c>
      <c r="S110" s="3">
        <v>13</v>
      </c>
      <c r="T110" s="3">
        <v>14</v>
      </c>
      <c r="U110" s="73"/>
      <c r="V110" s="16">
        <v>15</v>
      </c>
      <c r="W110" s="16">
        <v>16</v>
      </c>
      <c r="X110" s="16">
        <v>17</v>
      </c>
      <c r="Y110" s="16">
        <v>18</v>
      </c>
      <c r="Z110" s="16">
        <v>19</v>
      </c>
    </row>
    <row r="111" spans="1:26" ht="15.75" x14ac:dyDescent="0.25">
      <c r="A111" s="76">
        <v>1</v>
      </c>
      <c r="B111" s="90" t="s">
        <v>79</v>
      </c>
      <c r="C111" s="4" t="s">
        <v>44</v>
      </c>
      <c r="D111" s="4" t="s">
        <v>32</v>
      </c>
      <c r="E111" s="4">
        <v>30</v>
      </c>
      <c r="F111" s="4">
        <v>12</v>
      </c>
      <c r="G111" s="4">
        <v>7</v>
      </c>
      <c r="H111" s="4">
        <v>81</v>
      </c>
      <c r="I111" s="4">
        <v>3</v>
      </c>
      <c r="J111" s="5">
        <v>91</v>
      </c>
      <c r="K111" s="4">
        <v>2</v>
      </c>
      <c r="L111" s="4">
        <v>77</v>
      </c>
      <c r="M111" s="5">
        <v>1</v>
      </c>
      <c r="N111" s="4">
        <v>1</v>
      </c>
      <c r="O111" s="4">
        <v>0</v>
      </c>
      <c r="P111" s="5">
        <v>80</v>
      </c>
      <c r="Q111" s="4">
        <v>374</v>
      </c>
      <c r="R111" s="4">
        <v>1</v>
      </c>
      <c r="S111" s="4">
        <v>285</v>
      </c>
      <c r="T111" s="5">
        <v>11</v>
      </c>
      <c r="U111" s="5">
        <v>78</v>
      </c>
      <c r="V111" s="7">
        <v>9.5</v>
      </c>
      <c r="W111" s="7">
        <v>79.166666666666657</v>
      </c>
      <c r="X111" s="7">
        <v>3.6538461538461537</v>
      </c>
      <c r="Y111" s="6">
        <v>0.96153846153846156</v>
      </c>
      <c r="Z111" s="7">
        <v>6.5</v>
      </c>
    </row>
    <row r="112" spans="1:26" ht="15.75" x14ac:dyDescent="0.25">
      <c r="A112" s="77"/>
      <c r="B112" s="91"/>
      <c r="C112" s="8" t="s">
        <v>44</v>
      </c>
      <c r="D112" s="4" t="s">
        <v>32</v>
      </c>
      <c r="E112" s="4">
        <v>30</v>
      </c>
      <c r="F112" s="8">
        <v>12</v>
      </c>
      <c r="G112" s="8">
        <v>7</v>
      </c>
      <c r="H112" s="8">
        <v>81</v>
      </c>
      <c r="I112" s="8">
        <v>3</v>
      </c>
      <c r="J112" s="8">
        <v>91</v>
      </c>
      <c r="K112" s="8">
        <v>2</v>
      </c>
      <c r="L112" s="8">
        <v>77</v>
      </c>
      <c r="M112" s="8">
        <v>1</v>
      </c>
      <c r="N112" s="8">
        <v>1</v>
      </c>
      <c r="O112" s="8">
        <v>0</v>
      </c>
      <c r="P112" s="8">
        <v>80</v>
      </c>
      <c r="Q112" s="8">
        <v>374</v>
      </c>
      <c r="R112" s="8">
        <v>1</v>
      </c>
      <c r="S112" s="8">
        <v>285</v>
      </c>
      <c r="T112" s="8">
        <v>11</v>
      </c>
      <c r="U112" s="8">
        <v>78</v>
      </c>
      <c r="V112" s="24">
        <v>9.5</v>
      </c>
      <c r="W112" s="24">
        <v>79.166666666666657</v>
      </c>
      <c r="X112" s="24">
        <v>3.6538461538461537</v>
      </c>
      <c r="Y112" s="24">
        <v>0.96153846153846156</v>
      </c>
      <c r="Z112" s="24">
        <v>6.5</v>
      </c>
    </row>
    <row r="113" spans="1:26" ht="15.75" x14ac:dyDescent="0.25">
      <c r="A113" s="76">
        <v>2</v>
      </c>
      <c r="B113" s="91"/>
      <c r="C113" s="4" t="s">
        <v>55</v>
      </c>
      <c r="D113" s="4" t="s">
        <v>32</v>
      </c>
      <c r="E113" s="4">
        <v>30</v>
      </c>
      <c r="F113" s="4">
        <v>14</v>
      </c>
      <c r="G113" s="4">
        <v>11</v>
      </c>
      <c r="H113" s="4">
        <v>128</v>
      </c>
      <c r="I113" s="4">
        <v>17</v>
      </c>
      <c r="J113" s="5">
        <v>156</v>
      </c>
      <c r="K113" s="4">
        <v>11</v>
      </c>
      <c r="L113" s="4">
        <v>111</v>
      </c>
      <c r="M113" s="5">
        <v>17</v>
      </c>
      <c r="N113" s="4">
        <v>9</v>
      </c>
      <c r="O113" s="4">
        <v>8</v>
      </c>
      <c r="P113" s="5">
        <v>139</v>
      </c>
      <c r="Q113" s="4">
        <v>541</v>
      </c>
      <c r="R113" s="4">
        <v>1</v>
      </c>
      <c r="S113" s="4">
        <v>503</v>
      </c>
      <c r="T113" s="5">
        <v>17</v>
      </c>
      <c r="U113" s="5">
        <v>128</v>
      </c>
      <c r="V113" s="7">
        <v>16.766666666666666</v>
      </c>
      <c r="W113" s="7">
        <v>119.76190476190476</v>
      </c>
      <c r="X113" s="7">
        <v>3.9296875</v>
      </c>
      <c r="Y113" s="6">
        <v>-0.64843749999999978</v>
      </c>
      <c r="Z113" s="7">
        <v>9.1428571428571423</v>
      </c>
    </row>
    <row r="114" spans="1:26" ht="15.75" x14ac:dyDescent="0.25">
      <c r="A114" s="77"/>
      <c r="B114" s="91"/>
      <c r="C114" s="8" t="s">
        <v>55</v>
      </c>
      <c r="D114" s="4" t="s">
        <v>32</v>
      </c>
      <c r="E114" s="4">
        <v>30</v>
      </c>
      <c r="F114" s="8">
        <v>14</v>
      </c>
      <c r="G114" s="8">
        <v>11</v>
      </c>
      <c r="H114" s="8">
        <v>128</v>
      </c>
      <c r="I114" s="8">
        <v>17</v>
      </c>
      <c r="J114" s="8">
        <v>156</v>
      </c>
      <c r="K114" s="8">
        <v>11</v>
      </c>
      <c r="L114" s="8">
        <v>111</v>
      </c>
      <c r="M114" s="8">
        <v>17</v>
      </c>
      <c r="N114" s="8">
        <v>9</v>
      </c>
      <c r="O114" s="8">
        <v>8</v>
      </c>
      <c r="P114" s="8">
        <v>139</v>
      </c>
      <c r="Q114" s="8">
        <v>541</v>
      </c>
      <c r="R114" s="8">
        <v>1</v>
      </c>
      <c r="S114" s="8">
        <v>503</v>
      </c>
      <c r="T114" s="8">
        <v>17</v>
      </c>
      <c r="U114" s="8">
        <v>128</v>
      </c>
      <c r="V114" s="24">
        <v>16.766666666666666</v>
      </c>
      <c r="W114" s="24">
        <v>119.76190476190476</v>
      </c>
      <c r="X114" s="24">
        <v>3.9296875</v>
      </c>
      <c r="Y114" s="24">
        <v>-0.64843749999999978</v>
      </c>
      <c r="Z114" s="24">
        <v>9.1428571428571423</v>
      </c>
    </row>
    <row r="115" spans="1:26" ht="15.75" x14ac:dyDescent="0.25">
      <c r="A115" s="76">
        <v>3</v>
      </c>
      <c r="B115" s="91"/>
      <c r="C115" s="4" t="s">
        <v>74</v>
      </c>
      <c r="D115" s="4" t="s">
        <v>32</v>
      </c>
      <c r="E115" s="4">
        <v>30</v>
      </c>
      <c r="F115" s="4">
        <v>15</v>
      </c>
      <c r="G115" s="4">
        <v>20</v>
      </c>
      <c r="H115" s="4">
        <v>137</v>
      </c>
      <c r="I115" s="4">
        <v>16</v>
      </c>
      <c r="J115" s="5">
        <v>173</v>
      </c>
      <c r="K115" s="4">
        <v>15</v>
      </c>
      <c r="L115" s="4">
        <v>106</v>
      </c>
      <c r="M115" s="5">
        <v>32</v>
      </c>
      <c r="N115" s="4">
        <v>17</v>
      </c>
      <c r="O115" s="4">
        <v>15</v>
      </c>
      <c r="P115" s="5">
        <v>153</v>
      </c>
      <c r="Q115" s="4">
        <v>614</v>
      </c>
      <c r="R115" s="4">
        <v>2</v>
      </c>
      <c r="S115" s="4">
        <v>565</v>
      </c>
      <c r="T115" s="5">
        <v>20</v>
      </c>
      <c r="U115" s="5">
        <v>138</v>
      </c>
      <c r="V115" s="7">
        <v>18.833333333333332</v>
      </c>
      <c r="W115" s="7">
        <v>125.55555555555556</v>
      </c>
      <c r="X115" s="7">
        <v>4.0942028985507246</v>
      </c>
      <c r="Y115" s="6">
        <v>-0.83333333333333315</v>
      </c>
      <c r="Z115" s="7">
        <v>9.1999999999999993</v>
      </c>
    </row>
    <row r="116" spans="1:26" ht="15.75" x14ac:dyDescent="0.25">
      <c r="A116" s="77"/>
      <c r="B116" s="91"/>
      <c r="C116" s="8" t="s">
        <v>74</v>
      </c>
      <c r="D116" s="4" t="s">
        <v>32</v>
      </c>
      <c r="E116" s="4">
        <v>30</v>
      </c>
      <c r="F116" s="8">
        <v>15</v>
      </c>
      <c r="G116" s="8">
        <v>20</v>
      </c>
      <c r="H116" s="8">
        <v>137</v>
      </c>
      <c r="I116" s="8">
        <v>16</v>
      </c>
      <c r="J116" s="8">
        <v>173</v>
      </c>
      <c r="K116" s="8">
        <v>15</v>
      </c>
      <c r="L116" s="8">
        <v>106</v>
      </c>
      <c r="M116" s="8">
        <v>32</v>
      </c>
      <c r="N116" s="8">
        <v>17</v>
      </c>
      <c r="O116" s="8">
        <v>15</v>
      </c>
      <c r="P116" s="8">
        <v>153</v>
      </c>
      <c r="Q116" s="8">
        <v>614</v>
      </c>
      <c r="R116" s="8">
        <v>2</v>
      </c>
      <c r="S116" s="8">
        <v>565</v>
      </c>
      <c r="T116" s="8">
        <v>20</v>
      </c>
      <c r="U116" s="8">
        <v>138</v>
      </c>
      <c r="V116" s="24">
        <v>18.833333333333332</v>
      </c>
      <c r="W116" s="24">
        <v>125.55555555555556</v>
      </c>
      <c r="X116" s="24">
        <v>4.0942028985507246</v>
      </c>
      <c r="Y116" s="24">
        <v>-0.83333333333333315</v>
      </c>
      <c r="Z116" s="24">
        <v>9.1999999999999993</v>
      </c>
    </row>
    <row r="117" spans="1:26" ht="15.75" x14ac:dyDescent="0.25">
      <c r="A117" s="76">
        <v>4</v>
      </c>
      <c r="B117" s="91"/>
      <c r="C117" s="5" t="s">
        <v>39</v>
      </c>
      <c r="D117" s="4" t="s">
        <v>32</v>
      </c>
      <c r="E117" s="4">
        <v>30</v>
      </c>
      <c r="F117" s="5">
        <v>24</v>
      </c>
      <c r="G117" s="5">
        <v>12</v>
      </c>
      <c r="H117" s="5">
        <v>211</v>
      </c>
      <c r="I117" s="5">
        <v>9</v>
      </c>
      <c r="J117" s="5">
        <v>232</v>
      </c>
      <c r="K117" s="5">
        <v>15</v>
      </c>
      <c r="L117" s="5">
        <v>187</v>
      </c>
      <c r="M117" s="5">
        <v>6</v>
      </c>
      <c r="N117" s="5">
        <v>0</v>
      </c>
      <c r="O117" s="5">
        <v>6</v>
      </c>
      <c r="P117" s="5">
        <v>208</v>
      </c>
      <c r="Q117" s="5">
        <v>668</v>
      </c>
      <c r="R117" s="5">
        <v>0</v>
      </c>
      <c r="S117" s="5">
        <v>643</v>
      </c>
      <c r="T117" s="5">
        <v>24</v>
      </c>
      <c r="U117" s="5">
        <v>193</v>
      </c>
      <c r="V117" s="7">
        <v>21.433333333333334</v>
      </c>
      <c r="W117" s="7">
        <v>89.305555555555557</v>
      </c>
      <c r="X117" s="7">
        <v>3.3316062176165802</v>
      </c>
      <c r="Y117" s="6">
        <v>0.39896373056994816</v>
      </c>
      <c r="Z117" s="7">
        <v>8.0416666666666661</v>
      </c>
    </row>
    <row r="118" spans="1:26" ht="15.75" x14ac:dyDescent="0.25">
      <c r="A118" s="77"/>
      <c r="B118" s="91"/>
      <c r="C118" s="8" t="s">
        <v>39</v>
      </c>
      <c r="D118" s="4" t="s">
        <v>32</v>
      </c>
      <c r="E118" s="4">
        <v>30</v>
      </c>
      <c r="F118" s="8">
        <v>24</v>
      </c>
      <c r="G118" s="8">
        <v>12</v>
      </c>
      <c r="H118" s="8">
        <v>211</v>
      </c>
      <c r="I118" s="8">
        <v>9</v>
      </c>
      <c r="J118" s="8">
        <v>232</v>
      </c>
      <c r="K118" s="8">
        <v>15</v>
      </c>
      <c r="L118" s="8">
        <v>187</v>
      </c>
      <c r="M118" s="8">
        <v>6</v>
      </c>
      <c r="N118" s="8">
        <v>0</v>
      </c>
      <c r="O118" s="8">
        <v>6</v>
      </c>
      <c r="P118" s="8">
        <v>208</v>
      </c>
      <c r="Q118" s="8">
        <v>668</v>
      </c>
      <c r="R118" s="8">
        <v>0</v>
      </c>
      <c r="S118" s="8">
        <v>643</v>
      </c>
      <c r="T118" s="8">
        <v>24</v>
      </c>
      <c r="U118" s="8">
        <v>193</v>
      </c>
      <c r="V118" s="24">
        <v>21.433333333333334</v>
      </c>
      <c r="W118" s="24">
        <v>89.305555555555557</v>
      </c>
      <c r="X118" s="24">
        <v>3.3316062176165802</v>
      </c>
      <c r="Y118" s="24">
        <v>0.39896373056994816</v>
      </c>
      <c r="Z118" s="24">
        <v>8.0416666666666661</v>
      </c>
    </row>
    <row r="119" spans="1:26" ht="15.75" x14ac:dyDescent="0.25">
      <c r="A119" s="76">
        <v>5</v>
      </c>
      <c r="B119" s="91"/>
      <c r="C119" s="5" t="s">
        <v>41</v>
      </c>
      <c r="D119" s="4" t="s">
        <v>32</v>
      </c>
      <c r="E119" s="4">
        <v>30</v>
      </c>
      <c r="F119" s="5">
        <v>20</v>
      </c>
      <c r="G119" s="5">
        <v>12</v>
      </c>
      <c r="H119" s="5">
        <v>169</v>
      </c>
      <c r="I119" s="5">
        <v>8</v>
      </c>
      <c r="J119" s="5">
        <v>189</v>
      </c>
      <c r="K119" s="5">
        <v>10</v>
      </c>
      <c r="L119" s="5">
        <v>151</v>
      </c>
      <c r="M119" s="5">
        <v>9</v>
      </c>
      <c r="N119" s="5">
        <v>5</v>
      </c>
      <c r="O119" s="5">
        <v>4</v>
      </c>
      <c r="P119" s="5">
        <v>170</v>
      </c>
      <c r="Q119" s="5">
        <v>529</v>
      </c>
      <c r="R119" s="5">
        <v>0</v>
      </c>
      <c r="S119" s="5">
        <v>503</v>
      </c>
      <c r="T119" s="5">
        <v>19</v>
      </c>
      <c r="U119" s="5">
        <v>160</v>
      </c>
      <c r="V119" s="7">
        <v>16.766666666666666</v>
      </c>
      <c r="W119" s="7">
        <v>83.833333333333329</v>
      </c>
      <c r="X119" s="7">
        <v>3.1437499999999998</v>
      </c>
      <c r="Y119" s="6">
        <v>0.60625000000000018</v>
      </c>
      <c r="Z119" s="7">
        <v>8</v>
      </c>
    </row>
    <row r="120" spans="1:26" ht="15.75" x14ac:dyDescent="0.25">
      <c r="A120" s="77"/>
      <c r="B120" s="91"/>
      <c r="C120" s="8" t="s">
        <v>41</v>
      </c>
      <c r="D120" s="4" t="s">
        <v>32</v>
      </c>
      <c r="E120" s="4">
        <v>30</v>
      </c>
      <c r="F120" s="8">
        <v>20</v>
      </c>
      <c r="G120" s="8">
        <v>12</v>
      </c>
      <c r="H120" s="8">
        <v>169</v>
      </c>
      <c r="I120" s="8">
        <v>8</v>
      </c>
      <c r="J120" s="8">
        <v>189</v>
      </c>
      <c r="K120" s="8">
        <v>10</v>
      </c>
      <c r="L120" s="8">
        <v>151</v>
      </c>
      <c r="M120" s="8">
        <v>9</v>
      </c>
      <c r="N120" s="8">
        <v>5</v>
      </c>
      <c r="O120" s="8">
        <v>4</v>
      </c>
      <c r="P120" s="8">
        <v>170</v>
      </c>
      <c r="Q120" s="8">
        <v>529</v>
      </c>
      <c r="R120" s="8">
        <v>0</v>
      </c>
      <c r="S120" s="8">
        <v>503</v>
      </c>
      <c r="T120" s="8">
        <v>19</v>
      </c>
      <c r="U120" s="8">
        <v>160</v>
      </c>
      <c r="V120" s="24">
        <v>16.766666666666666</v>
      </c>
      <c r="W120" s="24">
        <v>83.833333333333329</v>
      </c>
      <c r="X120" s="24">
        <v>3.1437499999999998</v>
      </c>
      <c r="Y120" s="24">
        <v>0.60625000000000018</v>
      </c>
      <c r="Z120" s="24">
        <v>8</v>
      </c>
    </row>
    <row r="121" spans="1:26" ht="15.75" x14ac:dyDescent="0.25">
      <c r="A121" s="76">
        <v>6</v>
      </c>
      <c r="B121" s="91"/>
      <c r="C121" s="5" t="s">
        <v>35</v>
      </c>
      <c r="D121" s="4" t="s">
        <v>32</v>
      </c>
      <c r="E121" s="4">
        <v>30</v>
      </c>
      <c r="F121" s="5">
        <v>12</v>
      </c>
      <c r="G121" s="5">
        <v>10</v>
      </c>
      <c r="H121" s="5">
        <v>94</v>
      </c>
      <c r="I121" s="5">
        <v>4</v>
      </c>
      <c r="J121" s="5">
        <v>108</v>
      </c>
      <c r="K121" s="5">
        <v>10</v>
      </c>
      <c r="L121" s="5">
        <v>80</v>
      </c>
      <c r="M121" s="5">
        <v>7</v>
      </c>
      <c r="N121" s="5">
        <v>3</v>
      </c>
      <c r="O121" s="5">
        <v>4</v>
      </c>
      <c r="P121" s="5">
        <v>97</v>
      </c>
      <c r="Q121" s="5">
        <v>315</v>
      </c>
      <c r="R121" s="5">
        <v>3</v>
      </c>
      <c r="S121" s="5">
        <v>316</v>
      </c>
      <c r="T121" s="5">
        <v>11</v>
      </c>
      <c r="U121" s="5">
        <v>87</v>
      </c>
      <c r="V121" s="13">
        <v>10.533333333333333</v>
      </c>
      <c r="W121" s="13">
        <v>87.777777777777771</v>
      </c>
      <c r="X121" s="13">
        <v>3.632183908045977</v>
      </c>
      <c r="Y121" s="14">
        <v>0.50574712643678166</v>
      </c>
      <c r="Z121" s="13">
        <v>7.25</v>
      </c>
    </row>
    <row r="122" spans="1:26" ht="15.75" x14ac:dyDescent="0.25">
      <c r="A122" s="77"/>
      <c r="B122" s="91"/>
      <c r="C122" s="8" t="s">
        <v>35</v>
      </c>
      <c r="D122" s="4" t="s">
        <v>32</v>
      </c>
      <c r="E122" s="4">
        <v>30</v>
      </c>
      <c r="F122" s="8">
        <v>12</v>
      </c>
      <c r="G122" s="8">
        <v>10</v>
      </c>
      <c r="H122" s="8">
        <v>94</v>
      </c>
      <c r="I122" s="8">
        <v>4</v>
      </c>
      <c r="J122" s="8">
        <v>108</v>
      </c>
      <c r="K122" s="8">
        <v>10</v>
      </c>
      <c r="L122" s="8">
        <v>80</v>
      </c>
      <c r="M122" s="8">
        <v>7</v>
      </c>
      <c r="N122" s="8">
        <v>3</v>
      </c>
      <c r="O122" s="8">
        <v>4</v>
      </c>
      <c r="P122" s="8">
        <v>97</v>
      </c>
      <c r="Q122" s="8">
        <v>315</v>
      </c>
      <c r="R122" s="8">
        <v>3</v>
      </c>
      <c r="S122" s="8">
        <v>316</v>
      </c>
      <c r="T122" s="8">
        <v>11</v>
      </c>
      <c r="U122" s="8">
        <v>87</v>
      </c>
      <c r="V122" s="26">
        <v>10.533333333333333</v>
      </c>
      <c r="W122" s="26">
        <v>87.777777777777771</v>
      </c>
      <c r="X122" s="26">
        <v>3.632183908045977</v>
      </c>
      <c r="Y122" s="26">
        <v>0.50574712643678166</v>
      </c>
      <c r="Z122" s="26">
        <v>7.25</v>
      </c>
    </row>
    <row r="123" spans="1:26" ht="15.75" x14ac:dyDescent="0.25">
      <c r="A123" s="76">
        <v>7</v>
      </c>
      <c r="B123" s="91"/>
      <c r="C123" s="5" t="s">
        <v>34</v>
      </c>
      <c r="D123" s="4" t="s">
        <v>32</v>
      </c>
      <c r="E123" s="4">
        <v>30</v>
      </c>
      <c r="F123" s="5">
        <v>16</v>
      </c>
      <c r="G123" s="5">
        <v>12</v>
      </c>
      <c r="H123" s="5">
        <v>92</v>
      </c>
      <c r="I123" s="5">
        <v>47</v>
      </c>
      <c r="J123" s="5">
        <v>151</v>
      </c>
      <c r="K123" s="5">
        <v>6</v>
      </c>
      <c r="L123" s="5">
        <v>120</v>
      </c>
      <c r="M123" s="5">
        <v>9</v>
      </c>
      <c r="N123" s="5">
        <v>3</v>
      </c>
      <c r="O123" s="5">
        <v>6</v>
      </c>
      <c r="P123" s="5">
        <v>135</v>
      </c>
      <c r="Q123" s="5">
        <v>525</v>
      </c>
      <c r="R123" s="5">
        <v>0</v>
      </c>
      <c r="S123" s="5">
        <v>451</v>
      </c>
      <c r="T123" s="5">
        <v>16</v>
      </c>
      <c r="U123" s="5">
        <v>129</v>
      </c>
      <c r="V123" s="7">
        <v>15.033333333333333</v>
      </c>
      <c r="W123" s="7">
        <v>93.958333333333329</v>
      </c>
      <c r="X123" s="7">
        <v>3.4961240310077519</v>
      </c>
      <c r="Y123" s="6">
        <v>0.22480620155038764</v>
      </c>
      <c r="Z123" s="7">
        <v>8.0625</v>
      </c>
    </row>
    <row r="124" spans="1:26" ht="15.75" x14ac:dyDescent="0.25">
      <c r="A124" s="77"/>
      <c r="B124" s="91"/>
      <c r="C124" s="8" t="s">
        <v>34</v>
      </c>
      <c r="D124" s="4" t="s">
        <v>32</v>
      </c>
      <c r="E124" s="4">
        <v>30</v>
      </c>
      <c r="F124" s="8">
        <v>16</v>
      </c>
      <c r="G124" s="8">
        <v>12</v>
      </c>
      <c r="H124" s="8">
        <v>92</v>
      </c>
      <c r="I124" s="8">
        <v>47</v>
      </c>
      <c r="J124" s="8">
        <v>151</v>
      </c>
      <c r="K124" s="8">
        <v>6</v>
      </c>
      <c r="L124" s="8">
        <v>120</v>
      </c>
      <c r="M124" s="8">
        <v>9</v>
      </c>
      <c r="N124" s="8">
        <v>3</v>
      </c>
      <c r="O124" s="8">
        <v>6</v>
      </c>
      <c r="P124" s="8">
        <v>135</v>
      </c>
      <c r="Q124" s="8">
        <v>525</v>
      </c>
      <c r="R124" s="8">
        <v>0</v>
      </c>
      <c r="S124" s="8">
        <v>451</v>
      </c>
      <c r="T124" s="8">
        <v>16</v>
      </c>
      <c r="U124" s="8">
        <v>129</v>
      </c>
      <c r="V124" s="24">
        <v>15.033333333333333</v>
      </c>
      <c r="W124" s="24">
        <v>93.958333333333329</v>
      </c>
      <c r="X124" s="24">
        <v>3.4961240310077519</v>
      </c>
      <c r="Y124" s="24">
        <v>0.22480620155038764</v>
      </c>
      <c r="Z124" s="24">
        <v>8.0625</v>
      </c>
    </row>
    <row r="125" spans="1:26" ht="15.75" x14ac:dyDescent="0.25">
      <c r="A125" s="76">
        <v>8</v>
      </c>
      <c r="B125" s="91"/>
      <c r="C125" s="5" t="s">
        <v>37</v>
      </c>
      <c r="D125" s="4" t="s">
        <v>32</v>
      </c>
      <c r="E125" s="4">
        <v>30</v>
      </c>
      <c r="F125" s="5">
        <v>17</v>
      </c>
      <c r="G125" s="5">
        <v>14</v>
      </c>
      <c r="H125" s="5">
        <v>114</v>
      </c>
      <c r="I125" s="5">
        <v>17</v>
      </c>
      <c r="J125" s="5">
        <v>145</v>
      </c>
      <c r="K125" s="5">
        <v>13</v>
      </c>
      <c r="L125" s="5">
        <v>113</v>
      </c>
      <c r="M125" s="5">
        <v>4</v>
      </c>
      <c r="N125" s="5">
        <v>3</v>
      </c>
      <c r="O125" s="5">
        <v>1</v>
      </c>
      <c r="P125" s="5">
        <v>130</v>
      </c>
      <c r="Q125" s="5">
        <v>495</v>
      </c>
      <c r="R125" s="5">
        <v>0</v>
      </c>
      <c r="S125" s="5">
        <v>451</v>
      </c>
      <c r="T125" s="5">
        <v>15</v>
      </c>
      <c r="U125" s="5">
        <v>117</v>
      </c>
      <c r="V125" s="7">
        <v>15.033333333333333</v>
      </c>
      <c r="W125" s="7">
        <v>88.431372549019599</v>
      </c>
      <c r="X125" s="7">
        <v>3.8547008547008548</v>
      </c>
      <c r="Y125" s="6">
        <v>0.50427350427350426</v>
      </c>
      <c r="Z125" s="7">
        <v>6.882352941176471</v>
      </c>
    </row>
    <row r="126" spans="1:26" ht="15.75" x14ac:dyDescent="0.25">
      <c r="A126" s="77"/>
      <c r="B126" s="91"/>
      <c r="C126" s="8" t="s">
        <v>37</v>
      </c>
      <c r="D126" s="4" t="s">
        <v>32</v>
      </c>
      <c r="E126" s="4">
        <v>30</v>
      </c>
      <c r="F126" s="8">
        <v>17</v>
      </c>
      <c r="G126" s="8">
        <v>14</v>
      </c>
      <c r="H126" s="8">
        <v>114</v>
      </c>
      <c r="I126" s="8">
        <v>17</v>
      </c>
      <c r="J126" s="8">
        <v>145</v>
      </c>
      <c r="K126" s="8">
        <v>13</v>
      </c>
      <c r="L126" s="8">
        <v>113</v>
      </c>
      <c r="M126" s="8">
        <v>4</v>
      </c>
      <c r="N126" s="8">
        <v>3</v>
      </c>
      <c r="O126" s="8">
        <v>1</v>
      </c>
      <c r="P126" s="8">
        <v>130</v>
      </c>
      <c r="Q126" s="8">
        <v>495</v>
      </c>
      <c r="R126" s="8">
        <v>0</v>
      </c>
      <c r="S126" s="8">
        <v>451</v>
      </c>
      <c r="T126" s="8">
        <v>15</v>
      </c>
      <c r="U126" s="8">
        <v>117</v>
      </c>
      <c r="V126" s="24">
        <v>15.033333333333333</v>
      </c>
      <c r="W126" s="24">
        <v>88.431372549019599</v>
      </c>
      <c r="X126" s="24">
        <v>3.8547008547008548</v>
      </c>
      <c r="Y126" s="24">
        <v>0.50427350427350426</v>
      </c>
      <c r="Z126" s="24">
        <v>6.882352941176471</v>
      </c>
    </row>
    <row r="127" spans="1:26" ht="15.75" x14ac:dyDescent="0.25">
      <c r="A127" s="76">
        <v>9</v>
      </c>
      <c r="B127" s="91"/>
      <c r="C127" s="5" t="s">
        <v>33</v>
      </c>
      <c r="D127" s="4" t="s">
        <v>32</v>
      </c>
      <c r="E127" s="4">
        <v>30</v>
      </c>
      <c r="F127" s="5">
        <v>20</v>
      </c>
      <c r="G127" s="5">
        <v>13</v>
      </c>
      <c r="H127" s="5">
        <v>188</v>
      </c>
      <c r="I127" s="5">
        <v>13</v>
      </c>
      <c r="J127" s="5">
        <v>214</v>
      </c>
      <c r="K127" s="5">
        <v>11</v>
      </c>
      <c r="L127" s="5">
        <v>158</v>
      </c>
      <c r="M127" s="5">
        <v>22</v>
      </c>
      <c r="N127" s="5">
        <v>13</v>
      </c>
      <c r="O127" s="5">
        <v>9</v>
      </c>
      <c r="P127" s="5">
        <v>191</v>
      </c>
      <c r="Q127" s="5">
        <v>653</v>
      </c>
      <c r="R127" s="5">
        <v>1</v>
      </c>
      <c r="S127" s="5">
        <v>642</v>
      </c>
      <c r="T127" s="5">
        <v>23</v>
      </c>
      <c r="U127" s="5">
        <v>180</v>
      </c>
      <c r="V127" s="7">
        <v>21.4</v>
      </c>
      <c r="W127" s="7">
        <v>106.99999999999999</v>
      </c>
      <c r="X127" s="7">
        <v>3.5666666666666669</v>
      </c>
      <c r="Y127" s="6">
        <v>-0.23333333333333309</v>
      </c>
      <c r="Z127" s="7">
        <v>9</v>
      </c>
    </row>
    <row r="128" spans="1:26" ht="15.75" x14ac:dyDescent="0.25">
      <c r="A128" s="77"/>
      <c r="B128" s="91"/>
      <c r="C128" s="8" t="s">
        <v>33</v>
      </c>
      <c r="D128" s="4" t="s">
        <v>32</v>
      </c>
      <c r="E128" s="4">
        <v>30</v>
      </c>
      <c r="F128" s="8">
        <v>20</v>
      </c>
      <c r="G128" s="8">
        <v>13</v>
      </c>
      <c r="H128" s="8">
        <v>188</v>
      </c>
      <c r="I128" s="8">
        <v>13</v>
      </c>
      <c r="J128" s="8">
        <v>214</v>
      </c>
      <c r="K128" s="8">
        <v>11</v>
      </c>
      <c r="L128" s="8">
        <v>158</v>
      </c>
      <c r="M128" s="8">
        <v>22</v>
      </c>
      <c r="N128" s="8">
        <v>13</v>
      </c>
      <c r="O128" s="8">
        <v>9</v>
      </c>
      <c r="P128" s="8">
        <v>191</v>
      </c>
      <c r="Q128" s="8">
        <v>653</v>
      </c>
      <c r="R128" s="8">
        <v>1</v>
      </c>
      <c r="S128" s="8">
        <v>642</v>
      </c>
      <c r="T128" s="8">
        <v>23</v>
      </c>
      <c r="U128" s="8">
        <v>180</v>
      </c>
      <c r="V128" s="24">
        <v>21.4</v>
      </c>
      <c r="W128" s="24">
        <v>106.99999999999999</v>
      </c>
      <c r="X128" s="24">
        <v>3.5666666666666669</v>
      </c>
      <c r="Y128" s="24">
        <v>-0.23333333333333309</v>
      </c>
      <c r="Z128" s="24">
        <v>9</v>
      </c>
    </row>
    <row r="129" spans="1:26" ht="15.75" x14ac:dyDescent="0.25">
      <c r="A129" s="76">
        <v>10</v>
      </c>
      <c r="B129" s="91"/>
      <c r="C129" s="4" t="s">
        <v>40</v>
      </c>
      <c r="D129" s="4" t="s">
        <v>32</v>
      </c>
      <c r="E129" s="4">
        <v>30</v>
      </c>
      <c r="F129" s="4">
        <v>16</v>
      </c>
      <c r="G129" s="4">
        <v>14</v>
      </c>
      <c r="H129" s="4">
        <v>133</v>
      </c>
      <c r="I129" s="4">
        <v>9</v>
      </c>
      <c r="J129" s="5">
        <v>156</v>
      </c>
      <c r="K129" s="4">
        <v>10</v>
      </c>
      <c r="L129" s="4">
        <v>124</v>
      </c>
      <c r="M129" s="5">
        <v>6</v>
      </c>
      <c r="N129" s="4">
        <v>1</v>
      </c>
      <c r="O129" s="4">
        <v>5</v>
      </c>
      <c r="P129" s="5">
        <v>140</v>
      </c>
      <c r="Q129" s="4">
        <v>546</v>
      </c>
      <c r="R129" s="4">
        <v>6</v>
      </c>
      <c r="S129" s="4">
        <v>514</v>
      </c>
      <c r="T129" s="5">
        <v>16</v>
      </c>
      <c r="U129" s="5">
        <v>130</v>
      </c>
      <c r="V129" s="7">
        <v>17.133333333333333</v>
      </c>
      <c r="W129" s="7">
        <v>107.08333333333333</v>
      </c>
      <c r="X129" s="7">
        <v>3.953846153846154</v>
      </c>
      <c r="Y129" s="6">
        <v>-0.26153846153846144</v>
      </c>
      <c r="Z129" s="7">
        <v>8.125</v>
      </c>
    </row>
    <row r="130" spans="1:26" ht="15.75" x14ac:dyDescent="0.25">
      <c r="A130" s="77"/>
      <c r="B130" s="91"/>
      <c r="C130" s="8" t="s">
        <v>40</v>
      </c>
      <c r="D130" s="4" t="s">
        <v>32</v>
      </c>
      <c r="E130" s="4">
        <v>30</v>
      </c>
      <c r="F130" s="8">
        <v>16</v>
      </c>
      <c r="G130" s="8">
        <v>14</v>
      </c>
      <c r="H130" s="8">
        <v>133</v>
      </c>
      <c r="I130" s="8">
        <v>9</v>
      </c>
      <c r="J130" s="8">
        <v>156</v>
      </c>
      <c r="K130" s="8">
        <v>10</v>
      </c>
      <c r="L130" s="8">
        <v>124</v>
      </c>
      <c r="M130" s="8">
        <v>6</v>
      </c>
      <c r="N130" s="8">
        <v>1</v>
      </c>
      <c r="O130" s="8">
        <v>5</v>
      </c>
      <c r="P130" s="8">
        <v>140</v>
      </c>
      <c r="Q130" s="8">
        <v>546</v>
      </c>
      <c r="R130" s="8">
        <v>6</v>
      </c>
      <c r="S130" s="8">
        <v>514</v>
      </c>
      <c r="T130" s="8">
        <v>16</v>
      </c>
      <c r="U130" s="8">
        <v>130</v>
      </c>
      <c r="V130" s="24">
        <v>17.133333333333333</v>
      </c>
      <c r="W130" s="24">
        <v>107.08333333333333</v>
      </c>
      <c r="X130" s="24">
        <v>3.953846153846154</v>
      </c>
      <c r="Y130" s="24">
        <v>-0.26153846153846144</v>
      </c>
      <c r="Z130" s="24">
        <v>8.125</v>
      </c>
    </row>
    <row r="131" spans="1:26" ht="15.75" x14ac:dyDescent="0.25">
      <c r="A131" s="93">
        <v>11</v>
      </c>
      <c r="B131" s="91"/>
      <c r="C131" s="4" t="s">
        <v>56</v>
      </c>
      <c r="D131" s="4" t="s">
        <v>32</v>
      </c>
      <c r="E131" s="4">
        <v>30</v>
      </c>
      <c r="F131" s="4">
        <v>25</v>
      </c>
      <c r="G131" s="4">
        <v>14</v>
      </c>
      <c r="H131" s="4">
        <v>347</v>
      </c>
      <c r="I131" s="4">
        <v>233</v>
      </c>
      <c r="J131" s="5">
        <v>594</v>
      </c>
      <c r="K131" s="4">
        <v>81</v>
      </c>
      <c r="L131" s="4">
        <v>485</v>
      </c>
      <c r="M131" s="5">
        <v>2</v>
      </c>
      <c r="N131" s="4">
        <v>1</v>
      </c>
      <c r="O131" s="4">
        <v>1</v>
      </c>
      <c r="P131" s="5">
        <v>568</v>
      </c>
      <c r="Q131" s="4">
        <v>975</v>
      </c>
      <c r="R131" s="4">
        <v>1</v>
      </c>
      <c r="S131" s="4">
        <v>664</v>
      </c>
      <c r="T131" s="5">
        <v>26</v>
      </c>
      <c r="U131" s="5">
        <v>487</v>
      </c>
      <c r="V131" s="7">
        <v>22.133333333333333</v>
      </c>
      <c r="W131" s="7">
        <v>88.533333333333331</v>
      </c>
      <c r="X131" s="7">
        <v>1.3634496919917864</v>
      </c>
      <c r="Y131" s="6">
        <v>0.17659137577002057</v>
      </c>
      <c r="Z131" s="7">
        <v>19.48</v>
      </c>
    </row>
    <row r="132" spans="1:26" ht="15.75" x14ac:dyDescent="0.25">
      <c r="A132" s="94"/>
      <c r="B132" s="91"/>
      <c r="C132" s="4" t="s">
        <v>60</v>
      </c>
      <c r="D132" s="4" t="s">
        <v>32</v>
      </c>
      <c r="E132" s="4">
        <v>30</v>
      </c>
      <c r="F132" s="4">
        <v>0</v>
      </c>
      <c r="G132" s="4">
        <v>0</v>
      </c>
      <c r="H132" s="4">
        <v>0</v>
      </c>
      <c r="I132" s="4">
        <v>0</v>
      </c>
      <c r="J132" s="5">
        <v>0</v>
      </c>
      <c r="K132" s="4">
        <v>0</v>
      </c>
      <c r="L132" s="4">
        <v>0</v>
      </c>
      <c r="M132" s="5">
        <v>0</v>
      </c>
      <c r="N132" s="4">
        <v>0</v>
      </c>
      <c r="O132" s="4">
        <v>0</v>
      </c>
      <c r="P132" s="5">
        <v>0</v>
      </c>
      <c r="Q132" s="4">
        <v>0</v>
      </c>
      <c r="R132" s="4">
        <v>0</v>
      </c>
      <c r="S132" s="4">
        <v>0</v>
      </c>
      <c r="T132" s="5">
        <v>0</v>
      </c>
      <c r="U132" s="5">
        <v>0</v>
      </c>
      <c r="V132" s="7">
        <v>0</v>
      </c>
      <c r="W132" s="7" t="e">
        <v>#DIV/0!</v>
      </c>
      <c r="X132" s="7" t="e">
        <v>#DIV/0!</v>
      </c>
      <c r="Y132" s="6" t="e">
        <v>#DIV/0!</v>
      </c>
      <c r="Z132" s="7" t="e">
        <v>#DIV/0!</v>
      </c>
    </row>
    <row r="133" spans="1:26" ht="15.75" x14ac:dyDescent="0.25">
      <c r="A133" s="95"/>
      <c r="B133" s="92"/>
      <c r="C133" s="10"/>
      <c r="D133" s="31"/>
      <c r="E133" s="4">
        <v>30</v>
      </c>
      <c r="F133" s="8">
        <v>25</v>
      </c>
      <c r="G133" s="8">
        <v>14</v>
      </c>
      <c r="H133" s="8">
        <v>347</v>
      </c>
      <c r="I133" s="8">
        <v>233</v>
      </c>
      <c r="J133" s="8">
        <v>594</v>
      </c>
      <c r="K133" s="8">
        <v>81</v>
      </c>
      <c r="L133" s="8">
        <v>485</v>
      </c>
      <c r="M133" s="8">
        <v>2</v>
      </c>
      <c r="N133" s="8">
        <v>1</v>
      </c>
      <c r="O133" s="8">
        <v>1</v>
      </c>
      <c r="P133" s="8">
        <v>568</v>
      </c>
      <c r="Q133" s="8">
        <v>975</v>
      </c>
      <c r="R133" s="8">
        <v>1</v>
      </c>
      <c r="S133" s="8">
        <v>664</v>
      </c>
      <c r="T133" s="8">
        <v>26</v>
      </c>
      <c r="U133" s="8">
        <v>487</v>
      </c>
      <c r="V133" s="24">
        <v>22.133333333333333</v>
      </c>
      <c r="W133" s="24">
        <v>88.533333333333331</v>
      </c>
      <c r="X133" s="24">
        <v>1.3634496919917864</v>
      </c>
      <c r="Y133" s="24">
        <v>0.17659137577002057</v>
      </c>
      <c r="Z133" s="24">
        <v>19.48</v>
      </c>
    </row>
    <row r="134" spans="1:26" ht="15.75" x14ac:dyDescent="0.25">
      <c r="A134" s="79" t="s">
        <v>88</v>
      </c>
      <c r="B134" s="80"/>
      <c r="C134" s="80"/>
      <c r="D134" s="81"/>
      <c r="E134" s="4">
        <v>30</v>
      </c>
      <c r="F134" s="20">
        <v>191</v>
      </c>
      <c r="G134" s="20">
        <v>139</v>
      </c>
      <c r="H134" s="20">
        <v>1694</v>
      </c>
      <c r="I134" s="20">
        <v>376</v>
      </c>
      <c r="J134" s="11">
        <v>2209</v>
      </c>
      <c r="K134" s="20">
        <v>184</v>
      </c>
      <c r="L134" s="20">
        <v>1712</v>
      </c>
      <c r="M134" s="11">
        <v>115</v>
      </c>
      <c r="N134" s="20">
        <v>56</v>
      </c>
      <c r="O134" s="20">
        <v>59</v>
      </c>
      <c r="P134" s="11">
        <v>2011</v>
      </c>
      <c r="Q134" s="20">
        <v>6235</v>
      </c>
      <c r="R134" s="20">
        <v>15</v>
      </c>
      <c r="S134" s="20">
        <v>5537</v>
      </c>
      <c r="T134" s="11">
        <v>198</v>
      </c>
      <c r="U134" s="11">
        <v>1827</v>
      </c>
      <c r="V134" s="22">
        <v>184.56666666666666</v>
      </c>
      <c r="W134" s="12">
        <v>96.631762652705049</v>
      </c>
      <c r="X134" s="12">
        <v>3.0306513409961684</v>
      </c>
      <c r="Y134" s="12">
        <v>0.10563765736179535</v>
      </c>
      <c r="Z134" s="12">
        <v>9.5654450261780113</v>
      </c>
    </row>
    <row r="135" spans="1:26" ht="15.75" x14ac:dyDescent="0.25">
      <c r="A135" s="100" t="s">
        <v>84</v>
      </c>
      <c r="B135" s="101"/>
      <c r="C135" s="101"/>
      <c r="D135" s="102"/>
      <c r="E135" s="4">
        <v>30</v>
      </c>
      <c r="F135" s="63">
        <v>248</v>
      </c>
      <c r="G135" s="63">
        <v>179</v>
      </c>
      <c r="H135" s="63">
        <v>2188</v>
      </c>
      <c r="I135" s="63">
        <v>538</v>
      </c>
      <c r="J135" s="63">
        <v>2905</v>
      </c>
      <c r="K135" s="63">
        <v>406</v>
      </c>
      <c r="L135" s="63">
        <v>2098</v>
      </c>
      <c r="M135" s="63">
        <v>142</v>
      </c>
      <c r="N135" s="63">
        <v>64</v>
      </c>
      <c r="O135" s="63">
        <v>78</v>
      </c>
      <c r="P135" s="63">
        <v>2646</v>
      </c>
      <c r="Q135" s="63">
        <v>7736</v>
      </c>
      <c r="R135" s="63">
        <v>17</v>
      </c>
      <c r="S135" s="63">
        <v>7168</v>
      </c>
      <c r="T135" s="63">
        <v>259</v>
      </c>
      <c r="U135" s="63">
        <v>2240</v>
      </c>
      <c r="V135" s="68">
        <v>238.93333333333334</v>
      </c>
      <c r="W135" s="69">
        <v>96.344086021505376</v>
      </c>
      <c r="X135" s="69">
        <v>3.2</v>
      </c>
      <c r="Y135" s="69">
        <v>0.12142857142857137</v>
      </c>
      <c r="Z135" s="69">
        <v>9.0322580645161299</v>
      </c>
    </row>
    <row r="136" spans="1:26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1:26" x14ac:dyDescent="0.25">
      <c r="A137" s="78" t="s">
        <v>1</v>
      </c>
      <c r="B137" s="78" t="s">
        <v>2</v>
      </c>
      <c r="C137" s="72" t="s">
        <v>3</v>
      </c>
      <c r="D137" s="72" t="s">
        <v>4</v>
      </c>
      <c r="E137" s="75" t="s">
        <v>5</v>
      </c>
      <c r="F137" s="72" t="s">
        <v>6</v>
      </c>
      <c r="G137" s="72" t="s">
        <v>7</v>
      </c>
      <c r="H137" s="72" t="s">
        <v>8</v>
      </c>
      <c r="I137" s="75" t="s">
        <v>9</v>
      </c>
      <c r="J137" s="72" t="s">
        <v>10</v>
      </c>
      <c r="K137" s="72" t="s">
        <v>11</v>
      </c>
      <c r="L137" s="72" t="s">
        <v>12</v>
      </c>
      <c r="M137" s="72" t="s">
        <v>13</v>
      </c>
      <c r="N137" s="72" t="s">
        <v>14</v>
      </c>
      <c r="O137" s="72" t="s">
        <v>15</v>
      </c>
      <c r="P137" s="72" t="s">
        <v>16</v>
      </c>
      <c r="Q137" s="72" t="s">
        <v>17</v>
      </c>
      <c r="R137" s="72" t="s">
        <v>18</v>
      </c>
      <c r="S137" s="72" t="s">
        <v>19</v>
      </c>
      <c r="T137" s="72" t="s">
        <v>20</v>
      </c>
      <c r="U137" s="73" t="s">
        <v>21</v>
      </c>
      <c r="V137" s="2" t="s">
        <v>22</v>
      </c>
      <c r="W137" s="2" t="s">
        <v>23</v>
      </c>
      <c r="X137" s="2" t="s">
        <v>24</v>
      </c>
      <c r="Y137" s="2" t="s">
        <v>25</v>
      </c>
      <c r="Z137" s="2" t="s">
        <v>26</v>
      </c>
    </row>
    <row r="138" spans="1:26" x14ac:dyDescent="0.25">
      <c r="A138" s="78"/>
      <c r="B138" s="78"/>
      <c r="C138" s="72"/>
      <c r="D138" s="72"/>
      <c r="E138" s="75"/>
      <c r="F138" s="72"/>
      <c r="G138" s="72"/>
      <c r="H138" s="72"/>
      <c r="I138" s="75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3"/>
      <c r="V138" s="71" t="s">
        <v>27</v>
      </c>
      <c r="W138" s="71" t="s">
        <v>28</v>
      </c>
      <c r="X138" s="71" t="s">
        <v>29</v>
      </c>
      <c r="Y138" s="71" t="s">
        <v>30</v>
      </c>
      <c r="Z138" s="71" t="s">
        <v>31</v>
      </c>
    </row>
    <row r="139" spans="1:26" x14ac:dyDescent="0.25">
      <c r="A139" s="78"/>
      <c r="B139" s="78"/>
      <c r="C139" s="72"/>
      <c r="D139" s="72"/>
      <c r="E139" s="75"/>
      <c r="F139" s="72"/>
      <c r="G139" s="72"/>
      <c r="H139" s="72"/>
      <c r="I139" s="75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3"/>
      <c r="V139" s="74"/>
      <c r="W139" s="71"/>
      <c r="X139" s="71"/>
      <c r="Y139" s="71"/>
      <c r="Z139" s="71"/>
    </row>
    <row r="140" spans="1:26" x14ac:dyDescent="0.25">
      <c r="A140" s="78"/>
      <c r="B140" s="78"/>
      <c r="C140" s="72"/>
      <c r="D140" s="72"/>
      <c r="E140" s="75"/>
      <c r="F140" s="72"/>
      <c r="G140" s="3">
        <v>1</v>
      </c>
      <c r="H140" s="3">
        <v>2</v>
      </c>
      <c r="I140" s="3">
        <v>3</v>
      </c>
      <c r="J140" s="3">
        <v>4</v>
      </c>
      <c r="K140" s="3">
        <v>5</v>
      </c>
      <c r="L140" s="3">
        <v>6</v>
      </c>
      <c r="M140" s="3">
        <v>7</v>
      </c>
      <c r="N140" s="3">
        <v>8</v>
      </c>
      <c r="O140" s="3">
        <v>9</v>
      </c>
      <c r="P140" s="3">
        <v>10</v>
      </c>
      <c r="Q140" s="3">
        <v>11</v>
      </c>
      <c r="R140" s="3">
        <v>12</v>
      </c>
      <c r="S140" s="3">
        <v>13</v>
      </c>
      <c r="T140" s="3">
        <v>14</v>
      </c>
      <c r="U140" s="73"/>
      <c r="V140" s="16">
        <v>15</v>
      </c>
      <c r="W140" s="16">
        <v>16</v>
      </c>
      <c r="X140" s="16">
        <v>17</v>
      </c>
      <c r="Y140" s="16">
        <v>18</v>
      </c>
      <c r="Z140" s="16">
        <v>19</v>
      </c>
    </row>
    <row r="141" spans="1:26" ht="15.75" x14ac:dyDescent="0.25">
      <c r="A141" s="82">
        <v>1</v>
      </c>
      <c r="B141" s="82" t="s">
        <v>80</v>
      </c>
      <c r="C141" s="5" t="s">
        <v>68</v>
      </c>
      <c r="D141" s="5" t="s">
        <v>36</v>
      </c>
      <c r="E141" s="4">
        <v>30</v>
      </c>
      <c r="F141" s="5">
        <v>0</v>
      </c>
      <c r="G141" s="5">
        <v>4</v>
      </c>
      <c r="H141" s="5">
        <v>253</v>
      </c>
      <c r="I141" s="5">
        <v>2</v>
      </c>
      <c r="J141" s="5">
        <v>259</v>
      </c>
      <c r="K141" s="5">
        <v>249</v>
      </c>
      <c r="L141" s="5">
        <v>1</v>
      </c>
      <c r="M141" s="5">
        <v>3</v>
      </c>
      <c r="N141" s="5">
        <v>3</v>
      </c>
      <c r="O141" s="5">
        <v>0</v>
      </c>
      <c r="P141" s="5">
        <v>253</v>
      </c>
      <c r="Q141" s="5">
        <v>4</v>
      </c>
      <c r="R141" s="5">
        <v>3</v>
      </c>
      <c r="S141" s="5">
        <v>124</v>
      </c>
      <c r="T141" s="5">
        <v>6</v>
      </c>
      <c r="U141" s="5">
        <v>4</v>
      </c>
      <c r="V141" s="7">
        <v>4.1333333333333337</v>
      </c>
      <c r="W141" s="7" t="e">
        <v>#DIV/0!</v>
      </c>
      <c r="X141" s="7">
        <v>31</v>
      </c>
      <c r="Y141" s="6">
        <v>-31.000000000000004</v>
      </c>
      <c r="Z141" s="7" t="e">
        <v>#DIV/0!</v>
      </c>
    </row>
    <row r="142" spans="1:26" ht="15.75" x14ac:dyDescent="0.25">
      <c r="A142" s="82"/>
      <c r="B142" s="82"/>
      <c r="C142" s="8" t="s">
        <v>68</v>
      </c>
      <c r="D142" s="8" t="s">
        <v>36</v>
      </c>
      <c r="E142" s="4">
        <v>30</v>
      </c>
      <c r="F142" s="8">
        <v>0</v>
      </c>
      <c r="G142" s="8">
        <v>4</v>
      </c>
      <c r="H142" s="8">
        <v>253</v>
      </c>
      <c r="I142" s="8">
        <v>2</v>
      </c>
      <c r="J142" s="8">
        <v>259</v>
      </c>
      <c r="K142" s="8">
        <v>249</v>
      </c>
      <c r="L142" s="8">
        <v>1</v>
      </c>
      <c r="M142" s="8">
        <v>3</v>
      </c>
      <c r="N142" s="8">
        <v>3</v>
      </c>
      <c r="O142" s="8">
        <v>0</v>
      </c>
      <c r="P142" s="8">
        <v>253</v>
      </c>
      <c r="Q142" s="8">
        <v>4</v>
      </c>
      <c r="R142" s="8">
        <v>3</v>
      </c>
      <c r="S142" s="8">
        <v>124</v>
      </c>
      <c r="T142" s="8">
        <v>6</v>
      </c>
      <c r="U142" s="8">
        <v>4</v>
      </c>
      <c r="V142" s="24">
        <v>4.1333333333333337</v>
      </c>
      <c r="W142" s="24" t="e">
        <v>#DIV/0!</v>
      </c>
      <c r="X142" s="24">
        <v>31</v>
      </c>
      <c r="Y142" s="24">
        <v>-31.000000000000004</v>
      </c>
      <c r="Z142" s="24" t="e">
        <v>#DIV/0!</v>
      </c>
    </row>
    <row r="143" spans="1:26" ht="15.75" x14ac:dyDescent="0.25">
      <c r="A143" s="83" t="s">
        <v>70</v>
      </c>
      <c r="B143" s="84"/>
      <c r="C143" s="84"/>
      <c r="D143" s="85"/>
      <c r="E143" s="4">
        <v>30</v>
      </c>
      <c r="F143" s="15">
        <v>388</v>
      </c>
      <c r="G143" s="15">
        <v>256</v>
      </c>
      <c r="H143" s="15">
        <v>3030</v>
      </c>
      <c r="I143" s="15">
        <v>742</v>
      </c>
      <c r="J143" s="15">
        <v>4028</v>
      </c>
      <c r="K143" s="15">
        <v>992</v>
      </c>
      <c r="L143" s="15">
        <v>2443</v>
      </c>
      <c r="M143" s="15">
        <v>246</v>
      </c>
      <c r="N143" s="15">
        <v>116</v>
      </c>
      <c r="O143" s="15">
        <v>130</v>
      </c>
      <c r="P143" s="15">
        <v>3681</v>
      </c>
      <c r="Q143" s="15">
        <v>9954</v>
      </c>
      <c r="R143" s="15">
        <v>33</v>
      </c>
      <c r="S143" s="15">
        <v>9751</v>
      </c>
      <c r="T143" s="15">
        <v>347</v>
      </c>
      <c r="U143" s="15">
        <v>2689</v>
      </c>
      <c r="V143" s="32">
        <v>325.03333333333336</v>
      </c>
      <c r="W143" s="33">
        <v>83.771477663230243</v>
      </c>
      <c r="X143" s="33">
        <v>3.6262551134250649</v>
      </c>
      <c r="Y143" s="33">
        <v>0.70249163257716585</v>
      </c>
      <c r="Z143" s="33">
        <v>6.9304123711340209</v>
      </c>
    </row>
  </sheetData>
  <mergeCells count="264">
    <mergeCell ref="X138:X139"/>
    <mergeCell ref="Y138:Y139"/>
    <mergeCell ref="Z138:Z139"/>
    <mergeCell ref="A141:A142"/>
    <mergeCell ref="B141:B142"/>
    <mergeCell ref="A143:D143"/>
    <mergeCell ref="R137:R139"/>
    <mergeCell ref="S137:S139"/>
    <mergeCell ref="T137:T139"/>
    <mergeCell ref="U137:U140"/>
    <mergeCell ref="V138:V139"/>
    <mergeCell ref="W138:W139"/>
    <mergeCell ref="L137:L139"/>
    <mergeCell ref="M137:M139"/>
    <mergeCell ref="N137:N139"/>
    <mergeCell ref="O137:O139"/>
    <mergeCell ref="P137:P139"/>
    <mergeCell ref="Q137:Q139"/>
    <mergeCell ref="F137:F140"/>
    <mergeCell ref="G137:G139"/>
    <mergeCell ref="H137:H139"/>
    <mergeCell ref="I137:I139"/>
    <mergeCell ref="J137:J139"/>
    <mergeCell ref="K137:K139"/>
    <mergeCell ref="A135:D135"/>
    <mergeCell ref="A137:A140"/>
    <mergeCell ref="B137:B140"/>
    <mergeCell ref="C137:C140"/>
    <mergeCell ref="D137:D140"/>
    <mergeCell ref="E137:E140"/>
    <mergeCell ref="A123:A124"/>
    <mergeCell ref="A125:A126"/>
    <mergeCell ref="A127:A128"/>
    <mergeCell ref="A129:A130"/>
    <mergeCell ref="A131:A133"/>
    <mergeCell ref="A134:D134"/>
    <mergeCell ref="X108:X109"/>
    <mergeCell ref="Y108:Y109"/>
    <mergeCell ref="Z108:Z109"/>
    <mergeCell ref="A111:A112"/>
    <mergeCell ref="B111:B133"/>
    <mergeCell ref="A113:A114"/>
    <mergeCell ref="A115:A116"/>
    <mergeCell ref="A117:A118"/>
    <mergeCell ref="A119:A120"/>
    <mergeCell ref="A121:A122"/>
    <mergeCell ref="R107:R109"/>
    <mergeCell ref="S107:S109"/>
    <mergeCell ref="T107:T109"/>
    <mergeCell ref="U107:U110"/>
    <mergeCell ref="V108:V109"/>
    <mergeCell ref="W108:W109"/>
    <mergeCell ref="L107:L109"/>
    <mergeCell ref="M107:M109"/>
    <mergeCell ref="N107:N109"/>
    <mergeCell ref="O107:O109"/>
    <mergeCell ref="P107:P109"/>
    <mergeCell ref="Q107:Q109"/>
    <mergeCell ref="F107:F110"/>
    <mergeCell ref="G107:G109"/>
    <mergeCell ref="H107:H109"/>
    <mergeCell ref="I107:I109"/>
    <mergeCell ref="J107:J109"/>
    <mergeCell ref="K107:K109"/>
    <mergeCell ref="A104:D104"/>
    <mergeCell ref="A107:A110"/>
    <mergeCell ref="B107:B110"/>
    <mergeCell ref="C107:C110"/>
    <mergeCell ref="D107:D110"/>
    <mergeCell ref="E107:E110"/>
    <mergeCell ref="X92:X93"/>
    <mergeCell ref="Y92:Y93"/>
    <mergeCell ref="Z92:Z93"/>
    <mergeCell ref="A95:A96"/>
    <mergeCell ref="B95:B103"/>
    <mergeCell ref="A97:A98"/>
    <mergeCell ref="A99:A101"/>
    <mergeCell ref="A102:A103"/>
    <mergeCell ref="R91:R93"/>
    <mergeCell ref="S91:S93"/>
    <mergeCell ref="T91:T93"/>
    <mergeCell ref="U91:U94"/>
    <mergeCell ref="V92:V93"/>
    <mergeCell ref="W92:W93"/>
    <mergeCell ref="L91:L93"/>
    <mergeCell ref="M91:M93"/>
    <mergeCell ref="N91:N93"/>
    <mergeCell ref="O91:O93"/>
    <mergeCell ref="P91:P93"/>
    <mergeCell ref="Q91:Q93"/>
    <mergeCell ref="F91:F94"/>
    <mergeCell ref="G91:G93"/>
    <mergeCell ref="H91:H93"/>
    <mergeCell ref="I91:I93"/>
    <mergeCell ref="J91:J93"/>
    <mergeCell ref="K91:K93"/>
    <mergeCell ref="A88:D88"/>
    <mergeCell ref="A91:A94"/>
    <mergeCell ref="B91:B94"/>
    <mergeCell ref="C91:C94"/>
    <mergeCell ref="D91:D94"/>
    <mergeCell ref="E91:E94"/>
    <mergeCell ref="X74:X75"/>
    <mergeCell ref="Y74:Y75"/>
    <mergeCell ref="Z74:Z75"/>
    <mergeCell ref="A77:A78"/>
    <mergeCell ref="B77:B87"/>
    <mergeCell ref="A79:A80"/>
    <mergeCell ref="A81:A83"/>
    <mergeCell ref="A84:A85"/>
    <mergeCell ref="A86:A87"/>
    <mergeCell ref="R73:R75"/>
    <mergeCell ref="S73:S75"/>
    <mergeCell ref="T73:T75"/>
    <mergeCell ref="U73:U76"/>
    <mergeCell ref="V74:V75"/>
    <mergeCell ref="W74:W75"/>
    <mergeCell ref="L73:L75"/>
    <mergeCell ref="M73:M75"/>
    <mergeCell ref="N73:N75"/>
    <mergeCell ref="O73:O75"/>
    <mergeCell ref="P73:P75"/>
    <mergeCell ref="Q73:Q75"/>
    <mergeCell ref="F73:F76"/>
    <mergeCell ref="G73:G75"/>
    <mergeCell ref="H73:H75"/>
    <mergeCell ref="I73:I75"/>
    <mergeCell ref="J73:J75"/>
    <mergeCell ref="K73:K75"/>
    <mergeCell ref="A70:C70"/>
    <mergeCell ref="A73:A76"/>
    <mergeCell ref="B73:B76"/>
    <mergeCell ref="C73:C76"/>
    <mergeCell ref="D73:D76"/>
    <mergeCell ref="E73:E76"/>
    <mergeCell ref="X61:X62"/>
    <mergeCell ref="Y61:Y62"/>
    <mergeCell ref="Z61:Z62"/>
    <mergeCell ref="A64:A65"/>
    <mergeCell ref="B64:B69"/>
    <mergeCell ref="A66:A67"/>
    <mergeCell ref="A68:A69"/>
    <mergeCell ref="R60:R62"/>
    <mergeCell ref="S60:S62"/>
    <mergeCell ref="T60:T62"/>
    <mergeCell ref="U60:U63"/>
    <mergeCell ref="V61:V62"/>
    <mergeCell ref="W61:W62"/>
    <mergeCell ref="L60:L62"/>
    <mergeCell ref="M60:M62"/>
    <mergeCell ref="N60:N62"/>
    <mergeCell ref="O60:O62"/>
    <mergeCell ref="P60:P62"/>
    <mergeCell ref="Q60:Q62"/>
    <mergeCell ref="F60:F63"/>
    <mergeCell ref="G60:G62"/>
    <mergeCell ref="H60:H62"/>
    <mergeCell ref="I60:I62"/>
    <mergeCell ref="J60:J62"/>
    <mergeCell ref="K60:K62"/>
    <mergeCell ref="W53:W54"/>
    <mergeCell ref="X53:X54"/>
    <mergeCell ref="Y53:Y54"/>
    <mergeCell ref="Z53:Z54"/>
    <mergeCell ref="A57:D57"/>
    <mergeCell ref="A60:A63"/>
    <mergeCell ref="B60:B63"/>
    <mergeCell ref="C60:C63"/>
    <mergeCell ref="D60:D63"/>
    <mergeCell ref="E60:E63"/>
    <mergeCell ref="Q52:Q54"/>
    <mergeCell ref="R52:R54"/>
    <mergeCell ref="S52:S54"/>
    <mergeCell ref="T52:T54"/>
    <mergeCell ref="U52:U55"/>
    <mergeCell ref="V53:V54"/>
    <mergeCell ref="K52:K54"/>
    <mergeCell ref="L52:L54"/>
    <mergeCell ref="M52:M54"/>
    <mergeCell ref="N52:N54"/>
    <mergeCell ref="O52:O54"/>
    <mergeCell ref="P52:P54"/>
    <mergeCell ref="E52:E55"/>
    <mergeCell ref="F52:F55"/>
    <mergeCell ref="G52:G54"/>
    <mergeCell ref="H52:H54"/>
    <mergeCell ref="I52:I54"/>
    <mergeCell ref="J52:J54"/>
    <mergeCell ref="A43:A44"/>
    <mergeCell ref="A45:A46"/>
    <mergeCell ref="A47:A48"/>
    <mergeCell ref="A49:D49"/>
    <mergeCell ref="A52:A55"/>
    <mergeCell ref="B52:B55"/>
    <mergeCell ref="C52:C55"/>
    <mergeCell ref="D52:D55"/>
    <mergeCell ref="X25:X26"/>
    <mergeCell ref="Y25:Y26"/>
    <mergeCell ref="Z25:Z26"/>
    <mergeCell ref="A28:A32"/>
    <mergeCell ref="B28:B48"/>
    <mergeCell ref="A33:A34"/>
    <mergeCell ref="A35:A36"/>
    <mergeCell ref="A37:A38"/>
    <mergeCell ref="A39:A40"/>
    <mergeCell ref="A41:A42"/>
    <mergeCell ref="R24:R26"/>
    <mergeCell ref="S24:S26"/>
    <mergeCell ref="T24:T26"/>
    <mergeCell ref="U24:U27"/>
    <mergeCell ref="V25:V26"/>
    <mergeCell ref="W25:W26"/>
    <mergeCell ref="L24:L26"/>
    <mergeCell ref="M24:M26"/>
    <mergeCell ref="N24:N26"/>
    <mergeCell ref="O24:O26"/>
    <mergeCell ref="P24:P26"/>
    <mergeCell ref="Q24:Q26"/>
    <mergeCell ref="F24:F27"/>
    <mergeCell ref="G24:G26"/>
    <mergeCell ref="H24:H26"/>
    <mergeCell ref="I24:I26"/>
    <mergeCell ref="J24:J26"/>
    <mergeCell ref="K24:K26"/>
    <mergeCell ref="A21:D21"/>
    <mergeCell ref="A24:A27"/>
    <mergeCell ref="B24:B27"/>
    <mergeCell ref="C24:C27"/>
    <mergeCell ref="D24:D27"/>
    <mergeCell ref="E24:E27"/>
    <mergeCell ref="Y4:Y5"/>
    <mergeCell ref="Z4:Z5"/>
    <mergeCell ref="A7:A8"/>
    <mergeCell ref="B7:B20"/>
    <mergeCell ref="A9:A10"/>
    <mergeCell ref="A11:A12"/>
    <mergeCell ref="A13:A14"/>
    <mergeCell ref="A15:A16"/>
    <mergeCell ref="A17:A18"/>
    <mergeCell ref="A19:A20"/>
    <mergeCell ref="S3:S5"/>
    <mergeCell ref="T3:T5"/>
    <mergeCell ref="U3:U6"/>
    <mergeCell ref="V4:V5"/>
    <mergeCell ref="W4:W5"/>
    <mergeCell ref="X4:X5"/>
    <mergeCell ref="M3:M5"/>
    <mergeCell ref="N3:N5"/>
    <mergeCell ref="O3:O5"/>
    <mergeCell ref="P3:P5"/>
    <mergeCell ref="Q3:Q5"/>
    <mergeCell ref="R3:R5"/>
    <mergeCell ref="G3:G5"/>
    <mergeCell ref="H3:H5"/>
    <mergeCell ref="I3:I5"/>
    <mergeCell ref="J3:J5"/>
    <mergeCell ref="K3:K5"/>
    <mergeCell ref="L3:L5"/>
    <mergeCell ref="A3:A6"/>
    <mergeCell ref="B3:B6"/>
    <mergeCell ref="C3:C6"/>
    <mergeCell ref="D3:D6"/>
    <mergeCell ref="E3:E6"/>
    <mergeCell ref="F3:F6"/>
  </mergeCells>
  <printOptions horizontalCentered="1"/>
  <pageMargins left="1.1023622047244095" right="0.70866141732283472" top="0.59055118110236227" bottom="0.74803149606299213" header="0.31496062992125984" footer="0.31496062992125984"/>
  <pageSetup paperSize="5" scale="60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1E38-D5B1-42CF-BCA0-12E6298EED1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</vt:lpstr>
      <vt:lpstr>FEB</vt:lpstr>
      <vt:lpstr>MAR</vt:lpstr>
      <vt:lpstr>JUL</vt:lpstr>
      <vt:lpstr>AGS</vt:lpstr>
      <vt:lpstr>SEP</vt:lpstr>
      <vt:lpstr>OKT</vt:lpstr>
      <vt:lpstr>NOV</vt:lpstr>
      <vt:lpstr>DES</vt:lpstr>
      <vt:lpstr>TOTAL JAN-MAR 2026</vt:lpstr>
      <vt:lpstr>APR</vt:lpstr>
      <vt:lpstr>MEI</vt:lpstr>
      <vt:lpstr>JUN</vt:lpstr>
      <vt:lpstr>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Rekam Medis</cp:lastModifiedBy>
  <cp:lastPrinted>2025-05-15T00:59:05Z</cp:lastPrinted>
  <dcterms:created xsi:type="dcterms:W3CDTF">2024-02-15T01:49:33Z</dcterms:created>
  <dcterms:modified xsi:type="dcterms:W3CDTF">2026-07-09T08:01:21Z</dcterms:modified>
</cp:coreProperties>
</file>